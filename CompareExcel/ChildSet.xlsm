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comments2.xml" ContentType="application/vnd.openxmlformats-officedocument.spreadsheetml.comments+xml"/>
  <Override PartName="/xl/externalLinks/externalLink1.xml" ContentType="application/vnd.openxmlformats-officedocument.spreadsheetml.externalLink+xml"/>
  <Override PartName="/xl/comments3.xml" ContentType="application/vnd.openxmlformats-officedocument.spreadsheetml.comments+xml"/>
  <Override PartName="/xl/ctrlProps/ctrlProp1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DOT Apps\MD_CDU_HYDROTREATERS_ENG\"/>
    </mc:Choice>
  </mc:AlternateContent>
  <xr:revisionPtr revIDLastSave="0" documentId="13_ncr:1_{56772AD4-7CEB-49DD-90B5-99DA16DE5FB3}" xr6:coauthVersionLast="45" xr6:coauthVersionMax="45" xr10:uidLastSave="{00000000-0000-0000-0000-000000000000}"/>
  <bookViews>
    <workbookView xWindow="-120" yWindow="-120" windowWidth="29040" windowHeight="15840" tabRatio="766" firstSheet="56" activeTab="52" xr2:uid="{00000000-000D-0000-FFFF-FFFF00000000}"/>
  </bookViews>
  <sheets>
    <sheet name="Index" sheetId="135" r:id="rId1"/>
    <sheet name="GM Template" sheetId="46" state="veryHidden" r:id="rId2"/>
    <sheet name="Version Info" sheetId="111" state="veryHidden" r:id="rId3"/>
    <sheet name="list values" sheetId="93" state="veryHidden" r:id="rId4"/>
    <sheet name="model catalog" sheetId="94" state="veryHidden" r:id="rId5"/>
    <sheet name="MD PARAM Template" sheetId="83" state="veryHidden" r:id="rId6"/>
    <sheet name="MD CDU.CNFG Template" sheetId="84" state="veryHidden" r:id="rId7"/>
    <sheet name="MD CDU.FDPR Template" sheetId="82" state="veryHidden" r:id="rId8"/>
    <sheet name="MD CDU.GFDP Template" sheetId="97" state="veryHidden" r:id="rId9"/>
    <sheet name="MD BU.CNFG Template" sheetId="95" state="veryHidden" r:id="rId10"/>
    <sheet name="MD HTU.CNFG Template" sheetId="96" state="veryHidden" r:id="rId11"/>
    <sheet name="NAP_PARAM Template" sheetId="112" state="veryHidden" r:id="rId12"/>
    <sheet name="NAP_COMP.CALC Template" sheetId="123" state="veryHidden" r:id="rId13"/>
    <sheet name="NAP_COMP.CNFG Template" sheetId="113" state="veryHidden" r:id="rId14"/>
    <sheet name="NAP_STRM.CNFG Template" sheetId="114" state="veryHidden" r:id="rId15"/>
    <sheet name="NAP_FMEAS.CNFG Template" sheetId="115" state="veryHidden" r:id="rId16"/>
    <sheet name="NAP_OMEAS.CNFG Template" sheetId="125" state="veryHidden" r:id="rId17"/>
    <sheet name="NAP_WMEAS.CNFG Template" sheetId="124" state="veryHidden" r:id="rId18"/>
    <sheet name="NAP_XMEAS.CNFG Template" sheetId="116" state="veryHidden" r:id="rId19"/>
    <sheet name="NAP_RCT_BD.CNFG Template" sheetId="126" state="veryHidden" r:id="rId20"/>
    <sheet name="NAP_RCT.CNFG Template" sheetId="117" state="veryHidden" r:id="rId21"/>
    <sheet name="NAP_MXR.CNFG Template" sheetId="118" state="veryHidden" r:id="rId22"/>
    <sheet name="NAP_TWR.CNFG Template" sheetId="119" state="veryHidden" r:id="rId23"/>
    <sheet name="NAP_TFN.CNFG Template" sheetId="120" state="veryHidden" r:id="rId24"/>
    <sheet name="NAP_C.CNFG Template" sheetId="121" state="veryHidden" r:id="rId25"/>
    <sheet name="NAP_SPL.CNFG Template" sheetId="122" state="veryHidden" r:id="rId26"/>
    <sheet name="C2_PARAM Template" sheetId="104" state="veryHidden" r:id="rId27"/>
    <sheet name="C2_COMP.CNFG Template" sheetId="103" state="veryHidden" r:id="rId28"/>
    <sheet name="C2_STRM.CNFG Template" sheetId="102" state="veryHidden" r:id="rId29"/>
    <sheet name="C2_FMEAS.CNFG Template" sheetId="101" state="veryHidden" r:id="rId30"/>
    <sheet name="C2_XMEAS.CNFG Template" sheetId="100" state="veryHidden" r:id="rId31"/>
    <sheet name="C2_RCT.CNFG Template" sheetId="105" state="veryHidden" r:id="rId32"/>
    <sheet name="C2_MXR.CNFG Template" sheetId="99" state="veryHidden" r:id="rId33"/>
    <sheet name="C2_FUR.CNFG Template" sheetId="98" state="veryHidden" r:id="rId34"/>
    <sheet name="C2_TWR.CNFG Template" sheetId="106" state="veryHidden" r:id="rId35"/>
    <sheet name="C2_TFN.CNFG Template" sheetId="109" state="veryHidden" r:id="rId36"/>
    <sheet name="C2_C.CNFG Template" sheetId="108" state="veryHidden" r:id="rId37"/>
    <sheet name="C2_SPL.CNFG Template" sheetId="110" state="veryHidden" r:id="rId38"/>
    <sheet name="Dynamics" sheetId="41" r:id="rId39"/>
    <sheet name="Temp" sheetId="48" state="hidden" r:id="rId40"/>
    <sheet name="AuxRead Config" sheetId="64" r:id="rId41"/>
    <sheet name="Opt Config DR" sheetId="62" r:id="rId42"/>
    <sheet name="Opt Config" sheetId="1" r:id="rId43"/>
    <sheet name="MV Config DR" sheetId="60" r:id="rId44"/>
    <sheet name="CV Config DR" sheetId="61" r:id="rId45"/>
    <sheet name="MV Config" sheetId="10" r:id="rId46"/>
    <sheet name="CV Config" sheetId="12" r:id="rId47"/>
    <sheet name="AuxWrite Config" sheetId="59" r:id="rId48"/>
    <sheet name="Model Update" sheetId="18" r:id="rId49"/>
    <sheet name="Function Values" sheetId="78" r:id="rId50"/>
    <sheet name="Gain Matrix Sorted" sheetId="79" state="hidden" r:id="rId51"/>
    <sheet name="Gain Matrix" sheetId="2" r:id="rId52"/>
    <sheet name="Convoluted Matrix" sheetId="70" r:id="rId53"/>
    <sheet name="Diagnostics" sheetId="77" r:id="rId54"/>
    <sheet name="Convoluted Matrix_2" sheetId="80" r:id="rId55"/>
    <sheet name="Diagnostics_2" sheetId="81" r:id="rId56"/>
    <sheet name="PARAM" sheetId="127" r:id="rId57"/>
    <sheet name="CDU1.FDPR" sheetId="128" r:id="rId58"/>
    <sheet name="CDU1.CNFG" sheetId="129" r:id="rId59"/>
    <sheet name="CDU1.DMC" sheetId="130" r:id="rId60"/>
    <sheet name="CDU1.CMAP" sheetId="131" r:id="rId61"/>
    <sheet name="CDU1.GFDP" sheetId="132" state="veryHidden" r:id="rId62"/>
    <sheet name="CDU1.GMAP" sheetId="133" state="veryHidden" r:id="rId63"/>
    <sheet name="CDU1.GDOT" sheetId="134" state="veryHidden" r:id="rId64"/>
    <sheet name="HFB.CNFG" sheetId="136" r:id="rId65"/>
    <sheet name="HFB.DMC" sheetId="137" r:id="rId66"/>
    <sheet name="HFB.CMAP" sheetId="138" r:id="rId67"/>
    <sheet name="HFB.GMAP" sheetId="139" state="veryHidden" r:id="rId68"/>
    <sheet name="HFB.GDOT" sheetId="140" state="veryHidden" r:id="rId69"/>
    <sheet name="KERHT.CNFG" sheetId="141" r:id="rId70"/>
    <sheet name="KERHT.DMC" sheetId="142" r:id="rId71"/>
    <sheet name="KERHT.CMAP" sheetId="143" r:id="rId72"/>
    <sheet name="KERHT.GMAP" sheetId="144" state="veryHidden" r:id="rId73"/>
    <sheet name="KERHT.GDOT" sheetId="145" state="veryHidden" r:id="rId74"/>
    <sheet name="HDS.CNFG" sheetId="151" r:id="rId75"/>
    <sheet name="HDS.DMC" sheetId="152" r:id="rId76"/>
    <sheet name="HDS.CMAP" sheetId="153" r:id="rId77"/>
    <sheet name="HDS.GMAP" sheetId="154" state="veryHidden" r:id="rId78"/>
    <sheet name="HDS.GDOT" sheetId="155" state="veryHidden" r:id="rId79"/>
  </sheets>
  <externalReferences>
    <externalReference r:id="rId80"/>
    <externalReference r:id="rId81"/>
  </externalReferences>
  <definedNames>
    <definedName name="_xlnm._FilterDatabase" localSheetId="45" hidden="1">'MV Config'!$A$2:$AP$165</definedName>
    <definedName name="_xlnm._FilterDatabase" localSheetId="43" hidden="1">'MV Config DR'!$A$2:$AP$165</definedName>
    <definedName name="AI_11_T95.PV">'Gain Matrix'!$E$13</definedName>
    <definedName name="AI_12_SG.PV">'Gain Matrix'!$E$14</definedName>
    <definedName name="AI_12_SUL.PV">'Gain Matrix'!$E$15</definedName>
    <definedName name="AI_12_T95.PV">'Gain Matrix'!$E$16</definedName>
    <definedName name="AI_12_TCL.PV">'Gain Matrix'!$E$17</definedName>
    <definedName name="AI_12_TFL.PV">'Gain Matrix'!$E$19</definedName>
    <definedName name="AI_12_TFZ.PV">'Gain Matrix'!$E$18</definedName>
    <definedName name="AI_13_CI.PV">'Gain Matrix'!$E$20</definedName>
    <definedName name="AI_13_SG.PV">'Gain Matrix'!$E$21</definedName>
    <definedName name="AI_13_SUL.PV">'Gain Matrix'!$E$22</definedName>
    <definedName name="AI_13_T95.PV">'Gain Matrix'!$E$23</definedName>
    <definedName name="AI_13_TCL.PV">'Gain Matrix'!$E$24</definedName>
    <definedName name="AI_13_TFL.PV">'Gain Matrix'!$E$25</definedName>
    <definedName name="AI_14_CI.PV">'Gain Matrix'!$E$26</definedName>
    <definedName name="AI_14_SG.PV">'Gain Matrix'!$E$27</definedName>
    <definedName name="AI_14_SUL.PV">'Gain Matrix'!$E$28</definedName>
    <definedName name="AI_14_T95.PV">'Gain Matrix'!$E$29</definedName>
    <definedName name="AI_14_TCL.PV">'Gain Matrix'!$E$30</definedName>
    <definedName name="AI_14_TFL.PV">'Gain Matrix'!$E$31</definedName>
    <definedName name="AI_40_CI.PV">'Gain Matrix'!$E$74</definedName>
    <definedName name="AI_40_SG.PV">'Gain Matrix'!$E$75</definedName>
    <definedName name="AI_40_SUL.PV">'Gain Matrix'!$E$76</definedName>
    <definedName name="AI_40_T95.PV">'Gain Matrix'!$E$77</definedName>
    <definedName name="AI_40_TCL.PV">'Gain Matrix'!$E$78</definedName>
    <definedName name="AI_40_TFL.PV">'Gain Matrix'!$E$79</definedName>
    <definedName name="AI_42_CI.PV">'Gain Matrix'!$E$128</definedName>
    <definedName name="AI_42_SG.PV">'Gain Matrix'!$E$129</definedName>
    <definedName name="AI_42_SUL.PV">'Gain Matrix'!$E$127</definedName>
    <definedName name="AI_42_TCL.PV">'Gain Matrix'!$E$130</definedName>
    <definedName name="AI_42_TFL.PV">'Gain Matrix'!$E$131</definedName>
    <definedName name="AI_73_SG.PV">'Gain Matrix'!$E$110</definedName>
    <definedName name="AI_73_SUL.PV">'Gain Matrix'!$E$109</definedName>
    <definedName name="AI_73_TCL.PV">'Gain Matrix'!$E$111</definedName>
    <definedName name="AI_73_TFL.PV">'Gain Matrix'!$E$113</definedName>
    <definedName name="AI_73_TFZ.PV">'Gain Matrix'!$E$112</definedName>
    <definedName name="ApplicationName">'Model Update'!$G$10</definedName>
    <definedName name="ApplicationType">'Model Update'!$C$5</definedName>
    <definedName name="CBN_BASE" localSheetId="56">PARAM!$B$5</definedName>
    <definedName name="CDU1_.FEED.FLOW">'Gain Matrix'!$N$5</definedName>
    <definedName name="CDU1_.FEED.MAP">'Gain Matrix'!$E$6</definedName>
    <definedName name="CDU1_.FEED.PAR1">'Gain Matrix'!$AM$5</definedName>
    <definedName name="CDU1_.FEED.PAR2">'Gain Matrix'!$BK$5</definedName>
    <definedName name="CDU1_.FEED.SUL.PAR3">'Gain Matrix'!$BR$5</definedName>
    <definedName name="CDU1_.FEED.SUL.PAR4">'Gain Matrix'!$BS$5</definedName>
    <definedName name="CDU1_.FEED.TCL.PAR3">'Gain Matrix'!$BV$5</definedName>
    <definedName name="CDU1_.FEED.TCL.PAR4">'Gain Matrix'!$BW$5</definedName>
    <definedName name="CDU1_.FEED.TFL.PAR3">'Gain Matrix'!$BM$5</definedName>
    <definedName name="CDU1_.FEED.TFL.PAR4">'Gain Matrix'!$BN$5</definedName>
    <definedName name="CDU1_.FEED.TFZ.PAR3">'Gain Matrix'!$BX$5</definedName>
    <definedName name="CDU1_.FEED.TFZ.PAR4">'Gain Matrix'!$BY$5</definedName>
    <definedName name="CDU1_.OVH.FLOW">'Gain Matrix'!$O$5</definedName>
    <definedName name="CDU1_.OVH.FLOW.BAL">'Gain Matrix'!$E$66</definedName>
    <definedName name="CDU1_.OVH.MAP">'Gain Matrix'!$E$7</definedName>
    <definedName name="CDU1_.OVH.T95">'Gain Matrix'!$T$5</definedName>
    <definedName name="CDU1_.OVH.T95.BAL">'Gain Matrix'!$E$12</definedName>
    <definedName name="CDU1_.RES.FLOW">'Gain Matrix'!$S$5</definedName>
    <definedName name="CDU1_.RES.FLOW.BAL">'Gain Matrix'!$E$67</definedName>
    <definedName name="CDU1_.RES.MAP">'Gain Matrix'!$E$11</definedName>
    <definedName name="CDU1_.RUNNING">'Gain Matrix'!$CV$5</definedName>
    <definedName name="CDU1_.SC1_.CI">'Gain Matrix'!$BL$5</definedName>
    <definedName name="CDU1_.SC1_.CI.BAL">'Gain Matrix'!$E$51</definedName>
    <definedName name="CDU1_.SC1_.EVAP1">'Gain Matrix'!$BA$5</definedName>
    <definedName name="CDU1_.SC1_.EVAP1.BAL">'Gain Matrix'!$E$38</definedName>
    <definedName name="CDU1_.SC1_.EVAP2">'Gain Matrix'!$BB$5</definedName>
    <definedName name="CDU1_.SC1_.EVAP2.BAL">'Gain Matrix'!$E$39</definedName>
    <definedName name="CDU1_.SC1_.FLOW">'Gain Matrix'!$P$5</definedName>
    <definedName name="CDU1_.SC1_.MAP">'Gain Matrix'!$E$8</definedName>
    <definedName name="CDU1_.SC1_.MPT.BAL">'Gain Matrix'!$E$35</definedName>
    <definedName name="CDU1_.SC1_.SG">'Gain Matrix'!$U$5</definedName>
    <definedName name="CDU1_.SC1_.SG.BAL">'Gain Matrix'!$E$48</definedName>
    <definedName name="CDU1_.SC1_.SUL">'Gain Matrix'!$V$5</definedName>
    <definedName name="CDU1_.SC1_.SUL.BAL">'Gain Matrix'!$E$57</definedName>
    <definedName name="CDU1_.SC1_.T95">'Gain Matrix'!$W$5</definedName>
    <definedName name="CDU1_.SC1_.T95.BAL">'Gain Matrix'!$E$32</definedName>
    <definedName name="CDU1_.SC1_.T951">'Gain Matrix'!$AN$5</definedName>
    <definedName name="CDU1_.SC1_.T952">'Gain Matrix'!$AO$5</definedName>
    <definedName name="CDU1_.SC1_.T953">'Gain Matrix'!$AP$5</definedName>
    <definedName name="CDU1_.SC1_.TCL">'Gain Matrix'!$X$5</definedName>
    <definedName name="CDU1_.SC1_.TCL.BAL">'Gain Matrix'!$E$62</definedName>
    <definedName name="CDU1_.SC1_.TFL">'Gain Matrix'!$Y$5</definedName>
    <definedName name="CDU1_.SC1_.TFL.BAL">'Gain Matrix'!$E$54</definedName>
    <definedName name="CDU1_.SC1_.TFL.PAR4">'Gain Matrix'!$BO$5</definedName>
    <definedName name="CDU1_.SC1_.TFZ">'Gain Matrix'!$Z$5</definedName>
    <definedName name="CDU1_.SC1_.TFZ.BAL">'Gain Matrix'!$E$65</definedName>
    <definedName name="CDU1_.SC2_.CI">'Gain Matrix'!$AA$5</definedName>
    <definedName name="CDU1_.SC2_.CI.BAL">'Gain Matrix'!$E$52</definedName>
    <definedName name="CDU1_.SC2_.EVAP1">'Gain Matrix'!$BC$5</definedName>
    <definedName name="CDU1_.SC2_.EVAP1.BAL">'Gain Matrix'!$E$40</definedName>
    <definedName name="CDU1_.SC2_.EVAP2">'Gain Matrix'!$BD$5</definedName>
    <definedName name="CDU1_.SC2_.EVAP2.BAL">'Gain Matrix'!$E$41</definedName>
    <definedName name="CDU1_.SC2_.EVAP3">'Gain Matrix'!$BE$5</definedName>
    <definedName name="CDU1_.SC2_.EVAP3.BAL">'Gain Matrix'!$E$42</definedName>
    <definedName name="CDU1_.SC2_.EVAP4">'Gain Matrix'!$BF$5</definedName>
    <definedName name="CDU1_.SC2_.EVAP4.BAL">'Gain Matrix'!$E$43</definedName>
    <definedName name="CDU1_.SC2_.FLOW">'Gain Matrix'!$Q$5</definedName>
    <definedName name="CDU1_.SC2_.MAP">'Gain Matrix'!$E$9</definedName>
    <definedName name="CDU1_.SC2_.MPT.BAL">'Gain Matrix'!$E$36</definedName>
    <definedName name="CDU1_.SC2_.SG">'Gain Matrix'!$AB$5</definedName>
    <definedName name="CDU1_.SC2_.SG.BAL">'Gain Matrix'!$E$49</definedName>
    <definedName name="CDU1_.SC2_.SUL">'Gain Matrix'!$AC$5</definedName>
    <definedName name="CDU1_.SC2_.SUL.BAL">'Gain Matrix'!$E$58</definedName>
    <definedName name="CDU1_.SC2_.T95">'Gain Matrix'!$AD$5</definedName>
    <definedName name="CDU1_.SC2_.T95.BAL">'Gain Matrix'!$E$33</definedName>
    <definedName name="CDU1_.SC2_.T951">'Gain Matrix'!$AQ$5</definedName>
    <definedName name="CDU1_.SC2_.T952">'Gain Matrix'!$AR$5</definedName>
    <definedName name="CDU1_.SC2_.T953">'Gain Matrix'!$AS$5</definedName>
    <definedName name="CDU1_.SC2_.T954">'Gain Matrix'!$AT$5</definedName>
    <definedName name="CDU1_.SC2_.T955">'Gain Matrix'!$AU$5</definedName>
    <definedName name="CDU1_.SC2_.TCL">'Gain Matrix'!$AE$5</definedName>
    <definedName name="CDU1_.SC2_.TCL.BAL">'Gain Matrix'!$E$63</definedName>
    <definedName name="CDU1_.SC2_.TFL">'Gain Matrix'!$AF$5</definedName>
    <definedName name="CDU1_.SC2_.TFL.BAL">'Gain Matrix'!$E$55</definedName>
    <definedName name="CDU1_.SC2_.TFL.PAR4">'Gain Matrix'!$BP$5</definedName>
    <definedName name="CDU1_.SC2_.VAR1">'Gain Matrix'!$BT$5</definedName>
    <definedName name="CDU1_.SC2_.VAR1.BAL">'Gain Matrix'!$E$60</definedName>
    <definedName name="CDU1_.SC3_.CI">'Gain Matrix'!$AG$5</definedName>
    <definedName name="CDU1_.SC3_.CI.BAL">'Gain Matrix'!$E$53</definedName>
    <definedName name="CDU1_.SC3_.EVAP1">'Gain Matrix'!$BG$5</definedName>
    <definedName name="CDU1_.SC3_.EVAP1.BAL">'Gain Matrix'!$E$44</definedName>
    <definedName name="CDU1_.SC3_.EVAP2">'Gain Matrix'!$BH$5</definedName>
    <definedName name="CDU1_.SC3_.EVAP2.BAL">'Gain Matrix'!$E$45</definedName>
    <definedName name="CDU1_.SC3_.EVAP3">'Gain Matrix'!$BI$5</definedName>
    <definedName name="CDU1_.SC3_.EVAP3.BAL">'Gain Matrix'!$E$46</definedName>
    <definedName name="CDU1_.SC3_.EVAP4">'Gain Matrix'!$BJ$5</definedName>
    <definedName name="CDU1_.SC3_.EVAP4.BAL">'Gain Matrix'!$E$47</definedName>
    <definedName name="CDU1_.SC3_.FLOW">'Gain Matrix'!$R$5</definedName>
    <definedName name="CDU1_.SC3_.MAP">'Gain Matrix'!$E$10</definedName>
    <definedName name="CDU1_.SC3_.MPT.BAL">'Gain Matrix'!$E$37</definedName>
    <definedName name="CDU1_.SC3_.SG">'Gain Matrix'!$AH$5</definedName>
    <definedName name="CDU1_.SC3_.SG.BAL">'Gain Matrix'!$E$50</definedName>
    <definedName name="CDU1_.SC3_.SUL">'Gain Matrix'!$AI$5</definedName>
    <definedName name="CDU1_.SC3_.SUL.BAL">'Gain Matrix'!$E$59</definedName>
    <definedName name="CDU1_.SC3_.T95">'Gain Matrix'!$AJ$5</definedName>
    <definedName name="CDU1_.SC3_.T95.BAL">'Gain Matrix'!$E$34</definedName>
    <definedName name="CDU1_.SC3_.T951">'Gain Matrix'!$AV$5</definedName>
    <definedName name="CDU1_.SC3_.T952">'Gain Matrix'!$AW$5</definedName>
    <definedName name="CDU1_.SC3_.T953">'Gain Matrix'!$AX$5</definedName>
    <definedName name="CDU1_.SC3_.T954">'Gain Matrix'!$AY$5</definedName>
    <definedName name="CDU1_.SC3_.T955">'Gain Matrix'!$AZ$5</definedName>
    <definedName name="CDU1_.SC3_.TCL">'Gain Matrix'!$AK$5</definedName>
    <definedName name="CDU1_.SC3_.TCL.BAL">'Gain Matrix'!$E$64</definedName>
    <definedName name="CDU1_.SC3_.TFL">'Gain Matrix'!$AL$5</definedName>
    <definedName name="CDU1_.SC3_.TFL.BAL">'Gain Matrix'!$E$56</definedName>
    <definedName name="CDU1_.SC3_.TFL.PAR4">'Gain Matrix'!$BQ$5</definedName>
    <definedName name="CDU1_.SC3_.VAR1">'Gain Matrix'!$BU$5</definedName>
    <definedName name="CDU1_.SC3_.VAR1.BAL">'Gain Matrix'!$E$61</definedName>
    <definedName name="CheckPntInterval" localSheetId="41">'Opt Config DR'!$A$8</definedName>
    <definedName name="CheckPntInterval">'Opt Config'!$A$8</definedName>
    <definedName name="CLOUD_1" localSheetId="61">'CDU1.GFDP'!$D$6</definedName>
    <definedName name="CLOUD_2" localSheetId="61">'CDU1.GFDP'!$B$6</definedName>
    <definedName name="ConvolutionGain_CutOff" localSheetId="41">'Opt Config DR'!$A$18</definedName>
    <definedName name="ConvolutionGain_CutOff">'Opt Config'!$A$18</definedName>
    <definedName name="CVConfig">'CV Config'!$A$5</definedName>
    <definedName name="CVConfig_DR">'CV Config DR'!$A$5</definedName>
    <definedName name="CVs" localSheetId="60">'CDU1.CMAP'!$B$5</definedName>
    <definedName name="CVs" localSheetId="59">'CDU1.DMC'!$B$5</definedName>
    <definedName name="CVs" localSheetId="63">'CDU1.GDOT'!$B$5</definedName>
    <definedName name="CVs" localSheetId="62">'CDU1.GMAP'!$B$5</definedName>
    <definedName name="CVs" localSheetId="52">'Convoluted Matrix'!$B$5</definedName>
    <definedName name="CVs" localSheetId="54">'Convoluted Matrix_2'!$B$5</definedName>
    <definedName name="CVs" localSheetId="1">'GM Template'!$B$5</definedName>
    <definedName name="CVs" localSheetId="76">HDS.CMAP!$B$5</definedName>
    <definedName name="CVs" localSheetId="75">HDS.DMC!$B$5</definedName>
    <definedName name="CVs" localSheetId="78">HDS.GDOT!$B$5</definedName>
    <definedName name="CVs" localSheetId="77">HDS.GMAP!$B$5</definedName>
    <definedName name="CVs" localSheetId="66">HFB.CMAP!$B$5</definedName>
    <definedName name="CVs" localSheetId="65">HFB.DMC!$B$5</definedName>
    <definedName name="CVs" localSheetId="68">HFB.GDOT!$B$5</definedName>
    <definedName name="CVs" localSheetId="67">HFB.GMAP!$B$5</definedName>
    <definedName name="CVs" localSheetId="71">KERHT.CMAP!$B$5</definedName>
    <definedName name="CVs" localSheetId="70">KERHT.DMC!$B$5</definedName>
    <definedName name="CVs" localSheetId="73">KERHT.GDOT!$B$5</definedName>
    <definedName name="CVs" localSheetId="72">KERHT.GMAP!$B$5</definedName>
    <definedName name="CVs">'Gain Matrix'!$B$5</definedName>
    <definedName name="DSL_EVAP_T1" localSheetId="56">PARAM!$B$16</definedName>
    <definedName name="DSL_EVAP_T2" localSheetId="56">PARAM!$B$17</definedName>
    <definedName name="DSL_EVAP_T3" localSheetId="56">PARAM!$B$18</definedName>
    <definedName name="DSL_EVAP_T4" localSheetId="56">PARAM!$B$19</definedName>
    <definedName name="ELVfromCheckPnt" localSheetId="41">'Opt Config DR'!$A$10</definedName>
    <definedName name="ELVfromCheckPnt">'Opt Config'!$A$10</definedName>
    <definedName name="EvapNames" localSheetId="5">'MD PARAM Template'!$A$13</definedName>
    <definedName name="ExecInterval" localSheetId="41">'Opt Config DR'!$A$4</definedName>
    <definedName name="ExecInterval">'Opt Config'!$A$4</definedName>
    <definedName name="ExecOffset" localSheetId="41">'Opt Config DR'!$A$5</definedName>
    <definedName name="ExecOffset">'Opt Config'!$A$5</definedName>
    <definedName name="ExtLinkTrgtOffTrack" localSheetId="41">'Opt Config DR'!$A$15</definedName>
    <definedName name="ExtLinkTrgtOffTrack">'Opt Config'!$A$15</definedName>
    <definedName name="FBN_BASE" localSheetId="56">PARAM!$B$6</definedName>
    <definedName name="FBP_1H" localSheetId="61">'CDU1.GFDP'!$B$2</definedName>
    <definedName name="FBP_1H_ROW" localSheetId="61">'CDU1.GFDP'!$B$3</definedName>
    <definedName name="FBP_1L" localSheetId="61">'CDU1.GFDP'!$D$2</definedName>
    <definedName name="FBP_1L_ROW" localSheetId="61">'CDU1.GFDP'!$D$3</definedName>
    <definedName name="FBP_2H" localSheetId="61">'CDU1.GFDP'!$F$2</definedName>
    <definedName name="FBP_2H_ROW" localSheetId="61">'CDU1.GFDP'!$F$3</definedName>
    <definedName name="FBP_2L" localSheetId="61">'CDU1.GFDP'!$H$2</definedName>
    <definedName name="FBP_2L_ROW" localSheetId="61">'CDU1.GFDP'!$H$3</definedName>
    <definedName name="FC_10.PV">'Gain Matrix'!$H$5</definedName>
    <definedName name="FC_11.PV">'Gain Matrix'!$I$5</definedName>
    <definedName name="FC_12.SP">'Gain Matrix'!$J$5</definedName>
    <definedName name="FC_13.SP">'Gain Matrix'!$K$5</definedName>
    <definedName name="FC_14.SP">'Gain Matrix'!$L$5</definedName>
    <definedName name="FC_31.SP">'Gain Matrix'!$BZ$5</definedName>
    <definedName name="FC_40.SP">'Gain Matrix'!$CG$5</definedName>
    <definedName name="FC_41.PV">'Gain Matrix'!$ES$5</definedName>
    <definedName name="FC_42.PV">'Gain Matrix'!$ER$5</definedName>
    <definedName name="FC_72.PV">'Gain Matrix'!$DP$5</definedName>
    <definedName name="FC_73.PV">'Gain Matrix'!$DO$5</definedName>
    <definedName name="FC_81.SP">'Gain Matrix'!$CH$5</definedName>
    <definedName name="FD_CL_PAR3" localSheetId="61">'CDU1.GFDP'!$A$18</definedName>
    <definedName name="FD_CL_PAR4" localSheetId="61">'CDU1.GFDP'!$D$18</definedName>
    <definedName name="FD_FL_PAR3" localSheetId="61">'CDU1.GFDP'!$C$18</definedName>
    <definedName name="FD_FL_PAR4" localSheetId="61">'CDU1.GFDP'!$F$18</definedName>
    <definedName name="FD_FZ_PAR3" localSheetId="61">'CDU1.GFDP'!$B$18</definedName>
    <definedName name="FD_FZ_PAR4" localSheetId="61">'CDU1.GFDP'!$E$18</definedName>
    <definedName name="FD_PAR2" localSheetId="61">'CDU1.GFDP'!$I$18</definedName>
    <definedName name="FD_SUL_PAR3" localSheetId="61">'CDU1.GFDP'!$G$18</definedName>
    <definedName name="FD_SUL_PAR4" localSheetId="61">'CDU1.GFDP'!$H$18</definedName>
    <definedName name="FI_15.PV">'Gain Matrix'!$M$5</definedName>
    <definedName name="FI_71.BAL">'Gain Matrix'!$E$68</definedName>
    <definedName name="FI_71.PV">'Gain Matrix'!$CA$5</definedName>
    <definedName name="FLASH_1" localSheetId="61">'CDU1.GFDP'!$D$9</definedName>
    <definedName name="FLASH_2" localSheetId="61">'CDU1.GFDP'!$B$9</definedName>
    <definedName name="flowTypeMD_CDU">'list values'!$A$2:$A$9</definedName>
    <definedName name="Folder_Location">'Model Update'!$C$6</definedName>
    <definedName name="ForceSimulation" localSheetId="41">'Opt Config DR'!$A$12</definedName>
    <definedName name="ForceSimulation">'Opt Config'!$A$12</definedName>
    <definedName name="FPI_A" localSheetId="56">PARAM!$B$9</definedName>
    <definedName name="FPI_ALPHA" localSheetId="56">PARAM!$B$11</definedName>
    <definedName name="FPI_B" localSheetId="56">PARAM!$B$10</definedName>
    <definedName name="FREEZE_1" localSheetId="61">'CDU1.GFDP'!$H$6</definedName>
    <definedName name="FREEZE_2" localSheetId="61">'CDU1.GFDP'!$F$6</definedName>
    <definedName name="GainMatrix" localSheetId="60">'CDU1.CMAP'!$E$5</definedName>
    <definedName name="GainMatrix" localSheetId="59">'CDU1.DMC'!$E$5</definedName>
    <definedName name="GainMatrix" localSheetId="63">'CDU1.GDOT'!$E$5</definedName>
    <definedName name="GainMatrix" localSheetId="62">'CDU1.GMAP'!$E$5</definedName>
    <definedName name="GainMatrix" localSheetId="52">'Convoluted Matrix'!$E$5</definedName>
    <definedName name="GainMatrix" localSheetId="54">'Convoluted Matrix_2'!$E$5</definedName>
    <definedName name="GainMatrix" localSheetId="1">'GM Template'!$E$5</definedName>
    <definedName name="GainMatrix" localSheetId="76">HDS.CMAP!$E$5</definedName>
    <definedName name="GainMatrix" localSheetId="75">HDS.DMC!$E$5</definedName>
    <definedName name="GainMatrix" localSheetId="78">HDS.GDOT!$E$5</definedName>
    <definedName name="GainMatrix" localSheetId="77">HDS.GMAP!$E$5</definedName>
    <definedName name="GainMatrix" localSheetId="66">HFB.CMAP!$E$5</definedName>
    <definedName name="GainMatrix" localSheetId="65">HFB.DMC!$E$5</definedName>
    <definedName name="GainMatrix" localSheetId="68">HFB.GDOT!$E$5</definedName>
    <definedName name="GainMatrix" localSheetId="67">HFB.GMAP!$E$5</definedName>
    <definedName name="GainMatrix" localSheetId="71">KERHT.CMAP!$E$5</definedName>
    <definedName name="GainMatrix" localSheetId="70">KERHT.DMC!$E$5</definedName>
    <definedName name="GainMatrix" localSheetId="73">KERHT.GDOT!$E$5</definedName>
    <definedName name="GainMatrix" localSheetId="72">KERHT.GMAP!$E$5</definedName>
    <definedName name="GainMatrix">'Gain Matrix'!$E$5</definedName>
    <definedName name="GainUpdate" localSheetId="41">'Opt Config DR'!$A$6</definedName>
    <definedName name="GainUpdate">'Opt Config'!$A$6</definedName>
    <definedName name="GainUpdateInterval" localSheetId="41">'Opt Config DR'!$A$7</definedName>
    <definedName name="GainUpdateInterval">'Opt Config'!$A$7</definedName>
    <definedName name="HDS.CI.BIAS">'Gain Matrix'!$FB$5</definedName>
    <definedName name="HDS.EVAP1.BIAS">'Gain Matrix'!$FE$5</definedName>
    <definedName name="HDS.EVAP2.BIAS">'Gain Matrix'!$FH$5</definedName>
    <definedName name="HDS.EVAP3.BIAS">'Gain Matrix'!$FK$5</definedName>
    <definedName name="HDS.EVAP4.BIAS">'Gain Matrix'!$FN$5</definedName>
    <definedName name="HDS.FEED.FLOW">'Gain Matrix'!$EJ$5</definedName>
    <definedName name="HDS.FEED.FLOW.MAP">'Gain Matrix'!$E$126</definedName>
    <definedName name="HDS.FLOW.BIAS">'Gain Matrix'!$EY$5</definedName>
    <definedName name="HDS.H2PP">'Gain Matrix'!$EL$5</definedName>
    <definedName name="HDS.H2PP.MAP">'Gain Matrix'!$E$122</definedName>
    <definedName name="HDS.OVH.CI">'Gain Matrix'!$FA$5</definedName>
    <definedName name="HDS.OVH.EVAP1">'Gain Matrix'!$FD$5</definedName>
    <definedName name="HDS.OVH.EVAP2">'Gain Matrix'!$FG$5</definedName>
    <definedName name="HDS.OVH.EVAP3">'Gain Matrix'!$FJ$5</definedName>
    <definedName name="HDS.OVH.EVAP4">'Gain Matrix'!$FM$5</definedName>
    <definedName name="HDS.OVH.FLOW">'Gain Matrix'!$EO$5</definedName>
    <definedName name="HDS.OVH.FLOW.MAP">'Gain Matrix'!$E$125</definedName>
    <definedName name="HDS.OVH.SG">'Gain Matrix'!$EZ$5</definedName>
    <definedName name="HDS.OVH.TCL">'Gain Matrix'!$FO$5</definedName>
    <definedName name="HDS.OVH.TFL">'Gain Matrix'!$FQ$5</definedName>
    <definedName name="HDS.PAR5">'Gain Matrix'!$EX$5</definedName>
    <definedName name="HDS.PROD.CI">'Gain Matrix'!$ET$5</definedName>
    <definedName name="HDS.PROD.CI.BAL">'Gain Matrix'!$E$135</definedName>
    <definedName name="HDS.PROD.EVAP1">'Gain Matrix'!$FC$5</definedName>
    <definedName name="HDS.PROD.EVAP1.BAL">'Gain Matrix'!$E$136</definedName>
    <definedName name="HDS.PROD.EVAP2">'Gain Matrix'!$FF$5</definedName>
    <definedName name="HDS.PROD.EVAP2.BAL">'Gain Matrix'!$E$137</definedName>
    <definedName name="HDS.PROD.EVAP3">'Gain Matrix'!$FI$5</definedName>
    <definedName name="HDS.PROD.EVAP3.BAL">'Gain Matrix'!$E$138</definedName>
    <definedName name="HDS.PROD.EVAP4">'Gain Matrix'!$FL$5</definedName>
    <definedName name="HDS.PROD.EVAP4.BAL">'Gain Matrix'!$E$139</definedName>
    <definedName name="HDS.PROD.FLOW">'Gain Matrix'!$EN$5</definedName>
    <definedName name="HDS.PROD.FLOW.BAL">'Gain Matrix'!$E$133</definedName>
    <definedName name="HDS.PROD.FLOW.MAP">'Gain Matrix'!$E$124</definedName>
    <definedName name="HDS.PROD.SG">'Gain Matrix'!$EU$5</definedName>
    <definedName name="HDS.PROD.SG.BAL">'Gain Matrix'!$E$134</definedName>
    <definedName name="HDS.PROD.SUL">'Gain Matrix'!$EM$5</definedName>
    <definedName name="HDS.PROD.SUL.BAL">'Gain Matrix'!$E$132</definedName>
    <definedName name="HDS.PROD.TCL">'Gain Matrix'!$EV$5</definedName>
    <definedName name="HDS.PROD.TCL.BAL">'Gain Matrix'!$E$140</definedName>
    <definedName name="HDS.PROD.TFL">'Gain Matrix'!$EW$5</definedName>
    <definedName name="HDS.PROD.TFL.BAL">'Gain Matrix'!$E$141</definedName>
    <definedName name="HDS.TCL.BIAS">'Gain Matrix'!$FP$5</definedName>
    <definedName name="HDS.TFL.BIAS">'Gain Matrix'!$FR$5</definedName>
    <definedName name="HDS.WABT">'Gain Matrix'!$EK$5</definedName>
    <definedName name="HDS.WABT.MAP">'Gain Matrix'!$E$123</definedName>
    <definedName name="HFB.FD1.FLOW">'Gain Matrix'!$CC$5</definedName>
    <definedName name="HFB.FD1.FLOW.MAP">'Gain Matrix'!$E$70</definedName>
    <definedName name="HFB.FD2.FLOW">'Gain Matrix'!$CD$5</definedName>
    <definedName name="HFB.FD2.FLOW.MAP">'Gain Matrix'!$E$71</definedName>
    <definedName name="HFB.FD3.FLOW">'Gain Matrix'!$CE$5</definedName>
    <definedName name="HFB.FD3.FLOW.MAP">'Gain Matrix'!$E$72</definedName>
    <definedName name="HFB.FD4.CI">'Gain Matrix'!$CO$5</definedName>
    <definedName name="HFB.FD4.EVAP1">'Gain Matrix'!$CY$5</definedName>
    <definedName name="HFB.FD4.EVAP1.BAL">'Gain Matrix'!$E$99</definedName>
    <definedName name="HFB.FD4.EVAP2">'Gain Matrix'!$CZ$5</definedName>
    <definedName name="HFB.FD4.EVAP2.BAL">'Gain Matrix'!$E$100</definedName>
    <definedName name="HFB.FD4.EVAP3">'Gain Matrix'!$DA$5</definedName>
    <definedName name="HFB.FD4.EVAP3.BAL">'Gain Matrix'!$E$101</definedName>
    <definedName name="HFB.FD4.EVAP4">'Gain Matrix'!$DB$5</definedName>
    <definedName name="HFB.FD4.EVAP4.BAL">'Gain Matrix'!$E$102</definedName>
    <definedName name="HFB.FD4.FLOW">'Gain Matrix'!$CF$5</definedName>
    <definedName name="HFB.FD4.FLOW.MAP">'Gain Matrix'!$E$73</definedName>
    <definedName name="HFB.FD4.SG">'Gain Matrix'!$CP$5</definedName>
    <definedName name="HFB.FD4.SUL">'Gain Matrix'!$CQ$5</definedName>
    <definedName name="HFB.FD4.T05">'Gain Matrix'!$CR$5</definedName>
    <definedName name="HFB.FD4.T95">'Gain Matrix'!$CS$5</definedName>
    <definedName name="HFB.FD4.TCL">'Gain Matrix'!$CT$5</definedName>
    <definedName name="HFB.FD4.TFL">'Gain Matrix'!$CU$5</definedName>
    <definedName name="HFB.FD4.VAR1">'Gain Matrix'!$CW$5</definedName>
    <definedName name="HFB.FD4.VAR1.BAL">'Gain Matrix'!$E$103</definedName>
    <definedName name="HFB.PROD.CI">'Gain Matrix'!$CI$5</definedName>
    <definedName name="HFB.PROD.CI.BAL">'Gain Matrix'!$E$97</definedName>
    <definedName name="HFB.PROD.EVAP1">'Gain Matrix'!$DC$5</definedName>
    <definedName name="HFB.PROD.EVAP1.BAL">'Gain Matrix'!$E$90</definedName>
    <definedName name="HFB.PROD.EVAP2">'Gain Matrix'!$DD$5</definedName>
    <definedName name="HFB.PROD.EVAP2.BAL">'Gain Matrix'!$E$91</definedName>
    <definedName name="HFB.PROD.EVAP3">'Gain Matrix'!$DE$5</definedName>
    <definedName name="HFB.PROD.EVAP3.BAL">'Gain Matrix'!$E$92</definedName>
    <definedName name="HFB.PROD.EVAP4">'Gain Matrix'!$DF$5</definedName>
    <definedName name="HFB.PROD.EVAP4.BAL">'Gain Matrix'!$E$93</definedName>
    <definedName name="HFB.PROD.FLOW">'Gain Matrix'!$CB$5</definedName>
    <definedName name="HFB.PROD.FLOW.BAL">'Gain Matrix'!$E$98</definedName>
    <definedName name="HFB.PROD.FLOW.MAP">'Gain Matrix'!$E$69</definedName>
    <definedName name="HFB.PROD.SG">'Gain Matrix'!$CJ$5</definedName>
    <definedName name="HFB.PROD.SG.BAL">'Gain Matrix'!$E$87</definedName>
    <definedName name="HFB.PROD.SUL">'Gain Matrix'!$CK$5</definedName>
    <definedName name="HFB.PROD.SUL.BAL">'Gain Matrix'!$E$88</definedName>
    <definedName name="HFB.PROD.T95">'Gain Matrix'!$CL$5</definedName>
    <definedName name="HFB.PROD.T95.BAL">'Gain Matrix'!$E$94</definedName>
    <definedName name="HFB.PROD.TCL">'Gain Matrix'!$CM$5</definedName>
    <definedName name="HFB.PROD.TCL.BAL">'Gain Matrix'!$E$95</definedName>
    <definedName name="HFB.PROD.TFL">'Gain Matrix'!$CN$5</definedName>
    <definedName name="HFB.PROD.TFL.BAL">'Gain Matrix'!$E$96</definedName>
    <definedName name="HFB.PROD.VAR1">'Gain Matrix'!$CX$5</definedName>
    <definedName name="HFB.PROD.VAR1.BAL">'Gain Matrix'!$E$89</definedName>
    <definedName name="IBP_1H" localSheetId="61">'CDU1.GFDP'!$A$2</definedName>
    <definedName name="IBP_1H_ROW" localSheetId="61">'CDU1.GFDP'!$A$3</definedName>
    <definedName name="IBP_1L" localSheetId="61">'CDU1.GFDP'!$C$2</definedName>
    <definedName name="IBP_1L_ROW" localSheetId="61">'CDU1.GFDP'!$C$3</definedName>
    <definedName name="IBP_2H" localSheetId="61">'CDU1.GFDP'!$E$2</definedName>
    <definedName name="IBP_2H_ROW" localSheetId="61">'CDU1.GFDP'!$E$3</definedName>
    <definedName name="IBP_2L" localSheetId="61">'CDU1.GFDP'!$G$2</definedName>
    <definedName name="IBP_2L_ROW" localSheetId="61">'CDU1.GFDP'!$G$3</definedName>
    <definedName name="IncludePredOnlyModels" localSheetId="41">'Opt Config DR'!$A$21</definedName>
    <definedName name="IncludePredOnlyModels">'Opt Config'!$A$21</definedName>
    <definedName name="IUNITS" localSheetId="56">PARAM!$B$2</definedName>
    <definedName name="KER_EVAP_T1" localSheetId="56">PARAM!$B$14</definedName>
    <definedName name="KER_EVAP_T2" localSheetId="56">PARAM!$B$15</definedName>
    <definedName name="KERHT.EVAP1.BIAS">'Gain Matrix'!$DZ$5</definedName>
    <definedName name="KERHT.EVAP2.BIAS">'Gain Matrix'!$EC$5</definedName>
    <definedName name="KERHT.FEED.FLOW">'Gain Matrix'!$DG$5</definedName>
    <definedName name="KERHT.FEED.FLOW.MAP">'Gain Matrix'!$E$108</definedName>
    <definedName name="KERHT.FLOW.BIAS">'Gain Matrix'!$DV$5</definedName>
    <definedName name="KERHT.H2PP">'Gain Matrix'!$DI$5</definedName>
    <definedName name="KERHT.H2PP.MAP">'Gain Matrix'!$E$104</definedName>
    <definedName name="KERHT.OVH.EVAP1">'Gain Matrix'!$DY$5</definedName>
    <definedName name="KERHT.OVH.EVAP2">'Gain Matrix'!$EB$5</definedName>
    <definedName name="KERHT.OVH.FLOW">'Gain Matrix'!$DL$5</definedName>
    <definedName name="KERHT.OVH.FLOW.MAP">'Gain Matrix'!$E$107</definedName>
    <definedName name="KERHT.OVH.SG">'Gain Matrix'!$DW$5</definedName>
    <definedName name="KERHT.OVH.TCL">'Gain Matrix'!$ED$5</definedName>
    <definedName name="KERHT.OVH.TFL">'Gain Matrix'!$EH$5</definedName>
    <definedName name="KERHT.OVH.TFZ">'Gain Matrix'!$EF$5</definedName>
    <definedName name="KERHT.PAR5">'Gain Matrix'!$DU$5</definedName>
    <definedName name="KERHT.PROD.EVAP1">'Gain Matrix'!$DX$5</definedName>
    <definedName name="KERHT.PROD.EVAP1.BAL">'Gain Matrix'!$E$117</definedName>
    <definedName name="KERHT.PROD.EVAP2">'Gain Matrix'!$EA$5</definedName>
    <definedName name="KERHT.PROD.EVAP2.BAL">'Gain Matrix'!$E$118</definedName>
    <definedName name="KERHT.PROD.FLOW">'Gain Matrix'!$DK$5</definedName>
    <definedName name="KERHT.PROD.FLOW.BAL">'Gain Matrix'!$E$115</definedName>
    <definedName name="KERHT.PROD.FLOW.MAP">'Gain Matrix'!$E$106</definedName>
    <definedName name="KERHT.PROD.SG">'Gain Matrix'!$DQ$5</definedName>
    <definedName name="KERHT.PROD.SG.BAL">'Gain Matrix'!$E$116</definedName>
    <definedName name="KERHT.PROD.SUL">'Gain Matrix'!$DJ$5</definedName>
    <definedName name="KERHT.PROD.SUL.BAL">'Gain Matrix'!$E$114</definedName>
    <definedName name="KERHT.PROD.TCL">'Gain Matrix'!$DR$5</definedName>
    <definedName name="KERHT.PROD.TCL.BAL">'Gain Matrix'!$E$119</definedName>
    <definedName name="KERHT.PROD.TFL">'Gain Matrix'!$DS$5</definedName>
    <definedName name="KERHT.PROD.TFL.BAL">'Gain Matrix'!$E$121</definedName>
    <definedName name="KERHT.PROD.TFZ">'Gain Matrix'!$DT$5</definedName>
    <definedName name="KERHT.PROD.TFZ.BAL">'Gain Matrix'!$E$120</definedName>
    <definedName name="KERHT.TCL.BIAS">'Gain Matrix'!$EE$5</definedName>
    <definedName name="KERHT.TFL.BIAS">'Gain Matrix'!$EI$5</definedName>
    <definedName name="KERHT.TFZ.BIAS">'Gain Matrix'!$EG$5</definedName>
    <definedName name="KERHT.WABT">'Gain Matrix'!$DH$5</definedName>
    <definedName name="KERHT.WABT.MAP">'Gain Matrix'!$E$105</definedName>
    <definedName name="LOPfromCheckPnt" localSheetId="41">'Opt Config DR'!$A$10</definedName>
    <definedName name="LOPfromCheckPnt">'Opt Config'!$A$10</definedName>
    <definedName name="MaxExecsToSkip" localSheetId="41">'Opt Config DR'!$A$9</definedName>
    <definedName name="MaxExecsToSkip">'Opt Config'!$A$9</definedName>
    <definedName name="MaxIteration_Infeasibility" localSheetId="41">'Opt Config DR'!$A$22</definedName>
    <definedName name="MaxIteration_Infeasibility">'Opt Config'!$A$22</definedName>
    <definedName name="Meas10Names" localSheetId="58">'CDU1.CNFG'!$U$2</definedName>
    <definedName name="Meas10Names" localSheetId="74">HDS.CNFG!$U$3</definedName>
    <definedName name="Meas10Names" localSheetId="69">KERHT.CNFG!$U$3</definedName>
    <definedName name="Meas10Names" localSheetId="6">'MD CDU.CNFG Template'!$U$2</definedName>
    <definedName name="Meas10Names" localSheetId="10">'MD HTU.CNFG Template'!$U$3</definedName>
    <definedName name="Meas10Types" localSheetId="58">'CDU1.CNFG'!$V$2</definedName>
    <definedName name="Meas10Types" localSheetId="74">HDS.CNFG!$V$3</definedName>
    <definedName name="Meas10Types" localSheetId="69">KERHT.CNFG!$V$3</definedName>
    <definedName name="Meas10Types" localSheetId="6">'MD CDU.CNFG Template'!$V$2</definedName>
    <definedName name="Meas10Types" localSheetId="10">'MD HTU.CNFG Template'!$V$3</definedName>
    <definedName name="Meas11Names" localSheetId="58">'CDU1.CNFG'!$W$2</definedName>
    <definedName name="Meas11Names" localSheetId="74">HDS.CNFG!$W$3</definedName>
    <definedName name="Meas11Names" localSheetId="69">KERHT.CNFG!$W$3</definedName>
    <definedName name="Meas11Names" localSheetId="6">'MD CDU.CNFG Template'!$W$2</definedName>
    <definedName name="Meas11Names" localSheetId="10">'MD HTU.CNFG Template'!$W$3</definedName>
    <definedName name="Meas11Types" localSheetId="58">'CDU1.CNFG'!$X$2</definedName>
    <definedName name="Meas11Types" localSheetId="74">HDS.CNFG!$X$3</definedName>
    <definedName name="Meas11Types" localSheetId="69">KERHT.CNFG!$X$3</definedName>
    <definedName name="Meas11Types" localSheetId="6">'MD CDU.CNFG Template'!$X$2</definedName>
    <definedName name="Meas11Types" localSheetId="10">'MD HTU.CNFG Template'!$X$3</definedName>
    <definedName name="Meas12Names" localSheetId="58">'CDU1.CNFG'!$Y$2</definedName>
    <definedName name="Meas12Names" localSheetId="74">HDS.CNFG!$Y$3</definedName>
    <definedName name="Meas12Names" localSheetId="69">KERHT.CNFG!$Y$3</definedName>
    <definedName name="Meas12Names" localSheetId="6">'MD CDU.CNFG Template'!$Y$2</definedName>
    <definedName name="Meas12Names" localSheetId="10">'MD HTU.CNFG Template'!$Y$3</definedName>
    <definedName name="Meas12Types" localSheetId="58">'CDU1.CNFG'!$Z$2</definedName>
    <definedName name="Meas12Types" localSheetId="74">HDS.CNFG!$Z$3</definedName>
    <definedName name="Meas12Types" localSheetId="69">KERHT.CNFG!$Z$3</definedName>
    <definedName name="Meas12Types" localSheetId="6">'MD CDU.CNFG Template'!$Z$2</definedName>
    <definedName name="Meas12Types" localSheetId="10">'MD HTU.CNFG Template'!$Z$3</definedName>
    <definedName name="Meas13Names" localSheetId="58">'CDU1.CNFG'!$AA$2</definedName>
    <definedName name="Meas13Names" localSheetId="74">HDS.CNFG!$AA$3</definedName>
    <definedName name="Meas13Names" localSheetId="69">KERHT.CNFG!$AA$3</definedName>
    <definedName name="Meas13Names" localSheetId="6">'MD CDU.CNFG Template'!$AA$2</definedName>
    <definedName name="Meas13Names" localSheetId="10">'MD HTU.CNFG Template'!$AA$3</definedName>
    <definedName name="Meas13Types" localSheetId="58">'CDU1.CNFG'!$AB$2</definedName>
    <definedName name="Meas13Types" localSheetId="74">HDS.CNFG!$AB$3</definedName>
    <definedName name="Meas13Types" localSheetId="69">KERHT.CNFG!$AB$3</definedName>
    <definedName name="Meas13Types" localSheetId="6">'MD CDU.CNFG Template'!$AB$2</definedName>
    <definedName name="Meas13Types" localSheetId="10">'MD HTU.CNFG Template'!$AB$3</definedName>
    <definedName name="Meas14Names" localSheetId="58">'CDU1.CNFG'!$AC$2</definedName>
    <definedName name="Meas14Names" localSheetId="74">HDS.CNFG!$AC$3</definedName>
    <definedName name="Meas14Names" localSheetId="69">KERHT.CNFG!$AC$3</definedName>
    <definedName name="Meas14Names" localSheetId="6">'MD CDU.CNFG Template'!$AC$2</definedName>
    <definedName name="Meas14Names" localSheetId="10">'MD HTU.CNFG Template'!$AC$3</definedName>
    <definedName name="Meas14Types" localSheetId="58">'CDU1.CNFG'!$AD$2</definedName>
    <definedName name="Meas14Types" localSheetId="74">HDS.CNFG!$AD$3</definedName>
    <definedName name="Meas14Types" localSheetId="69">KERHT.CNFG!$AD$3</definedName>
    <definedName name="Meas14Types" localSheetId="6">'MD CDU.CNFG Template'!$AD$2</definedName>
    <definedName name="Meas14Types" localSheetId="10">'MD HTU.CNFG Template'!$AD$3</definedName>
    <definedName name="Meas15Names" localSheetId="58">'CDU1.CNFG'!$AE$2</definedName>
    <definedName name="Meas15Names" localSheetId="74">HDS.CNFG!$AE$3</definedName>
    <definedName name="Meas15Names" localSheetId="69">KERHT.CNFG!$AE$3</definedName>
    <definedName name="Meas15Names" localSheetId="6">'MD CDU.CNFG Template'!$AE$2</definedName>
    <definedName name="Meas15Names" localSheetId="10">'MD HTU.CNFG Template'!$AE$3</definedName>
    <definedName name="Meas15Types" localSheetId="58">'CDU1.CNFG'!$AF$2</definedName>
    <definedName name="Meas15Types" localSheetId="74">HDS.CNFG!$AF$3</definedName>
    <definedName name="Meas15Types" localSheetId="69">KERHT.CNFG!$AF$3</definedName>
    <definedName name="Meas15Types" localSheetId="6">'MD CDU.CNFG Template'!$AF$2</definedName>
    <definedName name="Meas15Types" localSheetId="10">'MD HTU.CNFG Template'!$AF$3</definedName>
    <definedName name="Meas16Names" localSheetId="58">'CDU1.CNFG'!$AG$2</definedName>
    <definedName name="Meas16Names" localSheetId="74">HDS.CNFG!$AG$3</definedName>
    <definedName name="Meas16Names" localSheetId="69">KERHT.CNFG!$AG$3</definedName>
    <definedName name="Meas16Names" localSheetId="6">'MD CDU.CNFG Template'!$AG$2</definedName>
    <definedName name="Meas16Names" localSheetId="10">'MD HTU.CNFG Template'!$AG$3</definedName>
    <definedName name="Meas16Types" localSheetId="58">'CDU1.CNFG'!$AH$2</definedName>
    <definedName name="Meas16Types" localSheetId="74">HDS.CNFG!$AH$3</definedName>
    <definedName name="Meas16Types" localSheetId="69">KERHT.CNFG!$AH$3</definedName>
    <definedName name="Meas16Types" localSheetId="6">'MD CDU.CNFG Template'!$AH$2</definedName>
    <definedName name="Meas16Types" localSheetId="10">'MD HTU.CNFG Template'!$AH$3</definedName>
    <definedName name="Meas1Names" localSheetId="58">'CDU1.CNFG'!$C$2</definedName>
    <definedName name="Meas1Names" localSheetId="74">HDS.CNFG!$C$3</definedName>
    <definedName name="Meas1Names" localSheetId="69">KERHT.CNFG!$C$3</definedName>
    <definedName name="Meas1Names" localSheetId="6">'MD CDU.CNFG Template'!$C$2</definedName>
    <definedName name="Meas1Names" localSheetId="10">'MD HTU.CNFG Template'!$C$3</definedName>
    <definedName name="Meas1Types" localSheetId="58">'CDU1.CNFG'!$D$2</definedName>
    <definedName name="Meas1Types" localSheetId="74">HDS.CNFG!$D$3</definedName>
    <definedName name="Meas1Types" localSheetId="69">KERHT.CNFG!$D$3</definedName>
    <definedName name="Meas1Types" localSheetId="6">'MD CDU.CNFG Template'!$D$2</definedName>
    <definedName name="Meas1Types" localSheetId="10">'MD HTU.CNFG Template'!$D$3</definedName>
    <definedName name="Meas2Names" localSheetId="58">'CDU1.CNFG'!$E$2</definedName>
    <definedName name="Meas2Names" localSheetId="74">HDS.CNFG!$E$3</definedName>
    <definedName name="Meas2Names" localSheetId="69">KERHT.CNFG!$E$3</definedName>
    <definedName name="Meas2Names" localSheetId="6">'MD CDU.CNFG Template'!$E$2</definedName>
    <definedName name="Meas2Names" localSheetId="10">'MD HTU.CNFG Template'!$E$3</definedName>
    <definedName name="Meas2Types" localSheetId="58">'CDU1.CNFG'!$F$2</definedName>
    <definedName name="Meas2Types" localSheetId="74">HDS.CNFG!$F$3</definedName>
    <definedName name="Meas2Types" localSheetId="69">KERHT.CNFG!$F$3</definedName>
    <definedName name="Meas2Types" localSheetId="6">'MD CDU.CNFG Template'!$F$2</definedName>
    <definedName name="Meas2Types" localSheetId="10">'MD HTU.CNFG Template'!$F$3</definedName>
    <definedName name="Meas3Names" localSheetId="58">'CDU1.CNFG'!$G$2</definedName>
    <definedName name="Meas3Names" localSheetId="74">HDS.CNFG!$G$3</definedName>
    <definedName name="Meas3Names" localSheetId="69">KERHT.CNFG!$G$3</definedName>
    <definedName name="Meas3Names" localSheetId="6">'MD CDU.CNFG Template'!$G$2</definedName>
    <definedName name="Meas3Names" localSheetId="10">'MD HTU.CNFG Template'!$G$3</definedName>
    <definedName name="Meas3Types" localSheetId="58">'CDU1.CNFG'!$H$2</definedName>
    <definedName name="Meas3Types" localSheetId="74">HDS.CNFG!$H$3</definedName>
    <definedName name="Meas3Types" localSheetId="69">KERHT.CNFG!$H$3</definedName>
    <definedName name="Meas3Types" localSheetId="6">'MD CDU.CNFG Template'!$H$2</definedName>
    <definedName name="Meas3Types" localSheetId="10">'MD HTU.CNFG Template'!$H$3</definedName>
    <definedName name="Meas4Names" localSheetId="58">'CDU1.CNFG'!$I$2</definedName>
    <definedName name="Meas4Names" localSheetId="74">HDS.CNFG!$I$3</definedName>
    <definedName name="Meas4Names" localSheetId="69">KERHT.CNFG!$I$3</definedName>
    <definedName name="Meas4Names" localSheetId="6">'MD CDU.CNFG Template'!$I$2</definedName>
    <definedName name="Meas4Names" localSheetId="10">'MD HTU.CNFG Template'!$I$3</definedName>
    <definedName name="Meas4Types" localSheetId="58">'CDU1.CNFG'!$J$2</definedName>
    <definedName name="Meas4Types" localSheetId="74">HDS.CNFG!$J$3</definedName>
    <definedName name="Meas4Types" localSheetId="69">KERHT.CNFG!$J$3</definedName>
    <definedName name="Meas4Types" localSheetId="6">'MD CDU.CNFG Template'!$J$2</definedName>
    <definedName name="Meas4Types" localSheetId="10">'MD HTU.CNFG Template'!$J$3</definedName>
    <definedName name="Meas5Names" localSheetId="58">'CDU1.CNFG'!$K$2</definedName>
    <definedName name="Meas5Names" localSheetId="74">HDS.CNFG!$K$3</definedName>
    <definedName name="Meas5Names" localSheetId="69">KERHT.CNFG!$K$3</definedName>
    <definedName name="Meas5Names" localSheetId="6">'MD CDU.CNFG Template'!$K$2</definedName>
    <definedName name="Meas5Names" localSheetId="10">'MD HTU.CNFG Template'!$K$3</definedName>
    <definedName name="Meas5Types" localSheetId="58">'CDU1.CNFG'!$L$2</definedName>
    <definedName name="Meas5Types" localSheetId="74">HDS.CNFG!$L$3</definedName>
    <definedName name="Meas5Types" localSheetId="69">KERHT.CNFG!$L$3</definedName>
    <definedName name="Meas5Types" localSheetId="6">'MD CDU.CNFG Template'!$L$2</definedName>
    <definedName name="Meas5Types" localSheetId="10">'MD HTU.CNFG Template'!$L$3</definedName>
    <definedName name="Meas6Names" localSheetId="58">'CDU1.CNFG'!$M$2</definedName>
    <definedName name="Meas6Names" localSheetId="74">HDS.CNFG!$M$3</definedName>
    <definedName name="Meas6Names" localSheetId="69">KERHT.CNFG!$M$3</definedName>
    <definedName name="Meas6Names" localSheetId="6">'MD CDU.CNFG Template'!$M$2</definedName>
    <definedName name="Meas6Names" localSheetId="10">'MD HTU.CNFG Template'!$M$3</definedName>
    <definedName name="Meas6Types" localSheetId="58">'CDU1.CNFG'!$N$2</definedName>
    <definedName name="Meas6Types" localSheetId="74">HDS.CNFG!$N$3</definedName>
    <definedName name="Meas6Types" localSheetId="69">KERHT.CNFG!$N$3</definedName>
    <definedName name="Meas6Types" localSheetId="6">'MD CDU.CNFG Template'!$N$2</definedName>
    <definedName name="Meas6Types" localSheetId="10">'MD HTU.CNFG Template'!$N$3</definedName>
    <definedName name="Meas7Names" localSheetId="58">'CDU1.CNFG'!$O$2</definedName>
    <definedName name="Meas7Names" localSheetId="74">HDS.CNFG!$O$3</definedName>
    <definedName name="Meas7Names" localSheetId="69">KERHT.CNFG!$O$3</definedName>
    <definedName name="Meas7Names" localSheetId="6">'MD CDU.CNFG Template'!$O$2</definedName>
    <definedName name="Meas7Names" localSheetId="10">'MD HTU.CNFG Template'!$O$3</definedName>
    <definedName name="Meas7Types" localSheetId="58">'CDU1.CNFG'!$P$2</definedName>
    <definedName name="Meas7Types" localSheetId="74">HDS.CNFG!$P$3</definedName>
    <definedName name="Meas7Types" localSheetId="69">KERHT.CNFG!$P$3</definedName>
    <definedName name="Meas7Types" localSheetId="6">'MD CDU.CNFG Template'!$P$2</definedName>
    <definedName name="Meas7Types" localSheetId="10">'MD HTU.CNFG Template'!$P$3</definedName>
    <definedName name="Meas8Names" localSheetId="58">'CDU1.CNFG'!$Q$2</definedName>
    <definedName name="Meas8Names" localSheetId="74">HDS.CNFG!$Q$3</definedName>
    <definedName name="Meas8Names" localSheetId="69">KERHT.CNFG!$Q$3</definedName>
    <definedName name="Meas8Names" localSheetId="6">'MD CDU.CNFG Template'!$Q$2</definedName>
    <definedName name="Meas8Names" localSheetId="10">'MD HTU.CNFG Template'!$Q$3</definedName>
    <definedName name="Meas8Types" localSheetId="58">'CDU1.CNFG'!$R$2</definedName>
    <definedName name="Meas8Types" localSheetId="74">HDS.CNFG!$R$3</definedName>
    <definedName name="Meas8Types" localSheetId="69">KERHT.CNFG!$R$3</definedName>
    <definedName name="Meas8Types" localSheetId="6">'MD CDU.CNFG Template'!$R$2</definedName>
    <definedName name="Meas8Types" localSheetId="10">'MD HTU.CNFG Template'!$R$3</definedName>
    <definedName name="Meas9Names" localSheetId="58">'CDU1.CNFG'!$S$2</definedName>
    <definedName name="Meas9Names" localSheetId="74">HDS.CNFG!$S$3</definedName>
    <definedName name="Meas9Names" localSheetId="69">KERHT.CNFG!$S$3</definedName>
    <definedName name="Meas9Names" localSheetId="6">'MD CDU.CNFG Template'!$S$2</definedName>
    <definedName name="Meas9Names" localSheetId="10">'MD HTU.CNFG Template'!$S$3</definedName>
    <definedName name="Meas9Types" localSheetId="58">'CDU1.CNFG'!$T$2</definedName>
    <definedName name="Meas9Types" localSheetId="74">HDS.CNFG!$T$3</definedName>
    <definedName name="Meas9Types" localSheetId="69">KERHT.CNFG!$T$3</definedName>
    <definedName name="Meas9Types" localSheetId="6">'MD CDU.CNFG Template'!$T$2</definedName>
    <definedName name="Meas9Types" localSheetId="10">'MD HTU.CNFG Template'!$T$3</definedName>
    <definedName name="measTypeGenMD_HTU">'list values'!$M$2:$M$10</definedName>
    <definedName name="measTypeMD_BU">'list values'!$K$2:$K$12</definedName>
    <definedName name="measTypeMD_CDU">'list values'!$C$2:$C$11</definedName>
    <definedName name="measTypeMD_HTUP">'list values'!$O$2</definedName>
    <definedName name="measTypeMD_HTUSUL">'list values'!$Q$2</definedName>
    <definedName name="measTypeMD_HTUT">'list values'!$E$2</definedName>
    <definedName name="MU_Config" localSheetId="41">'Opt Config DR'!$E$3</definedName>
    <definedName name="MU_Config">'Opt Config'!$E$3</definedName>
    <definedName name="MUConnections">'Model Update'!$B$14</definedName>
    <definedName name="MUExecInterval">'Model Update'!$B$3</definedName>
    <definedName name="MUExecIntervalOn">'Model Update'!$F$4</definedName>
    <definedName name="MUExecOffset">'Model Update'!$B$4</definedName>
    <definedName name="MUExecOffsetOn">'Model Update'!$F$5</definedName>
    <definedName name="MULastModelWrite">'Model Update'!$F$7</definedName>
    <definedName name="MUMessage">'Model Update'!$F$8</definedName>
    <definedName name="MUModelFileOn">'Model Update'!$F$6</definedName>
    <definedName name="MUModelFilePath">'Model Update'!$F$11</definedName>
    <definedName name="MUStatus">'Model Update'!$F$3</definedName>
    <definedName name="MUValues">'Model Update'!$E$14</definedName>
    <definedName name="MUWriteValues">'AuxWrite Config'!$F$1</definedName>
    <definedName name="MVConfig">'MV Config'!$A$5</definedName>
    <definedName name="MVConfig_DR">'MV Config DR'!$A$5</definedName>
    <definedName name="MVs" localSheetId="60">'CDU1.CMAP'!$E$2</definedName>
    <definedName name="MVs" localSheetId="59">'CDU1.DMC'!$E$2</definedName>
    <definedName name="MVs" localSheetId="63">'CDU1.GDOT'!$E$2</definedName>
    <definedName name="MVs" localSheetId="62">'CDU1.GMAP'!$E$2</definedName>
    <definedName name="MVs" localSheetId="52">'Convoluted Matrix'!$E$2</definedName>
    <definedName name="MVs" localSheetId="54">'Convoluted Matrix_2'!$E$2</definedName>
    <definedName name="MVs" localSheetId="1">'GM Template'!$E$2</definedName>
    <definedName name="MVs" localSheetId="76">HDS.CMAP!$E$2</definedName>
    <definedName name="MVs" localSheetId="75">HDS.DMC!$E$2</definedName>
    <definedName name="MVs" localSheetId="78">HDS.GDOT!$E$2</definedName>
    <definedName name="MVs" localSheetId="77">HDS.GMAP!$E$2</definedName>
    <definedName name="MVs" localSheetId="66">HFB.CMAP!$E$2</definedName>
    <definedName name="MVs" localSheetId="65">HFB.DMC!$E$2</definedName>
    <definedName name="MVs" localSheetId="68">HFB.GDOT!$E$2</definedName>
    <definedName name="MVs" localSheetId="67">HFB.GMAP!$E$2</definedName>
    <definedName name="MVs" localSheetId="71">KERHT.CMAP!$E$2</definedName>
    <definedName name="MVs" localSheetId="70">KERHT.DMC!$E$2</definedName>
    <definedName name="MVs" localSheetId="73">KERHT.GDOT!$E$2</definedName>
    <definedName name="MVs" localSheetId="72">KERHT.GMAP!$E$2</definedName>
    <definedName name="MVs">'Gain Matrix'!$E$2</definedName>
    <definedName name="NumAUX">'Model Update'!$C$10</definedName>
    <definedName name="NumAuxWrite">'Model Update'!$C$11</definedName>
    <definedName name="NumCV">'Model Update'!$C$8</definedName>
    <definedName name="NumMV">'Model Update'!$C$9</definedName>
    <definedName name="OnOffReq_Config" localSheetId="41">'Opt Config DR'!$H$3</definedName>
    <definedName name="OnOffReq_Config">'Opt Config'!$H$3</definedName>
    <definedName name="OPC_Node" localSheetId="41">'Opt Config DR'!$F$4</definedName>
    <definedName name="OPC_Node">'Opt Config'!$F$4</definedName>
    <definedName name="OPCUpdateFreq" localSheetId="41">'Opt Config DR'!$A$14</definedName>
    <definedName name="OPCUpdateFreq">'Opt Config'!$A$14</definedName>
    <definedName name="PI_11.PV">'Gain Matrix'!$G$5</definedName>
    <definedName name="PX_40.PV">'Gain Matrix'!$EQ$5</definedName>
    <definedName name="PX_71.PV">'Gain Matrix'!$DN$5</definedName>
    <definedName name="Rank_CutOff" localSheetId="41">'Opt Config DR'!$A$19</definedName>
    <definedName name="Rank_CutOff">'Opt Config'!$A$19</definedName>
    <definedName name="SaveCopyOfCP" localSheetId="41">'Opt Config DR'!$A$17</definedName>
    <definedName name="SaveCopyOfCP">'Opt Config'!$A$17</definedName>
    <definedName name="SaveInterval">'Model Update'!$K$3</definedName>
    <definedName name="SC1_T951" localSheetId="61">'CDU1.GFDP'!$A$23</definedName>
    <definedName name="SC1_T952" localSheetId="61">'CDU1.GFDP'!$A$24</definedName>
    <definedName name="SC1_T953" localSheetId="61">'CDU1.GFDP'!$A$25</definedName>
    <definedName name="SC2_T951" localSheetId="61">'CDU1.GFDP'!$B$23</definedName>
    <definedName name="SC2_T952" localSheetId="61">'CDU1.GFDP'!$B$24</definedName>
    <definedName name="SC2_T953" localSheetId="61">'CDU1.GFDP'!$B$25</definedName>
    <definedName name="SC2_T954" localSheetId="61">'CDU1.GFDP'!$B$26</definedName>
    <definedName name="SC2_T955" localSheetId="61">'CDU1.GFDP'!$B$27</definedName>
    <definedName name="SC3_T951" localSheetId="61">'CDU1.GFDP'!$C$23</definedName>
    <definedName name="SC3_T952" localSheetId="61">'CDU1.GFDP'!$C$24</definedName>
    <definedName name="SC3_T953" localSheetId="61">'CDU1.GFDP'!$C$25</definedName>
    <definedName name="SC3_T954" localSheetId="61">'CDU1.GFDP'!$C$26</definedName>
    <definedName name="SC3_T955" localSheetId="61">'CDU1.GFDP'!$C$27</definedName>
    <definedName name="SG_1" localSheetId="61">'CDU1.GFDP'!$D$15</definedName>
    <definedName name="SG_2" localSheetId="61">'CDU1.GFDP'!$B$15</definedName>
    <definedName name="ShedToAdvisory" localSheetId="41">'Opt Config DR'!$A$13</definedName>
    <definedName name="ShedToAdvisory">'Opt Config'!$A$13</definedName>
    <definedName name="solver_adj" localSheetId="48" hidden="1">'Model Update'!$H$288</definedName>
    <definedName name="solver_cvg" localSheetId="48" hidden="1">0.000000001</definedName>
    <definedName name="solver_drv" localSheetId="48" hidden="1">1</definedName>
    <definedName name="solver_eng" localSheetId="48" hidden="1">1</definedName>
    <definedName name="solver_est" localSheetId="48" hidden="1">1</definedName>
    <definedName name="solver_itr" localSheetId="48" hidden="1">2147483647</definedName>
    <definedName name="solver_mip" localSheetId="48" hidden="1">2147483647</definedName>
    <definedName name="solver_mni" localSheetId="48" hidden="1">30</definedName>
    <definedName name="solver_mrt" localSheetId="48" hidden="1">0.075</definedName>
    <definedName name="solver_msl" localSheetId="48" hidden="1">2</definedName>
    <definedName name="solver_neg" localSheetId="48" hidden="1">1</definedName>
    <definedName name="solver_nod" localSheetId="48" hidden="1">2147483647</definedName>
    <definedName name="solver_num" localSheetId="48" hidden="1">0</definedName>
    <definedName name="solver_nwt" localSheetId="48" hidden="1">1</definedName>
    <definedName name="solver_opt" localSheetId="48" hidden="1">'Model Update'!$J$288</definedName>
    <definedName name="solver_pre" localSheetId="48" hidden="1">0.000001</definedName>
    <definedName name="solver_rbv" localSheetId="48" hidden="1">1</definedName>
    <definedName name="solver_rlx" localSheetId="48" hidden="1">2</definedName>
    <definedName name="solver_rsd" localSheetId="48" hidden="1">0</definedName>
    <definedName name="solver_scl" localSheetId="48" hidden="1">1</definedName>
    <definedName name="solver_sho" localSheetId="48" hidden="1">2</definedName>
    <definedName name="solver_ssz" localSheetId="48" hidden="1">100</definedName>
    <definedName name="solver_tim" localSheetId="48" hidden="1">2147483647</definedName>
    <definedName name="solver_tol" localSheetId="48" hidden="1">0.01</definedName>
    <definedName name="solver_typ" localSheetId="48" hidden="1">2</definedName>
    <definedName name="solver_val" localSheetId="48" hidden="1">0</definedName>
    <definedName name="solver_ver" localSheetId="48" hidden="1">3</definedName>
    <definedName name="Status_Config" localSheetId="41">'Opt Config DR'!$L$3</definedName>
    <definedName name="Status_Config">'Opt Config'!$L$3</definedName>
    <definedName name="StreamNames" localSheetId="58">'CDU1.CNFG'!$A$2</definedName>
    <definedName name="StreamNames" localSheetId="74">HDS.CNFG!$A$3</definedName>
    <definedName name="StreamNames" localSheetId="69">KERHT.CNFG!$A$3</definedName>
    <definedName name="StreamNames" localSheetId="6">'MD CDU.CNFG Template'!$A$2</definedName>
    <definedName name="StreamNames" localSheetId="10">'MD HTU.CNFG Template'!$A$3</definedName>
    <definedName name="StreamSource" localSheetId="74">HDS.CNFG!$B$3</definedName>
    <definedName name="StreamSource" localSheetId="69">KERHT.CNFG!$B$3</definedName>
    <definedName name="StreamSource" localSheetId="10">'MD HTU.CNFG Template'!$B$3</definedName>
    <definedName name="StreamTypes" localSheetId="58">'CDU1.CNFG'!$B$2</definedName>
    <definedName name="StreamTypes" localSheetId="6">'MD CDU.CNFG Template'!$B$2</definedName>
    <definedName name="SUL_1" localSheetId="61">'CDU1.GFDP'!$D$12</definedName>
    <definedName name="SUL_2" localSheetId="61">'CDU1.GFDP'!$B$12</definedName>
    <definedName name="TC_11.PV">'Gain Matrix'!$F$5</definedName>
    <definedName name="TK81_.CI">'Gain Matrix'!$E$80</definedName>
    <definedName name="TK81_.SG">'Gain Matrix'!$E$81</definedName>
    <definedName name="TK81_.SUL">'Gain Matrix'!$E$82</definedName>
    <definedName name="TK81_.T05_">'Gain Matrix'!$E$83</definedName>
    <definedName name="TK81_.T95_">'Gain Matrix'!$E$84</definedName>
    <definedName name="TK81_.TCL">'Gain Matrix'!$E$85</definedName>
    <definedName name="TK81_.TFL">'Gain Matrix'!$E$86</definedName>
    <definedName name="TX_40.PV">'Gain Matrix'!$EP$5</definedName>
    <definedName name="TX_71.PV">'Gain Matrix'!$DM$5</definedName>
    <definedName name="typeMD_BU">'list values'!$I$2:$I$3</definedName>
    <definedName name="typeMD_HTU">'list values'!$G$2:$G$3</definedName>
    <definedName name="UnforcedPredInSim" localSheetId="41">'Opt Config DR'!$A$16</definedName>
    <definedName name="UnforcedPredInSim">'Opt Config'!$A$16</definedName>
    <definedName name="UseMoveSuppr" localSheetId="41">'Opt Config DR'!$A$11</definedName>
    <definedName name="UseMoveSuppr">'Opt Config'!$A$11</definedName>
    <definedName name="VariableDeadTime_DeadBand" localSheetId="41">'Opt Config DR'!$A$20</definedName>
    <definedName name="VariableDeadTime_DeadBand">'Opt Config'!$A$20</definedName>
    <definedName name="Version" localSheetId="41">'Opt Config DR'!$B$3</definedName>
    <definedName name="Version">'Opt Config'!$B$3</definedName>
    <definedName name="VersionType" localSheetId="41">'Opt Config DR'!$C$3</definedName>
    <definedName name="VersionType">'Opt Config'!$C$3</definedName>
    <definedName name="WatchDog_Config" localSheetId="41">'Opt Config DR'!$P$3</definedName>
    <definedName name="WatchDog_Config">'Opt Config'!$P$3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8" i="61" l="1"/>
  <c r="E66" i="61"/>
  <c r="E12" i="61"/>
  <c r="I18" i="132"/>
  <c r="A12010" i="81" a="1"/>
  <c r="A12003" i="81" a="1"/>
  <c r="C27" i="81" a="1"/>
  <c r="C28" i="81" a="1"/>
  <c r="A12001" i="81" a="1"/>
  <c r="C29" i="81" a="1"/>
  <c r="A12002" i="81" a="1"/>
  <c r="A12010" i="77" a="1"/>
  <c r="C29" i="77" a="1"/>
  <c r="A12002" i="77" a="1"/>
  <c r="A12003" i="77" a="1"/>
  <c r="C27" i="77" a="1"/>
  <c r="A12001" i="77" a="1"/>
  <c r="C28" i="77" a="1"/>
  <c r="A12002" i="81" l="1"/>
  <c r="C12002" i="81"/>
  <c r="E12002" i="81"/>
  <c r="G12002" i="81"/>
  <c r="I12002" i="81"/>
  <c r="K12002" i="81"/>
  <c r="M12002" i="81"/>
  <c r="O12002" i="81"/>
  <c r="Q12002" i="81"/>
  <c r="S12002" i="81"/>
  <c r="U12002" i="81"/>
  <c r="W12002" i="81"/>
  <c r="Y12002" i="81"/>
  <c r="AA12002" i="81"/>
  <c r="AC12002" i="81"/>
  <c r="AE12002" i="81"/>
  <c r="AG12002" i="81"/>
  <c r="AI12002" i="81"/>
  <c r="AK12002" i="81"/>
  <c r="AM12002" i="81"/>
  <c r="AO12002" i="81"/>
  <c r="AQ12002" i="81"/>
  <c r="AS12002" i="81"/>
  <c r="AU12002" i="81"/>
  <c r="AW12002" i="81"/>
  <c r="AY12002" i="81"/>
  <c r="BA12002" i="81"/>
  <c r="BC12002" i="81"/>
  <c r="BE12002" i="81"/>
  <c r="BG12002" i="81"/>
  <c r="BI12002" i="81"/>
  <c r="BK12002" i="81"/>
  <c r="BM12002" i="81"/>
  <c r="BO12002" i="81"/>
  <c r="BQ12002" i="81"/>
  <c r="BS12002" i="81"/>
  <c r="BU12002" i="81"/>
  <c r="BW12002" i="81"/>
  <c r="BY12002" i="81"/>
  <c r="CA12002" i="81"/>
  <c r="CC12002" i="81"/>
  <c r="CE12002" i="81"/>
  <c r="CG12002" i="81"/>
  <c r="CI12002" i="81"/>
  <c r="CK12002" i="81"/>
  <c r="CM12002" i="81"/>
  <c r="CO12002" i="81"/>
  <c r="CQ12002" i="81"/>
  <c r="CS12002" i="81"/>
  <c r="CU12002" i="81"/>
  <c r="CW12002" i="81"/>
  <c r="CY12002" i="81"/>
  <c r="DA12002" i="81"/>
  <c r="DC12002" i="81"/>
  <c r="DE12002" i="81"/>
  <c r="DG12002" i="81"/>
  <c r="DI12002" i="81"/>
  <c r="DK12002" i="81"/>
  <c r="DM12002" i="81"/>
  <c r="DO12002" i="81"/>
  <c r="DQ12002" i="81"/>
  <c r="DS12002" i="81"/>
  <c r="DU12002" i="81"/>
  <c r="DW12002" i="81"/>
  <c r="DY12002" i="81"/>
  <c r="EA12002" i="81"/>
  <c r="EC12002" i="81"/>
  <c r="EE12002" i="81"/>
  <c r="B12002" i="81"/>
  <c r="F12002" i="81"/>
  <c r="J12002" i="81"/>
  <c r="N12002" i="81"/>
  <c r="R12002" i="81"/>
  <c r="V12002" i="81"/>
  <c r="Z12002" i="81"/>
  <c r="AD12002" i="81"/>
  <c r="AH12002" i="81"/>
  <c r="AL12002" i="81"/>
  <c r="AP12002" i="81"/>
  <c r="AT12002" i="81"/>
  <c r="AX12002" i="81"/>
  <c r="BB12002" i="81"/>
  <c r="BF12002" i="81"/>
  <c r="BJ12002" i="81"/>
  <c r="BN12002" i="81"/>
  <c r="BR12002" i="81"/>
  <c r="BV12002" i="81"/>
  <c r="BZ12002" i="81"/>
  <c r="CD12002" i="81"/>
  <c r="CH12002" i="81"/>
  <c r="CL12002" i="81"/>
  <c r="CP12002" i="81"/>
  <c r="CT12002" i="81"/>
  <c r="CX12002" i="81"/>
  <c r="DB12002" i="81"/>
  <c r="DF12002" i="81"/>
  <c r="DJ12002" i="81"/>
  <c r="DN12002" i="81"/>
  <c r="DR12002" i="81"/>
  <c r="DV12002" i="81"/>
  <c r="DZ12002" i="81"/>
  <c r="ED12002" i="81"/>
  <c r="D12002" i="81"/>
  <c r="H12002" i="81"/>
  <c r="L12002" i="81"/>
  <c r="P12002" i="81"/>
  <c r="T12002" i="81"/>
  <c r="X12002" i="81"/>
  <c r="AB12002" i="81"/>
  <c r="AF12002" i="81"/>
  <c r="AJ12002" i="81"/>
  <c r="AN12002" i="81"/>
  <c r="AR12002" i="81"/>
  <c r="AV12002" i="81"/>
  <c r="AZ12002" i="81"/>
  <c r="BD12002" i="81"/>
  <c r="BH12002" i="81"/>
  <c r="BL12002" i="81"/>
  <c r="BP12002" i="81"/>
  <c r="BT12002" i="81"/>
  <c r="BX12002" i="81"/>
  <c r="CB12002" i="81"/>
  <c r="CF12002" i="81"/>
  <c r="CJ12002" i="81"/>
  <c r="CN12002" i="81"/>
  <c r="CR12002" i="81"/>
  <c r="CV12002" i="81"/>
  <c r="CZ12002" i="81"/>
  <c r="DD12002" i="81"/>
  <c r="DH12002" i="81"/>
  <c r="DL12002" i="81"/>
  <c r="DP12002" i="81"/>
  <c r="DT12002" i="81"/>
  <c r="DX12002" i="81"/>
  <c r="EB12002" i="81"/>
  <c r="EF12002" i="81"/>
  <c r="C29" i="81"/>
  <c r="B12001" i="81"/>
  <c r="D12001" i="81"/>
  <c r="F12001" i="81"/>
  <c r="H12001" i="81"/>
  <c r="J12001" i="81"/>
  <c r="L12001" i="81"/>
  <c r="N12001" i="81"/>
  <c r="P12001" i="81"/>
  <c r="R12001" i="81"/>
  <c r="T12001" i="81"/>
  <c r="V12001" i="81"/>
  <c r="X12001" i="81"/>
  <c r="Z12001" i="81"/>
  <c r="AB12001" i="81"/>
  <c r="AD12001" i="81"/>
  <c r="AF12001" i="81"/>
  <c r="AH12001" i="81"/>
  <c r="AJ12001" i="81"/>
  <c r="AL12001" i="81"/>
  <c r="AN12001" i="81"/>
  <c r="AP12001" i="81"/>
  <c r="AR12001" i="81"/>
  <c r="AT12001" i="81"/>
  <c r="AV12001" i="81"/>
  <c r="AX12001" i="81"/>
  <c r="AZ12001" i="81"/>
  <c r="BB12001" i="81"/>
  <c r="BD12001" i="81"/>
  <c r="BF12001" i="81"/>
  <c r="BH12001" i="81"/>
  <c r="BJ12001" i="81"/>
  <c r="BL12001" i="81"/>
  <c r="BN12001" i="81"/>
  <c r="BP12001" i="81"/>
  <c r="BR12001" i="81"/>
  <c r="BT12001" i="81"/>
  <c r="BV12001" i="81"/>
  <c r="BX12001" i="81"/>
  <c r="BZ12001" i="81"/>
  <c r="CB12001" i="81"/>
  <c r="CD12001" i="81"/>
  <c r="CF12001" i="81"/>
  <c r="CH12001" i="81"/>
  <c r="CJ12001" i="81"/>
  <c r="CL12001" i="81"/>
  <c r="C12001" i="81"/>
  <c r="G12001" i="81"/>
  <c r="K12001" i="81"/>
  <c r="O12001" i="81"/>
  <c r="S12001" i="81"/>
  <c r="W12001" i="81"/>
  <c r="AA12001" i="81"/>
  <c r="AE12001" i="81"/>
  <c r="AI12001" i="81"/>
  <c r="AM12001" i="81"/>
  <c r="AQ12001" i="81"/>
  <c r="AU12001" i="81"/>
  <c r="AY12001" i="81"/>
  <c r="BC12001" i="81"/>
  <c r="BG12001" i="81"/>
  <c r="BK12001" i="81"/>
  <c r="BO12001" i="81"/>
  <c r="BS12001" i="81"/>
  <c r="BW12001" i="81"/>
  <c r="CA12001" i="81"/>
  <c r="CE12001" i="81"/>
  <c r="CI12001" i="81"/>
  <c r="CM12001" i="81"/>
  <c r="A12001" i="81"/>
  <c r="E12001" i="81"/>
  <c r="I12001" i="81"/>
  <c r="M12001" i="81"/>
  <c r="Q12001" i="81"/>
  <c r="U12001" i="81"/>
  <c r="Y12001" i="81"/>
  <c r="AC12001" i="81"/>
  <c r="AG12001" i="81"/>
  <c r="AK12001" i="81"/>
  <c r="AO12001" i="81"/>
  <c r="AS12001" i="81"/>
  <c r="AW12001" i="81"/>
  <c r="BA12001" i="81"/>
  <c r="BE12001" i="81"/>
  <c r="BI12001" i="81"/>
  <c r="BM12001" i="81"/>
  <c r="BQ12001" i="81"/>
  <c r="BU12001" i="81"/>
  <c r="BY12001" i="81"/>
  <c r="CC12001" i="81"/>
  <c r="CG12001" i="81"/>
  <c r="CK12001" i="81"/>
  <c r="C28" i="81"/>
  <c r="C27" i="81"/>
  <c r="B12003" i="81"/>
  <c r="D12003" i="81"/>
  <c r="F12003" i="81"/>
  <c r="H12003" i="81"/>
  <c r="J12003" i="81"/>
  <c r="L12003" i="81"/>
  <c r="N12003" i="81"/>
  <c r="P12003" i="81"/>
  <c r="R12003" i="81"/>
  <c r="T12003" i="81"/>
  <c r="V12003" i="81"/>
  <c r="X12003" i="81"/>
  <c r="Z12003" i="81"/>
  <c r="AB12003" i="81"/>
  <c r="AD12003" i="81"/>
  <c r="AF12003" i="81"/>
  <c r="AH12003" i="81"/>
  <c r="AJ12003" i="81"/>
  <c r="AL12003" i="81"/>
  <c r="AN12003" i="81"/>
  <c r="AP12003" i="81"/>
  <c r="AR12003" i="81"/>
  <c r="AT12003" i="81"/>
  <c r="AV12003" i="81"/>
  <c r="AX12003" i="81"/>
  <c r="AZ12003" i="81"/>
  <c r="BB12003" i="81"/>
  <c r="BD12003" i="81"/>
  <c r="BF12003" i="81"/>
  <c r="BH12003" i="81"/>
  <c r="BJ12003" i="81"/>
  <c r="BL12003" i="81"/>
  <c r="BN12003" i="81"/>
  <c r="BP12003" i="81"/>
  <c r="BR12003" i="81"/>
  <c r="BT12003" i="81"/>
  <c r="BV12003" i="81"/>
  <c r="BX12003" i="81"/>
  <c r="BZ12003" i="81"/>
  <c r="CB12003" i="81"/>
  <c r="CD12003" i="81"/>
  <c r="CF12003" i="81"/>
  <c r="CH12003" i="81"/>
  <c r="CJ12003" i="81"/>
  <c r="CL12003" i="81"/>
  <c r="CN12003" i="81"/>
  <c r="CP12003" i="81"/>
  <c r="CR12003" i="81"/>
  <c r="CT12003" i="81"/>
  <c r="CV12003" i="81"/>
  <c r="CX12003" i="81"/>
  <c r="CZ12003" i="81"/>
  <c r="DB12003" i="81"/>
  <c r="DD12003" i="81"/>
  <c r="DF12003" i="81"/>
  <c r="DH12003" i="81"/>
  <c r="DJ12003" i="81"/>
  <c r="DL12003" i="81"/>
  <c r="DN12003" i="81"/>
  <c r="DP12003" i="81"/>
  <c r="DR12003" i="81"/>
  <c r="DT12003" i="81"/>
  <c r="DV12003" i="81"/>
  <c r="DX12003" i="81"/>
  <c r="DZ12003" i="81"/>
  <c r="EB12003" i="81"/>
  <c r="ED12003" i="81"/>
  <c r="EF12003" i="81"/>
  <c r="EH12003" i="81"/>
  <c r="EJ12003" i="81"/>
  <c r="EL12003" i="81"/>
  <c r="EN12003" i="81"/>
  <c r="EP12003" i="81"/>
  <c r="ER12003" i="81"/>
  <c r="ET12003" i="81"/>
  <c r="EV12003" i="81"/>
  <c r="EX12003" i="81"/>
  <c r="EZ12003" i="81"/>
  <c r="FB12003" i="81"/>
  <c r="FD12003" i="81"/>
  <c r="FF12003" i="81"/>
  <c r="FH12003" i="81"/>
  <c r="FJ12003" i="81"/>
  <c r="FL12003" i="81"/>
  <c r="A12003" i="81"/>
  <c r="E12003" i="81"/>
  <c r="I12003" i="81"/>
  <c r="M12003" i="81"/>
  <c r="Q12003" i="81"/>
  <c r="U12003" i="81"/>
  <c r="Y12003" i="81"/>
  <c r="AC12003" i="81"/>
  <c r="AG12003" i="81"/>
  <c r="AK12003" i="81"/>
  <c r="AO12003" i="81"/>
  <c r="AS12003" i="81"/>
  <c r="AW12003" i="81"/>
  <c r="BA12003" i="81"/>
  <c r="BE12003" i="81"/>
  <c r="BI12003" i="81"/>
  <c r="BM12003" i="81"/>
  <c r="BQ12003" i="81"/>
  <c r="BU12003" i="81"/>
  <c r="BY12003" i="81"/>
  <c r="CC12003" i="81"/>
  <c r="CG12003" i="81"/>
  <c r="CK12003" i="81"/>
  <c r="CO12003" i="81"/>
  <c r="CS12003" i="81"/>
  <c r="CW12003" i="81"/>
  <c r="DA12003" i="81"/>
  <c r="DE12003" i="81"/>
  <c r="DI12003" i="81"/>
  <c r="DM12003" i="81"/>
  <c r="DQ12003" i="81"/>
  <c r="DU12003" i="81"/>
  <c r="DY12003" i="81"/>
  <c r="EC12003" i="81"/>
  <c r="EG12003" i="81"/>
  <c r="EK12003" i="81"/>
  <c r="EO12003" i="81"/>
  <c r="ES12003" i="81"/>
  <c r="EW12003" i="81"/>
  <c r="FA12003" i="81"/>
  <c r="FE12003" i="81"/>
  <c r="FI12003" i="81"/>
  <c r="FM12003" i="81"/>
  <c r="C12003" i="81"/>
  <c r="G12003" i="81"/>
  <c r="K12003" i="81"/>
  <c r="O12003" i="81"/>
  <c r="S12003" i="81"/>
  <c r="W12003" i="81"/>
  <c r="AA12003" i="81"/>
  <c r="AE12003" i="81"/>
  <c r="AI12003" i="81"/>
  <c r="AM12003" i="81"/>
  <c r="AQ12003" i="81"/>
  <c r="AU12003" i="81"/>
  <c r="AY12003" i="81"/>
  <c r="BC12003" i="81"/>
  <c r="BG12003" i="81"/>
  <c r="BK12003" i="81"/>
  <c r="BO12003" i="81"/>
  <c r="BS12003" i="81"/>
  <c r="BW12003" i="81"/>
  <c r="CA12003" i="81"/>
  <c r="CE12003" i="81"/>
  <c r="CI12003" i="81"/>
  <c r="CM12003" i="81"/>
  <c r="CQ12003" i="81"/>
  <c r="CU12003" i="81"/>
  <c r="CY12003" i="81"/>
  <c r="DC12003" i="81"/>
  <c r="DG12003" i="81"/>
  <c r="DK12003" i="81"/>
  <c r="DO12003" i="81"/>
  <c r="DS12003" i="81"/>
  <c r="DW12003" i="81"/>
  <c r="EA12003" i="81"/>
  <c r="EE12003" i="81"/>
  <c r="EI12003" i="81"/>
  <c r="EM12003" i="81"/>
  <c r="EQ12003" i="81"/>
  <c r="EU12003" i="81"/>
  <c r="EY12003" i="81"/>
  <c r="FC12003" i="81"/>
  <c r="FG12003" i="81"/>
  <c r="FK12003" i="81"/>
  <c r="B12010" i="81"/>
  <c r="D12010" i="81"/>
  <c r="F12010" i="81"/>
  <c r="H12010" i="81"/>
  <c r="J12010" i="81"/>
  <c r="L12010" i="81"/>
  <c r="N12010" i="81"/>
  <c r="P12010" i="81"/>
  <c r="R12010" i="81"/>
  <c r="T12010" i="81"/>
  <c r="V12010" i="81"/>
  <c r="X12010" i="81"/>
  <c r="Z12010" i="81"/>
  <c r="AB12010" i="81"/>
  <c r="AD12010" i="81"/>
  <c r="AF12010" i="81"/>
  <c r="AH12010" i="81"/>
  <c r="AJ12010" i="81"/>
  <c r="AL12010" i="81"/>
  <c r="AN12010" i="81"/>
  <c r="AP12010" i="81"/>
  <c r="AR12010" i="81"/>
  <c r="AT12010" i="81"/>
  <c r="AV12010" i="81"/>
  <c r="AX12010" i="81"/>
  <c r="AZ12010" i="81"/>
  <c r="BB12010" i="81"/>
  <c r="BD12010" i="81"/>
  <c r="BF12010" i="81"/>
  <c r="BH12010" i="81"/>
  <c r="BJ12010" i="81"/>
  <c r="BL12010" i="81"/>
  <c r="BN12010" i="81"/>
  <c r="BP12010" i="81"/>
  <c r="BR12010" i="81"/>
  <c r="BT12010" i="81"/>
  <c r="BV12010" i="81"/>
  <c r="BX12010" i="81"/>
  <c r="BZ12010" i="81"/>
  <c r="B12011" i="81"/>
  <c r="D12011" i="81"/>
  <c r="F12011" i="81"/>
  <c r="H12011" i="81"/>
  <c r="J12011" i="81"/>
  <c r="L12011" i="81"/>
  <c r="N12011" i="81"/>
  <c r="P12011" i="81"/>
  <c r="R12011" i="81"/>
  <c r="T12011" i="81"/>
  <c r="V12011" i="81"/>
  <c r="X12011" i="81"/>
  <c r="Z12011" i="81"/>
  <c r="AB12011" i="81"/>
  <c r="AD12011" i="81"/>
  <c r="AF12011" i="81"/>
  <c r="AH12011" i="81"/>
  <c r="AJ12011" i="81"/>
  <c r="AL12011" i="81"/>
  <c r="AN12011" i="81"/>
  <c r="AP12011" i="81"/>
  <c r="AR12011" i="81"/>
  <c r="AT12011" i="81"/>
  <c r="AV12011" i="81"/>
  <c r="AX12011" i="81"/>
  <c r="AZ12011" i="81"/>
  <c r="BB12011" i="81"/>
  <c r="BD12011" i="81"/>
  <c r="BF12011" i="81"/>
  <c r="BH12011" i="81"/>
  <c r="BJ12011" i="81"/>
  <c r="BL12011" i="81"/>
  <c r="BN12011" i="81"/>
  <c r="BP12011" i="81"/>
  <c r="BR12011" i="81"/>
  <c r="BT12011" i="81"/>
  <c r="BV12011" i="81"/>
  <c r="BX12011" i="81"/>
  <c r="BZ12011" i="81"/>
  <c r="B12012" i="81"/>
  <c r="D12012" i="81"/>
  <c r="F12012" i="81"/>
  <c r="H12012" i="81"/>
  <c r="J12012" i="81"/>
  <c r="L12012" i="81"/>
  <c r="A12010" i="81"/>
  <c r="E12010" i="81"/>
  <c r="I12010" i="81"/>
  <c r="M12010" i="81"/>
  <c r="Q12010" i="81"/>
  <c r="U12010" i="81"/>
  <c r="Y12010" i="81"/>
  <c r="AC12010" i="81"/>
  <c r="AG12010" i="81"/>
  <c r="AK12010" i="81"/>
  <c r="AO12010" i="81"/>
  <c r="AS12010" i="81"/>
  <c r="AW12010" i="81"/>
  <c r="BA12010" i="81"/>
  <c r="BE12010" i="81"/>
  <c r="BI12010" i="81"/>
  <c r="BM12010" i="81"/>
  <c r="BQ12010" i="81"/>
  <c r="BU12010" i="81"/>
  <c r="BY12010" i="81"/>
  <c r="C12011" i="81"/>
  <c r="G12011" i="81"/>
  <c r="K12011" i="81"/>
  <c r="O12011" i="81"/>
  <c r="S12011" i="81"/>
  <c r="W12011" i="81"/>
  <c r="AA12011" i="81"/>
  <c r="AE12011" i="81"/>
  <c r="AI12011" i="81"/>
  <c r="AM12011" i="81"/>
  <c r="AQ12011" i="81"/>
  <c r="AU12011" i="81"/>
  <c r="AY12011" i="81"/>
  <c r="BC12011" i="81"/>
  <c r="BG12011" i="81"/>
  <c r="BK12011" i="81"/>
  <c r="BO12011" i="81"/>
  <c r="BS12011" i="81"/>
  <c r="BW12011" i="81"/>
  <c r="A12012" i="81"/>
  <c r="E12012" i="81"/>
  <c r="I12012" i="81"/>
  <c r="M12012" i="81"/>
  <c r="O12012" i="81"/>
  <c r="Q12012" i="81"/>
  <c r="S12012" i="81"/>
  <c r="U12012" i="81"/>
  <c r="W12012" i="81"/>
  <c r="Y12012" i="81"/>
  <c r="AA12012" i="81"/>
  <c r="AC12012" i="81"/>
  <c r="AE12012" i="81"/>
  <c r="AG12012" i="81"/>
  <c r="AI12012" i="81"/>
  <c r="AK12012" i="81"/>
  <c r="AM12012" i="81"/>
  <c r="AO12012" i="81"/>
  <c r="AQ12012" i="81"/>
  <c r="AS12012" i="81"/>
  <c r="AU12012" i="81"/>
  <c r="AW12012" i="81"/>
  <c r="AY12012" i="81"/>
  <c r="BA12012" i="81"/>
  <c r="BC12012" i="81"/>
  <c r="BE12012" i="81"/>
  <c r="BG12012" i="81"/>
  <c r="BI12012" i="81"/>
  <c r="BK12012" i="81"/>
  <c r="BM12012" i="81"/>
  <c r="BO12012" i="81"/>
  <c r="BQ12012" i="81"/>
  <c r="BS12012" i="81"/>
  <c r="BU12012" i="81"/>
  <c r="BW12012" i="81"/>
  <c r="BY12012" i="81"/>
  <c r="A12013" i="81"/>
  <c r="C12013" i="81"/>
  <c r="E12013" i="81"/>
  <c r="G12013" i="81"/>
  <c r="I12013" i="81"/>
  <c r="K12013" i="81"/>
  <c r="M12013" i="81"/>
  <c r="O12013" i="81"/>
  <c r="Q12013" i="81"/>
  <c r="S12013" i="81"/>
  <c r="U12013" i="81"/>
  <c r="W12013" i="81"/>
  <c r="Y12013" i="81"/>
  <c r="AA12013" i="81"/>
  <c r="AC12013" i="81"/>
  <c r="AE12013" i="81"/>
  <c r="AG12013" i="81"/>
  <c r="AI12013" i="81"/>
  <c r="AK12013" i="81"/>
  <c r="AM12013" i="81"/>
  <c r="AO12013" i="81"/>
  <c r="AQ12013" i="81"/>
  <c r="AS12013" i="81"/>
  <c r="AU12013" i="81"/>
  <c r="AW12013" i="81"/>
  <c r="AY12013" i="81"/>
  <c r="BA12013" i="81"/>
  <c r="BC12013" i="81"/>
  <c r="BE12013" i="81"/>
  <c r="BG12013" i="81"/>
  <c r="BI12013" i="81"/>
  <c r="BK12013" i="81"/>
  <c r="BM12013" i="81"/>
  <c r="BO12013" i="81"/>
  <c r="BQ12013" i="81"/>
  <c r="BS12013" i="81"/>
  <c r="BU12013" i="81"/>
  <c r="BW12013" i="81"/>
  <c r="BY12013" i="81"/>
  <c r="A12014" i="81"/>
  <c r="C12014" i="81"/>
  <c r="E12014" i="81"/>
  <c r="G12014" i="81"/>
  <c r="I12014" i="81"/>
  <c r="K12014" i="81"/>
  <c r="M12014" i="81"/>
  <c r="O12014" i="81"/>
  <c r="Q12014" i="81"/>
  <c r="S12014" i="81"/>
  <c r="U12014" i="81"/>
  <c r="W12014" i="81"/>
  <c r="Y12014" i="81"/>
  <c r="AA12014" i="81"/>
  <c r="AC12014" i="81"/>
  <c r="AE12014" i="81"/>
  <c r="AG12014" i="81"/>
  <c r="AI12014" i="81"/>
  <c r="AK12014" i="81"/>
  <c r="AM12014" i="81"/>
  <c r="AO12014" i="81"/>
  <c r="AQ12014" i="81"/>
  <c r="AS12014" i="81"/>
  <c r="AU12014" i="81"/>
  <c r="AW12014" i="81"/>
  <c r="AY12014" i="81"/>
  <c r="BA12014" i="81"/>
  <c r="BC12014" i="81"/>
  <c r="BE12014" i="81"/>
  <c r="BG12014" i="81"/>
  <c r="BI12014" i="81"/>
  <c r="BK12014" i="81"/>
  <c r="BM12014" i="81"/>
  <c r="BO12014" i="81"/>
  <c r="BQ12014" i="81"/>
  <c r="BS12014" i="81"/>
  <c r="BU12014" i="81"/>
  <c r="BW12014" i="81"/>
  <c r="BY12014" i="81"/>
  <c r="A12015" i="81"/>
  <c r="C12015" i="81"/>
  <c r="E12015" i="81"/>
  <c r="G12015" i="81"/>
  <c r="I12015" i="81"/>
  <c r="K12015" i="81"/>
  <c r="M12015" i="81"/>
  <c r="O12015" i="81"/>
  <c r="Q12015" i="81"/>
  <c r="S12015" i="81"/>
  <c r="U12015" i="81"/>
  <c r="W12015" i="81"/>
  <c r="Y12015" i="81"/>
  <c r="AA12015" i="81"/>
  <c r="AC12015" i="81"/>
  <c r="AE12015" i="81"/>
  <c r="AG12015" i="81"/>
  <c r="G12010" i="81"/>
  <c r="O12010" i="81"/>
  <c r="W12010" i="81"/>
  <c r="AE12010" i="81"/>
  <c r="AM12010" i="81"/>
  <c r="AU12010" i="81"/>
  <c r="BC12010" i="81"/>
  <c r="BK12010" i="81"/>
  <c r="BS12010" i="81"/>
  <c r="A12011" i="81"/>
  <c r="I12011" i="81"/>
  <c r="Q12011" i="81"/>
  <c r="Y12011" i="81"/>
  <c r="AG12011" i="81"/>
  <c r="AO12011" i="81"/>
  <c r="AW12011" i="81"/>
  <c r="BE12011" i="81"/>
  <c r="BM12011" i="81"/>
  <c r="BU12011" i="81"/>
  <c r="C12012" i="81"/>
  <c r="K12012" i="81"/>
  <c r="P12012" i="81"/>
  <c r="T12012" i="81"/>
  <c r="X12012" i="81"/>
  <c r="AB12012" i="81"/>
  <c r="AF12012" i="81"/>
  <c r="AJ12012" i="81"/>
  <c r="AN12012" i="81"/>
  <c r="AR12012" i="81"/>
  <c r="AV12012" i="81"/>
  <c r="AZ12012" i="81"/>
  <c r="BD12012" i="81"/>
  <c r="BH12012" i="81"/>
  <c r="BL12012" i="81"/>
  <c r="BP12012" i="81"/>
  <c r="BT12012" i="81"/>
  <c r="BX12012" i="81"/>
  <c r="B12013" i="81"/>
  <c r="F12013" i="81"/>
  <c r="J12013" i="81"/>
  <c r="N12013" i="81"/>
  <c r="R12013" i="81"/>
  <c r="V12013" i="81"/>
  <c r="Z12013" i="81"/>
  <c r="AD12013" i="81"/>
  <c r="AH12013" i="81"/>
  <c r="AL12013" i="81"/>
  <c r="AP12013" i="81"/>
  <c r="AT12013" i="81"/>
  <c r="AX12013" i="81"/>
  <c r="BB12013" i="81"/>
  <c r="BF12013" i="81"/>
  <c r="BJ12013" i="81"/>
  <c r="BN12013" i="81"/>
  <c r="BR12013" i="81"/>
  <c r="BV12013" i="81"/>
  <c r="BZ12013" i="81"/>
  <c r="D12014" i="81"/>
  <c r="H12014" i="81"/>
  <c r="L12014" i="81"/>
  <c r="P12014" i="81"/>
  <c r="T12014" i="81"/>
  <c r="X12014" i="81"/>
  <c r="AB12014" i="81"/>
  <c r="AF12014" i="81"/>
  <c r="AJ12014" i="81"/>
  <c r="AN12014" i="81"/>
  <c r="AR12014" i="81"/>
  <c r="AV12014" i="81"/>
  <c r="AZ12014" i="81"/>
  <c r="BD12014" i="81"/>
  <c r="BH12014" i="81"/>
  <c r="BL12014" i="81"/>
  <c r="BP12014" i="81"/>
  <c r="BT12014" i="81"/>
  <c r="BX12014" i="81"/>
  <c r="B12015" i="81"/>
  <c r="F12015" i="81"/>
  <c r="J12015" i="81"/>
  <c r="N12015" i="81"/>
  <c r="R12015" i="81"/>
  <c r="V12015" i="81"/>
  <c r="Z12015" i="81"/>
  <c r="AD12015" i="81"/>
  <c r="AH12015" i="81"/>
  <c r="C12010" i="81"/>
  <c r="S12010" i="81"/>
  <c r="AI12010" i="81"/>
  <c r="AY12010" i="81"/>
  <c r="BO12010" i="81"/>
  <c r="E12011" i="81"/>
  <c r="U12011" i="81"/>
  <c r="AK12011" i="81"/>
  <c r="BA12011" i="81"/>
  <c r="BQ12011" i="81"/>
  <c r="G12012" i="81"/>
  <c r="R12012" i="81"/>
  <c r="Z12012" i="81"/>
  <c r="AH12012" i="81"/>
  <c r="AP12012" i="81"/>
  <c r="AX12012" i="81"/>
  <c r="BF12012" i="81"/>
  <c r="BN12012" i="81"/>
  <c r="BV12012" i="81"/>
  <c r="D12013" i="81"/>
  <c r="L12013" i="81"/>
  <c r="T12013" i="81"/>
  <c r="AB12013" i="81"/>
  <c r="AJ12013" i="81"/>
  <c r="AR12013" i="81"/>
  <c r="AZ12013" i="81"/>
  <c r="BH12013" i="81"/>
  <c r="BP12013" i="81"/>
  <c r="BX12013" i="81"/>
  <c r="F12014" i="81"/>
  <c r="N12014" i="81"/>
  <c r="V12014" i="81"/>
  <c r="AD12014" i="81"/>
  <c r="AL12014" i="81"/>
  <c r="AT12014" i="81"/>
  <c r="BB12014" i="81"/>
  <c r="BJ12014" i="81"/>
  <c r="BR12014" i="81"/>
  <c r="BZ12014" i="81"/>
  <c r="H12015" i="81"/>
  <c r="P12015" i="81"/>
  <c r="X12015" i="81"/>
  <c r="AF12015" i="81"/>
  <c r="AJ12015" i="81"/>
  <c r="AL12015" i="81"/>
  <c r="AN12015" i="81"/>
  <c r="AP12015" i="81"/>
  <c r="AR12015" i="81"/>
  <c r="AT12015" i="81"/>
  <c r="AV12015" i="81"/>
  <c r="AX12015" i="81"/>
  <c r="AZ12015" i="81"/>
  <c r="BB12015" i="81"/>
  <c r="BD12015" i="81"/>
  <c r="BF12015" i="81"/>
  <c r="BH12015" i="81"/>
  <c r="BJ12015" i="81"/>
  <c r="BL12015" i="81"/>
  <c r="BN12015" i="81"/>
  <c r="BP12015" i="81"/>
  <c r="BR12015" i="81"/>
  <c r="BT12015" i="81"/>
  <c r="BV12015" i="81"/>
  <c r="BX12015" i="81"/>
  <c r="BZ12015" i="81"/>
  <c r="B12016" i="81"/>
  <c r="D12016" i="81"/>
  <c r="F12016" i="81"/>
  <c r="H12016" i="81"/>
  <c r="J12016" i="81"/>
  <c r="L12016" i="81"/>
  <c r="N12016" i="81"/>
  <c r="P12016" i="81"/>
  <c r="R12016" i="81"/>
  <c r="T12016" i="81"/>
  <c r="V12016" i="81"/>
  <c r="X12016" i="81"/>
  <c r="Z12016" i="81"/>
  <c r="AB12016" i="81"/>
  <c r="AD12016" i="81"/>
  <c r="AF12016" i="81"/>
  <c r="AH12016" i="81"/>
  <c r="AJ12016" i="81"/>
  <c r="AL12016" i="81"/>
  <c r="AN12016" i="81"/>
  <c r="AP12016" i="81"/>
  <c r="AR12016" i="81"/>
  <c r="AT12016" i="81"/>
  <c r="AV12016" i="81"/>
  <c r="AX12016" i="81"/>
  <c r="AZ12016" i="81"/>
  <c r="BB12016" i="81"/>
  <c r="BD12016" i="81"/>
  <c r="BF12016" i="81"/>
  <c r="BH12016" i="81"/>
  <c r="BJ12016" i="81"/>
  <c r="BL12016" i="81"/>
  <c r="BN12016" i="81"/>
  <c r="BP12016" i="81"/>
  <c r="BR12016" i="81"/>
  <c r="BT12016" i="81"/>
  <c r="BV12016" i="81"/>
  <c r="BX12016" i="81"/>
  <c r="BZ12016" i="81"/>
  <c r="B12017" i="81"/>
  <c r="D12017" i="81"/>
  <c r="F12017" i="81"/>
  <c r="H12017" i="81"/>
  <c r="J12017" i="81"/>
  <c r="L12017" i="81"/>
  <c r="N12017" i="81"/>
  <c r="P12017" i="81"/>
  <c r="R12017" i="81"/>
  <c r="T12017" i="81"/>
  <c r="V12017" i="81"/>
  <c r="X12017" i="81"/>
  <c r="Z12017" i="81"/>
  <c r="AB12017" i="81"/>
  <c r="AD12017" i="81"/>
  <c r="AF12017" i="81"/>
  <c r="AH12017" i="81"/>
  <c r="AJ12017" i="81"/>
  <c r="AL12017" i="81"/>
  <c r="AN12017" i="81"/>
  <c r="AP12017" i="81"/>
  <c r="AR12017" i="81"/>
  <c r="AT12017" i="81"/>
  <c r="AV12017" i="81"/>
  <c r="AX12017" i="81"/>
  <c r="AZ12017" i="81"/>
  <c r="BB12017" i="81"/>
  <c r="BD12017" i="81"/>
  <c r="BF12017" i="81"/>
  <c r="BH12017" i="81"/>
  <c r="BJ12017" i="81"/>
  <c r="BL12017" i="81"/>
  <c r="BN12017" i="81"/>
  <c r="BP12017" i="81"/>
  <c r="BR12017" i="81"/>
  <c r="BT12017" i="81"/>
  <c r="BV12017" i="81"/>
  <c r="BX12017" i="81"/>
  <c r="BZ12017" i="81"/>
  <c r="B12018" i="81"/>
  <c r="D12018" i="81"/>
  <c r="F12018" i="81"/>
  <c r="H12018" i="81"/>
  <c r="J12018" i="81"/>
  <c r="L12018" i="81"/>
  <c r="N12018" i="81"/>
  <c r="P12018" i="81"/>
  <c r="R12018" i="81"/>
  <c r="T12018" i="81"/>
  <c r="V12018" i="81"/>
  <c r="X12018" i="81"/>
  <c r="Z12018" i="81"/>
  <c r="AB12018" i="81"/>
  <c r="AD12018" i="81"/>
  <c r="AF12018" i="81"/>
  <c r="AH12018" i="81"/>
  <c r="AJ12018" i="81"/>
  <c r="AL12018" i="81"/>
  <c r="AN12018" i="81"/>
  <c r="AP12018" i="81"/>
  <c r="AR12018" i="81"/>
  <c r="AT12018" i="81"/>
  <c r="AV12018" i="81"/>
  <c r="AX12018" i="81"/>
  <c r="AZ12018" i="81"/>
  <c r="BB12018" i="81"/>
  <c r="BD12018" i="81"/>
  <c r="BF12018" i="81"/>
  <c r="BH12018" i="81"/>
  <c r="BJ12018" i="81"/>
  <c r="BL12018" i="81"/>
  <c r="BN12018" i="81"/>
  <c r="BP12018" i="81"/>
  <c r="BR12018" i="81"/>
  <c r="BT12018" i="81"/>
  <c r="BV12018" i="81"/>
  <c r="BX12018" i="81"/>
  <c r="BZ12018" i="81"/>
  <c r="B12019" i="81"/>
  <c r="D12019" i="81"/>
  <c r="F12019" i="81"/>
  <c r="H12019" i="81"/>
  <c r="J12019" i="81"/>
  <c r="L12019" i="81"/>
  <c r="N12019" i="81"/>
  <c r="P12019" i="81"/>
  <c r="R12019" i="81"/>
  <c r="T12019" i="81"/>
  <c r="V12019" i="81"/>
  <c r="X12019" i="81"/>
  <c r="Z12019" i="81"/>
  <c r="AB12019" i="81"/>
  <c r="AD12019" i="81"/>
  <c r="AF12019" i="81"/>
  <c r="AH12019" i="81"/>
  <c r="AJ12019" i="81"/>
  <c r="AL12019" i="81"/>
  <c r="AN12019" i="81"/>
  <c r="AP12019" i="81"/>
  <c r="AR12019" i="81"/>
  <c r="AT12019" i="81"/>
  <c r="AV12019" i="81"/>
  <c r="AX12019" i="81"/>
  <c r="AZ12019" i="81"/>
  <c r="BB12019" i="81"/>
  <c r="BD12019" i="81"/>
  <c r="BF12019" i="81"/>
  <c r="BH12019" i="81"/>
  <c r="BJ12019" i="81"/>
  <c r="BL12019" i="81"/>
  <c r="BN12019" i="81"/>
  <c r="BP12019" i="81"/>
  <c r="BR12019" i="81"/>
  <c r="BT12019" i="81"/>
  <c r="BV12019" i="81"/>
  <c r="BX12019" i="81"/>
  <c r="BZ12019" i="81"/>
  <c r="B12020" i="81"/>
  <c r="D12020" i="81"/>
  <c r="F12020" i="81"/>
  <c r="H12020" i="81"/>
  <c r="J12020" i="81"/>
  <c r="L12020" i="81"/>
  <c r="N12020" i="81"/>
  <c r="P12020" i="81"/>
  <c r="R12020" i="81"/>
  <c r="T12020" i="81"/>
  <c r="V12020" i="81"/>
  <c r="X12020" i="81"/>
  <c r="Z12020" i="81"/>
  <c r="AB12020" i="81"/>
  <c r="AD12020" i="81"/>
  <c r="AF12020" i="81"/>
  <c r="AH12020" i="81"/>
  <c r="AJ12020" i="81"/>
  <c r="AL12020" i="81"/>
  <c r="AN12020" i="81"/>
  <c r="AP12020" i="81"/>
  <c r="AR12020" i="81"/>
  <c r="AT12020" i="81"/>
  <c r="AV12020" i="81"/>
  <c r="AX12020" i="81"/>
  <c r="AZ12020" i="81"/>
  <c r="BB12020" i="81"/>
  <c r="BD12020" i="81"/>
  <c r="BF12020" i="81"/>
  <c r="BH12020" i="81"/>
  <c r="BJ12020" i="81"/>
  <c r="BL12020" i="81"/>
  <c r="BN12020" i="81"/>
  <c r="BP12020" i="81"/>
  <c r="BR12020" i="81"/>
  <c r="BT12020" i="81"/>
  <c r="BV12020" i="81"/>
  <c r="BX12020" i="81"/>
  <c r="BZ12020" i="81"/>
  <c r="B12021" i="81"/>
  <c r="D12021" i="81"/>
  <c r="F12021" i="81"/>
  <c r="H12021" i="81"/>
  <c r="J12021" i="81"/>
  <c r="L12021" i="81"/>
  <c r="N12021" i="81"/>
  <c r="P12021" i="81"/>
  <c r="R12021" i="81"/>
  <c r="T12021" i="81"/>
  <c r="V12021" i="81"/>
  <c r="X12021" i="81"/>
  <c r="Z12021" i="81"/>
  <c r="AB12021" i="81"/>
  <c r="AD12021" i="81"/>
  <c r="AF12021" i="81"/>
  <c r="AH12021" i="81"/>
  <c r="AJ12021" i="81"/>
  <c r="AL12021" i="81"/>
  <c r="AN12021" i="81"/>
  <c r="AP12021" i="81"/>
  <c r="AR12021" i="81"/>
  <c r="AT12021" i="81"/>
  <c r="AV12021" i="81"/>
  <c r="AX12021" i="81"/>
  <c r="AZ12021" i="81"/>
  <c r="BB12021" i="81"/>
  <c r="BD12021" i="81"/>
  <c r="BF12021" i="81"/>
  <c r="BH12021" i="81"/>
  <c r="BJ12021" i="81"/>
  <c r="BL12021" i="81"/>
  <c r="BN12021" i="81"/>
  <c r="BP12021" i="81"/>
  <c r="BR12021" i="81"/>
  <c r="BT12021" i="81"/>
  <c r="BV12021" i="81"/>
  <c r="BX12021" i="81"/>
  <c r="BZ12021" i="81"/>
  <c r="B12022" i="81"/>
  <c r="D12022" i="81"/>
  <c r="F12022" i="81"/>
  <c r="H12022" i="81"/>
  <c r="J12022" i="81"/>
  <c r="L12022" i="81"/>
  <c r="N12022" i="81"/>
  <c r="P12022" i="81"/>
  <c r="R12022" i="81"/>
  <c r="T12022" i="81"/>
  <c r="V12022" i="81"/>
  <c r="X12022" i="81"/>
  <c r="Z12022" i="81"/>
  <c r="AB12022" i="81"/>
  <c r="AD12022" i="81"/>
  <c r="AF12022" i="81"/>
  <c r="AH12022" i="81"/>
  <c r="AJ12022" i="81"/>
  <c r="AL12022" i="81"/>
  <c r="AN12022" i="81"/>
  <c r="AP12022" i="81"/>
  <c r="AR12022" i="81"/>
  <c r="AT12022" i="81"/>
  <c r="AV12022" i="81"/>
  <c r="AX12022" i="81"/>
  <c r="AZ12022" i="81"/>
  <c r="BB12022" i="81"/>
  <c r="BD12022" i="81"/>
  <c r="BF12022" i="81"/>
  <c r="BH12022" i="81"/>
  <c r="BJ12022" i="81"/>
  <c r="BL12022" i="81"/>
  <c r="BN12022" i="81"/>
  <c r="BP12022" i="81"/>
  <c r="BR12022" i="81"/>
  <c r="BT12022" i="81"/>
  <c r="BV12022" i="81"/>
  <c r="BX12022" i="81"/>
  <c r="BZ12022" i="81"/>
  <c r="B12023" i="81"/>
  <c r="D12023" i="81"/>
  <c r="F12023" i="81"/>
  <c r="AA12010" i="81"/>
  <c r="BG12010" i="81"/>
  <c r="M12011" i="81"/>
  <c r="AS12011" i="81"/>
  <c r="BY12011" i="81"/>
  <c r="V12012" i="81"/>
  <c r="AL12012" i="81"/>
  <c r="BB12012" i="81"/>
  <c r="BR12012" i="81"/>
  <c r="H12013" i="81"/>
  <c r="X12013" i="81"/>
  <c r="AN12013" i="81"/>
  <c r="BD12013" i="81"/>
  <c r="BT12013" i="81"/>
  <c r="J12014" i="81"/>
  <c r="Z12014" i="81"/>
  <c r="AP12014" i="81"/>
  <c r="BF12014" i="81"/>
  <c r="BV12014" i="81"/>
  <c r="L12015" i="81"/>
  <c r="AB12015" i="81"/>
  <c r="AK12015" i="81"/>
  <c r="AO12015" i="81"/>
  <c r="AS12015" i="81"/>
  <c r="AW12015" i="81"/>
  <c r="BA12015" i="81"/>
  <c r="BE12015" i="81"/>
  <c r="BI12015" i="81"/>
  <c r="BM12015" i="81"/>
  <c r="BQ12015" i="81"/>
  <c r="BU12015" i="81"/>
  <c r="BY12015" i="81"/>
  <c r="C12016" i="81"/>
  <c r="G12016" i="81"/>
  <c r="K12016" i="81"/>
  <c r="O12016" i="81"/>
  <c r="S12016" i="81"/>
  <c r="W12016" i="81"/>
  <c r="AA12016" i="81"/>
  <c r="AE12016" i="81"/>
  <c r="AI12016" i="81"/>
  <c r="AM12016" i="81"/>
  <c r="AQ12016" i="81"/>
  <c r="AU12016" i="81"/>
  <c r="AY12016" i="81"/>
  <c r="BC12016" i="81"/>
  <c r="BG12016" i="81"/>
  <c r="BK12016" i="81"/>
  <c r="BO12016" i="81"/>
  <c r="BS12016" i="81"/>
  <c r="BW12016" i="81"/>
  <c r="A12017" i="81"/>
  <c r="E12017" i="81"/>
  <c r="I12017" i="81"/>
  <c r="M12017" i="81"/>
  <c r="Q12017" i="81"/>
  <c r="U12017" i="81"/>
  <c r="Y12017" i="81"/>
  <c r="AC12017" i="81"/>
  <c r="AG12017" i="81"/>
  <c r="AK12017" i="81"/>
  <c r="AO12017" i="81"/>
  <c r="AS12017" i="81"/>
  <c r="AW12017" i="81"/>
  <c r="BA12017" i="81"/>
  <c r="BE12017" i="81"/>
  <c r="BI12017" i="81"/>
  <c r="BM12017" i="81"/>
  <c r="BQ12017" i="81"/>
  <c r="BU12017" i="81"/>
  <c r="BY12017" i="81"/>
  <c r="C12018" i="81"/>
  <c r="G12018" i="81"/>
  <c r="K12018" i="81"/>
  <c r="O12018" i="81"/>
  <c r="S12018" i="81"/>
  <c r="W12018" i="81"/>
  <c r="AA12018" i="81"/>
  <c r="AE12018" i="81"/>
  <c r="AI12018" i="81"/>
  <c r="AM12018" i="81"/>
  <c r="AQ12018" i="81"/>
  <c r="AU12018" i="81"/>
  <c r="AY12018" i="81"/>
  <c r="BC12018" i="81"/>
  <c r="BG12018" i="81"/>
  <c r="BK12018" i="81"/>
  <c r="BO12018" i="81"/>
  <c r="BS12018" i="81"/>
  <c r="BW12018" i="81"/>
  <c r="A12019" i="81"/>
  <c r="E12019" i="81"/>
  <c r="I12019" i="81"/>
  <c r="M12019" i="81"/>
  <c r="Q12019" i="81"/>
  <c r="U12019" i="81"/>
  <c r="Y12019" i="81"/>
  <c r="AC12019" i="81"/>
  <c r="AG12019" i="81"/>
  <c r="AK12019" i="81"/>
  <c r="AO12019" i="81"/>
  <c r="AS12019" i="81"/>
  <c r="AW12019" i="81"/>
  <c r="BA12019" i="81"/>
  <c r="BE12019" i="81"/>
  <c r="BI12019" i="81"/>
  <c r="BM12019" i="81"/>
  <c r="BQ12019" i="81"/>
  <c r="BU12019" i="81"/>
  <c r="BY12019" i="81"/>
  <c r="C12020" i="81"/>
  <c r="G12020" i="81"/>
  <c r="K12020" i="81"/>
  <c r="O12020" i="81"/>
  <c r="S12020" i="81"/>
  <c r="W12020" i="81"/>
  <c r="AA12020" i="81"/>
  <c r="AE12020" i="81"/>
  <c r="AI12020" i="81"/>
  <c r="AM12020" i="81"/>
  <c r="AQ12020" i="81"/>
  <c r="AU12020" i="81"/>
  <c r="AY12020" i="81"/>
  <c r="BC12020" i="81"/>
  <c r="BG12020" i="81"/>
  <c r="BK12020" i="81"/>
  <c r="BO12020" i="81"/>
  <c r="BS12020" i="81"/>
  <c r="BW12020" i="81"/>
  <c r="A12021" i="81"/>
  <c r="E12021" i="81"/>
  <c r="I12021" i="81"/>
  <c r="M12021" i="81"/>
  <c r="Q12021" i="81"/>
  <c r="U12021" i="81"/>
  <c r="Y12021" i="81"/>
  <c r="AC12021" i="81"/>
  <c r="AG12021" i="81"/>
  <c r="AK12021" i="81"/>
  <c r="AO12021" i="81"/>
  <c r="AS12021" i="81"/>
  <c r="AW12021" i="81"/>
  <c r="BA12021" i="81"/>
  <c r="BE12021" i="81"/>
  <c r="BI12021" i="81"/>
  <c r="BM12021" i="81"/>
  <c r="BQ12021" i="81"/>
  <c r="BU12021" i="81"/>
  <c r="BY12021" i="81"/>
  <c r="C12022" i="81"/>
  <c r="G12022" i="81"/>
  <c r="K12022" i="81"/>
  <c r="O12022" i="81"/>
  <c r="S12022" i="81"/>
  <c r="W12022" i="81"/>
  <c r="AA12022" i="81"/>
  <c r="AE12022" i="81"/>
  <c r="AI12022" i="81"/>
  <c r="AM12022" i="81"/>
  <c r="AQ12022" i="81"/>
  <c r="AU12022" i="81"/>
  <c r="AY12022" i="81"/>
  <c r="BC12022" i="81"/>
  <c r="BG12022" i="81"/>
  <c r="BK12022" i="81"/>
  <c r="BO12022" i="81"/>
  <c r="BS12022" i="81"/>
  <c r="BW12022" i="81"/>
  <c r="A12023" i="81"/>
  <c r="E12023" i="81"/>
  <c r="K12010" i="81"/>
  <c r="BW12010" i="81"/>
  <c r="BI12011" i="81"/>
  <c r="AD12012" i="81"/>
  <c r="BJ12012" i="81"/>
  <c r="P12013" i="81"/>
  <c r="AV12013" i="81"/>
  <c r="B12014" i="81"/>
  <c r="AH12014" i="81"/>
  <c r="BN12014" i="81"/>
  <c r="T12015" i="81"/>
  <c r="AM12015" i="81"/>
  <c r="AU12015" i="81"/>
  <c r="BC12015" i="81"/>
  <c r="BK12015" i="81"/>
  <c r="BS12015" i="81"/>
  <c r="A12016" i="81"/>
  <c r="I12016" i="81"/>
  <c r="Q12016" i="81"/>
  <c r="Y12016" i="81"/>
  <c r="AG12016" i="81"/>
  <c r="AO12016" i="81"/>
  <c r="AW12016" i="81"/>
  <c r="BE12016" i="81"/>
  <c r="BM12016" i="81"/>
  <c r="BU12016" i="81"/>
  <c r="C12017" i="81"/>
  <c r="K12017" i="81"/>
  <c r="S12017" i="81"/>
  <c r="AA12017" i="81"/>
  <c r="AI12017" i="81"/>
  <c r="AQ12017" i="81"/>
  <c r="AY12017" i="81"/>
  <c r="BG12017" i="81"/>
  <c r="BO12017" i="81"/>
  <c r="BW12017" i="81"/>
  <c r="E12018" i="81"/>
  <c r="M12018" i="81"/>
  <c r="U12018" i="81"/>
  <c r="AC12018" i="81"/>
  <c r="AK12018" i="81"/>
  <c r="AS12018" i="81"/>
  <c r="BA12018" i="81"/>
  <c r="BI12018" i="81"/>
  <c r="BQ12018" i="81"/>
  <c r="BY12018" i="81"/>
  <c r="G12019" i="81"/>
  <c r="O12019" i="81"/>
  <c r="W12019" i="81"/>
  <c r="AE12019" i="81"/>
  <c r="AM12019" i="81"/>
  <c r="AU12019" i="81"/>
  <c r="BC12019" i="81"/>
  <c r="BK12019" i="81"/>
  <c r="BS12019" i="81"/>
  <c r="A12020" i="81"/>
  <c r="I12020" i="81"/>
  <c r="Q12020" i="81"/>
  <c r="Y12020" i="81"/>
  <c r="AG12020" i="81"/>
  <c r="AO12020" i="81"/>
  <c r="AW12020" i="81"/>
  <c r="BE12020" i="81"/>
  <c r="BM12020" i="81"/>
  <c r="BU12020" i="81"/>
  <c r="C12021" i="81"/>
  <c r="K12021" i="81"/>
  <c r="S12021" i="81"/>
  <c r="AA12021" i="81"/>
  <c r="AI12021" i="81"/>
  <c r="AQ12021" i="81"/>
  <c r="AY12021" i="81"/>
  <c r="BG12021" i="81"/>
  <c r="BO12021" i="81"/>
  <c r="BW12021" i="81"/>
  <c r="E12022" i="81"/>
  <c r="M12022" i="81"/>
  <c r="U12022" i="81"/>
  <c r="AC12022" i="81"/>
  <c r="AK12022" i="81"/>
  <c r="AS12022" i="81"/>
  <c r="BA12022" i="81"/>
  <c r="BI12022" i="81"/>
  <c r="BQ12022" i="81"/>
  <c r="BY12022" i="81"/>
  <c r="G12023" i="81"/>
  <c r="I12023" i="81"/>
  <c r="K12023" i="81"/>
  <c r="M12023" i="81"/>
  <c r="O12023" i="81"/>
  <c r="Q12023" i="81"/>
  <c r="S12023" i="81"/>
  <c r="U12023" i="81"/>
  <c r="W12023" i="81"/>
  <c r="Y12023" i="81"/>
  <c r="AA12023" i="81"/>
  <c r="AC12023" i="81"/>
  <c r="AE12023" i="81"/>
  <c r="AG12023" i="81"/>
  <c r="AI12023" i="81"/>
  <c r="AK12023" i="81"/>
  <c r="AM12023" i="81"/>
  <c r="AO12023" i="81"/>
  <c r="AQ12023" i="81"/>
  <c r="AS12023" i="81"/>
  <c r="AU12023" i="81"/>
  <c r="AW12023" i="81"/>
  <c r="AY12023" i="81"/>
  <c r="BA12023" i="81"/>
  <c r="BC12023" i="81"/>
  <c r="BE12023" i="81"/>
  <c r="BG12023" i="81"/>
  <c r="BI12023" i="81"/>
  <c r="BK12023" i="81"/>
  <c r="BM12023" i="81"/>
  <c r="BO12023" i="81"/>
  <c r="BQ12023" i="81"/>
  <c r="BS12023" i="81"/>
  <c r="BU12023" i="81"/>
  <c r="BW12023" i="81"/>
  <c r="BY12023" i="81"/>
  <c r="A12024" i="81"/>
  <c r="C12024" i="81"/>
  <c r="E12024" i="81"/>
  <c r="G12024" i="81"/>
  <c r="I12024" i="81"/>
  <c r="K12024" i="81"/>
  <c r="M12024" i="81"/>
  <c r="O12024" i="81"/>
  <c r="Q12024" i="81"/>
  <c r="S12024" i="81"/>
  <c r="U12024" i="81"/>
  <c r="W12024" i="81"/>
  <c r="Y12024" i="81"/>
  <c r="AA12024" i="81"/>
  <c r="AC12024" i="81"/>
  <c r="AE12024" i="81"/>
  <c r="AG12024" i="81"/>
  <c r="AI12024" i="81"/>
  <c r="AK12024" i="81"/>
  <c r="AM12024" i="81"/>
  <c r="AO12024" i="81"/>
  <c r="AQ12024" i="81"/>
  <c r="AS12024" i="81"/>
  <c r="AU12024" i="81"/>
  <c r="AW12024" i="81"/>
  <c r="AY12024" i="81"/>
  <c r="BA12024" i="81"/>
  <c r="BC12024" i="81"/>
  <c r="BE12024" i="81"/>
  <c r="BG12024" i="81"/>
  <c r="BI12024" i="81"/>
  <c r="BK12024" i="81"/>
  <c r="BM12024" i="81"/>
  <c r="BO12024" i="81"/>
  <c r="BQ12024" i="81"/>
  <c r="BS12024" i="81"/>
  <c r="BU12024" i="81"/>
  <c r="BW12024" i="81"/>
  <c r="BY12024" i="81"/>
  <c r="A12025" i="81"/>
  <c r="C12025" i="81"/>
  <c r="E12025" i="81"/>
  <c r="G12025" i="81"/>
  <c r="I12025" i="81"/>
  <c r="K12025" i="81"/>
  <c r="M12025" i="81"/>
  <c r="O12025" i="81"/>
  <c r="Q12025" i="81"/>
  <c r="S12025" i="81"/>
  <c r="U12025" i="81"/>
  <c r="W12025" i="81"/>
  <c r="Y12025" i="81"/>
  <c r="AA12025" i="81"/>
  <c r="AC12025" i="81"/>
  <c r="AE12025" i="81"/>
  <c r="AG12025" i="81"/>
  <c r="AI12025" i="81"/>
  <c r="AK12025" i="81"/>
  <c r="AM12025" i="81"/>
  <c r="AO12025" i="81"/>
  <c r="AQ12025" i="81"/>
  <c r="AS12025" i="81"/>
  <c r="AU12025" i="81"/>
  <c r="AW12025" i="81"/>
  <c r="AY12025" i="81"/>
  <c r="BA12025" i="81"/>
  <c r="BC12025" i="81"/>
  <c r="BE12025" i="81"/>
  <c r="BG12025" i="81"/>
  <c r="BI12025" i="81"/>
  <c r="BK12025" i="81"/>
  <c r="BM12025" i="81"/>
  <c r="BO12025" i="81"/>
  <c r="BQ12025" i="81"/>
  <c r="BS12025" i="81"/>
  <c r="BU12025" i="81"/>
  <c r="BW12025" i="81"/>
  <c r="BY12025" i="81"/>
  <c r="A12026" i="81"/>
  <c r="C12026" i="81"/>
  <c r="E12026" i="81"/>
  <c r="G12026" i="81"/>
  <c r="I12026" i="81"/>
  <c r="K12026" i="81"/>
  <c r="M12026" i="81"/>
  <c r="O12026" i="81"/>
  <c r="Q12026" i="81"/>
  <c r="S12026" i="81"/>
  <c r="U12026" i="81"/>
  <c r="W12026" i="81"/>
  <c r="Y12026" i="81"/>
  <c r="AA12026" i="81"/>
  <c r="AC12026" i="81"/>
  <c r="AE12026" i="81"/>
  <c r="AG12026" i="81"/>
  <c r="AI12026" i="81"/>
  <c r="AK12026" i="81"/>
  <c r="AM12026" i="81"/>
  <c r="AO12026" i="81"/>
  <c r="AQ12026" i="81"/>
  <c r="AS12026" i="81"/>
  <c r="AU12026" i="81"/>
  <c r="AW12026" i="81"/>
  <c r="AY12026" i="81"/>
  <c r="BA12026" i="81"/>
  <c r="BC12026" i="81"/>
  <c r="BE12026" i="81"/>
  <c r="BG12026" i="81"/>
  <c r="BI12026" i="81"/>
  <c r="BK12026" i="81"/>
  <c r="BM12026" i="81"/>
  <c r="BO12026" i="81"/>
  <c r="BQ12026" i="81"/>
  <c r="BS12026" i="81"/>
  <c r="BU12026" i="81"/>
  <c r="BW12026" i="81"/>
  <c r="BY12026" i="81"/>
  <c r="A12027" i="81"/>
  <c r="C12027" i="81"/>
  <c r="E12027" i="81"/>
  <c r="G12027" i="81"/>
  <c r="I12027" i="81"/>
  <c r="K12027" i="81"/>
  <c r="M12027" i="81"/>
  <c r="O12027" i="81"/>
  <c r="Q12027" i="81"/>
  <c r="S12027" i="81"/>
  <c r="U12027" i="81"/>
  <c r="W12027" i="81"/>
  <c r="Y12027" i="81"/>
  <c r="AA12027" i="81"/>
  <c r="AC12027" i="81"/>
  <c r="AE12027" i="81"/>
  <c r="AG12027" i="81"/>
  <c r="AI12027" i="81"/>
  <c r="AK12027" i="81"/>
  <c r="AM12027" i="81"/>
  <c r="AO12027" i="81"/>
  <c r="AQ12027" i="81"/>
  <c r="AS12027" i="81"/>
  <c r="AU12027" i="81"/>
  <c r="AW12027" i="81"/>
  <c r="AY12027" i="81"/>
  <c r="BA12027" i="81"/>
  <c r="BC12027" i="81"/>
  <c r="BE12027" i="81"/>
  <c r="BG12027" i="81"/>
  <c r="BI12027" i="81"/>
  <c r="BK12027" i="81"/>
  <c r="BM12027" i="81"/>
  <c r="BO12027" i="81"/>
  <c r="BQ12027" i="81"/>
  <c r="BS12027" i="81"/>
  <c r="BU12027" i="81"/>
  <c r="BW12027" i="81"/>
  <c r="BY12027" i="81"/>
  <c r="A12028" i="81"/>
  <c r="C12028" i="81"/>
  <c r="E12028" i="81"/>
  <c r="G12028" i="81"/>
  <c r="I12028" i="81"/>
  <c r="K12028" i="81"/>
  <c r="M12028" i="81"/>
  <c r="O12028" i="81"/>
  <c r="Q12028" i="81"/>
  <c r="S12028" i="81"/>
  <c r="U12028" i="81"/>
  <c r="W12028" i="81"/>
  <c r="Y12028" i="81"/>
  <c r="AA12028" i="81"/>
  <c r="AC12028" i="81"/>
  <c r="AE12028" i="81"/>
  <c r="AG12028" i="81"/>
  <c r="AI12028" i="81"/>
  <c r="AK12028" i="81"/>
  <c r="AM12028" i="81"/>
  <c r="AO12028" i="81"/>
  <c r="AQ12028" i="81"/>
  <c r="AS12028" i="81"/>
  <c r="AU12028" i="81"/>
  <c r="AW12028" i="81"/>
  <c r="AY12028" i="81"/>
  <c r="BA12028" i="81"/>
  <c r="BC12028" i="81"/>
  <c r="BE12028" i="81"/>
  <c r="BG12028" i="81"/>
  <c r="BI12028" i="81"/>
  <c r="BK12028" i="81"/>
  <c r="BM12028" i="81"/>
  <c r="BO12028" i="81"/>
  <c r="BQ12028" i="81"/>
  <c r="BS12028" i="81"/>
  <c r="BU12028" i="81"/>
  <c r="BW12028" i="81"/>
  <c r="BY12028" i="81"/>
  <c r="A12029" i="81"/>
  <c r="C12029" i="81"/>
  <c r="E12029" i="81"/>
  <c r="G12029" i="81"/>
  <c r="I12029" i="81"/>
  <c r="K12029" i="81"/>
  <c r="M12029" i="81"/>
  <c r="O12029" i="81"/>
  <c r="Q12029" i="81"/>
  <c r="S12029" i="81"/>
  <c r="U12029" i="81"/>
  <c r="W12029" i="81"/>
  <c r="Y12029" i="81"/>
  <c r="AA12029" i="81"/>
  <c r="AC12029" i="81"/>
  <c r="AE12029" i="81"/>
  <c r="AG12029" i="81"/>
  <c r="AI12029" i="81"/>
  <c r="AK12029" i="81"/>
  <c r="AM12029" i="81"/>
  <c r="AO12029" i="81"/>
  <c r="AQ12029" i="81"/>
  <c r="AS12029" i="81"/>
  <c r="AU12029" i="81"/>
  <c r="AW12029" i="81"/>
  <c r="AY12029" i="81"/>
  <c r="BA12029" i="81"/>
  <c r="BC12029" i="81"/>
  <c r="BE12029" i="81"/>
  <c r="BG12029" i="81"/>
  <c r="BI12029" i="81"/>
  <c r="BK12029" i="81"/>
  <c r="BM12029" i="81"/>
  <c r="BO12029" i="81"/>
  <c r="BQ12029" i="81"/>
  <c r="BS12029" i="81"/>
  <c r="BU12029" i="81"/>
  <c r="BW12029" i="81"/>
  <c r="BY12029" i="81"/>
  <c r="A12030" i="81"/>
  <c r="C12030" i="81"/>
  <c r="E12030" i="81"/>
  <c r="G12030" i="81"/>
  <c r="I12030" i="81"/>
  <c r="K12030" i="81"/>
  <c r="M12030" i="81"/>
  <c r="O12030" i="81"/>
  <c r="Q12030" i="81"/>
  <c r="S12030" i="81"/>
  <c r="U12030" i="81"/>
  <c r="W12030" i="81"/>
  <c r="Y12030" i="81"/>
  <c r="AA12030" i="81"/>
  <c r="AC12030" i="81"/>
  <c r="AE12030" i="81"/>
  <c r="AG12030" i="81"/>
  <c r="AI12030" i="81"/>
  <c r="AK12030" i="81"/>
  <c r="AM12030" i="81"/>
  <c r="AO12030" i="81"/>
  <c r="AQ12030" i="81"/>
  <c r="AS12030" i="81"/>
  <c r="AU12030" i="81"/>
  <c r="AW12030" i="81"/>
  <c r="AY12030" i="81"/>
  <c r="BA12030" i="81"/>
  <c r="BC12030" i="81"/>
  <c r="BE12030" i="81"/>
  <c r="BG12030" i="81"/>
  <c r="BI12030" i="81"/>
  <c r="BK12030" i="81"/>
  <c r="BM12030" i="81"/>
  <c r="BO12030" i="81"/>
  <c r="BQ12030" i="81"/>
  <c r="BS12030" i="81"/>
  <c r="BU12030" i="81"/>
  <c r="BW12030" i="81"/>
  <c r="BY12030" i="81"/>
  <c r="A12031" i="81"/>
  <c r="C12031" i="81"/>
  <c r="E12031" i="81"/>
  <c r="G12031" i="81"/>
  <c r="I12031" i="81"/>
  <c r="K12031" i="81"/>
  <c r="M12031" i="81"/>
  <c r="O12031" i="81"/>
  <c r="Q12031" i="81"/>
  <c r="S12031" i="81"/>
  <c r="U12031" i="81"/>
  <c r="W12031" i="81"/>
  <c r="Y12031" i="81"/>
  <c r="AA12031" i="81"/>
  <c r="AC12031" i="81"/>
  <c r="AE12031" i="81"/>
  <c r="AG12031" i="81"/>
  <c r="AI12031" i="81"/>
  <c r="AK12031" i="81"/>
  <c r="AM12031" i="81"/>
  <c r="AO12031" i="81"/>
  <c r="AQ12031" i="81"/>
  <c r="AS12031" i="81"/>
  <c r="AU12031" i="81"/>
  <c r="AW12031" i="81"/>
  <c r="AY12031" i="81"/>
  <c r="BA12031" i="81"/>
  <c r="BC12031" i="81"/>
  <c r="BE12031" i="81"/>
  <c r="BG12031" i="81"/>
  <c r="BI12031" i="81"/>
  <c r="BK12031" i="81"/>
  <c r="BM12031" i="81"/>
  <c r="BO12031" i="81"/>
  <c r="BQ12031" i="81"/>
  <c r="BS12031" i="81"/>
  <c r="BU12031" i="81"/>
  <c r="BW12031" i="81"/>
  <c r="BY12031" i="81"/>
  <c r="A12032" i="81"/>
  <c r="C12032" i="81"/>
  <c r="E12032" i="81"/>
  <c r="G12032" i="81"/>
  <c r="I12032" i="81"/>
  <c r="K12032" i="81"/>
  <c r="M12032" i="81"/>
  <c r="O12032" i="81"/>
  <c r="Q12032" i="81"/>
  <c r="S12032" i="81"/>
  <c r="U12032" i="81"/>
  <c r="W12032" i="81"/>
  <c r="Y12032" i="81"/>
  <c r="AA12032" i="81"/>
  <c r="AC12032" i="81"/>
  <c r="AE12032" i="81"/>
  <c r="AG12032" i="81"/>
  <c r="AI12032" i="81"/>
  <c r="AK12032" i="81"/>
  <c r="AM12032" i="81"/>
  <c r="AO12032" i="81"/>
  <c r="AQ12032" i="81"/>
  <c r="AS12032" i="81"/>
  <c r="AU12032" i="81"/>
  <c r="AW12032" i="81"/>
  <c r="AY12032" i="81"/>
  <c r="BA12032" i="81"/>
  <c r="BC12032" i="81"/>
  <c r="BE12032" i="81"/>
  <c r="BG12032" i="81"/>
  <c r="BI12032" i="81"/>
  <c r="BK12032" i="81"/>
  <c r="BM12032" i="81"/>
  <c r="BO12032" i="81"/>
  <c r="BQ12032" i="81"/>
  <c r="BS12032" i="81"/>
  <c r="BU12032" i="81"/>
  <c r="BW12032" i="81"/>
  <c r="BY12032" i="81"/>
  <c r="A12033" i="81"/>
  <c r="C12033" i="81"/>
  <c r="E12033" i="81"/>
  <c r="G12033" i="81"/>
  <c r="I12033" i="81"/>
  <c r="K12033" i="81"/>
  <c r="M12033" i="81"/>
  <c r="O12033" i="81"/>
  <c r="Q12033" i="81"/>
  <c r="S12033" i="81"/>
  <c r="U12033" i="81"/>
  <c r="W12033" i="81"/>
  <c r="Y12033" i="81"/>
  <c r="AA12033" i="81"/>
  <c r="AC12033" i="81"/>
  <c r="AE12033" i="81"/>
  <c r="AG12033" i="81"/>
  <c r="AI12033" i="81"/>
  <c r="AK12033" i="81"/>
  <c r="AM12033" i="81"/>
  <c r="AO12033" i="81"/>
  <c r="AQ12033" i="81"/>
  <c r="AS12033" i="81"/>
  <c r="AU12033" i="81"/>
  <c r="AW12033" i="81"/>
  <c r="AY12033" i="81"/>
  <c r="BA12033" i="81"/>
  <c r="BC12033" i="81"/>
  <c r="BE12033" i="81"/>
  <c r="BG12033" i="81"/>
  <c r="BI12033" i="81"/>
  <c r="BK12033" i="81"/>
  <c r="BM12033" i="81"/>
  <c r="BO12033" i="81"/>
  <c r="BQ12033" i="81"/>
  <c r="BS12033" i="81"/>
  <c r="BU12033" i="81"/>
  <c r="BW12033" i="81"/>
  <c r="BY12033" i="81"/>
  <c r="A12034" i="81"/>
  <c r="C12034" i="81"/>
  <c r="E12034" i="81"/>
  <c r="G12034" i="81"/>
  <c r="I12034" i="81"/>
  <c r="K12034" i="81"/>
  <c r="M12034" i="81"/>
  <c r="O12034" i="81"/>
  <c r="Q12034" i="81"/>
  <c r="S12034" i="81"/>
  <c r="U12034" i="81"/>
  <c r="W12034" i="81"/>
  <c r="Y12034" i="81"/>
  <c r="AA12034" i="81"/>
  <c r="AC12034" i="81"/>
  <c r="AE12034" i="81"/>
  <c r="AG12034" i="81"/>
  <c r="AI12034" i="81"/>
  <c r="AK12034" i="81"/>
  <c r="AM12034" i="81"/>
  <c r="AO12034" i="81"/>
  <c r="AQ12034" i="81"/>
  <c r="AS12034" i="81"/>
  <c r="AU12034" i="81"/>
  <c r="AW12034" i="81"/>
  <c r="AY12034" i="81"/>
  <c r="BA12034" i="81"/>
  <c r="BC12034" i="81"/>
  <c r="BE12034" i="81"/>
  <c r="BG12034" i="81"/>
  <c r="BI12034" i="81"/>
  <c r="BK12034" i="81"/>
  <c r="BM12034" i="81"/>
  <c r="BO12034" i="81"/>
  <c r="BQ12034" i="81"/>
  <c r="BS12034" i="81"/>
  <c r="BU12034" i="81"/>
  <c r="BW12034" i="81"/>
  <c r="BY12034" i="81"/>
  <c r="A12035" i="81"/>
  <c r="C12035" i="81"/>
  <c r="E12035" i="81"/>
  <c r="G12035" i="81"/>
  <c r="I12035" i="81"/>
  <c r="K12035" i="81"/>
  <c r="M12035" i="81"/>
  <c r="O12035" i="81"/>
  <c r="Q12035" i="81"/>
  <c r="S12035" i="81"/>
  <c r="U12035" i="81"/>
  <c r="W12035" i="81"/>
  <c r="Y12035" i="81"/>
  <c r="AA12035" i="81"/>
  <c r="AC12035" i="81"/>
  <c r="AE12035" i="81"/>
  <c r="AG12035" i="81"/>
  <c r="AI12035" i="81"/>
  <c r="AK12035" i="81"/>
  <c r="AM12035" i="81"/>
  <c r="AO12035" i="81"/>
  <c r="AQ12035" i="81"/>
  <c r="AS12035" i="81"/>
  <c r="AU12035" i="81"/>
  <c r="AW12035" i="81"/>
  <c r="AY12035" i="81"/>
  <c r="BA12035" i="81"/>
  <c r="BC12035" i="81"/>
  <c r="BE12035" i="81"/>
  <c r="BG12035" i="81"/>
  <c r="BI12035" i="81"/>
  <c r="BK12035" i="81"/>
  <c r="BM12035" i="81"/>
  <c r="BO12035" i="81"/>
  <c r="BQ12035" i="81"/>
  <c r="BS12035" i="81"/>
  <c r="BU12035" i="81"/>
  <c r="BW12035" i="81"/>
  <c r="BY12035" i="81"/>
  <c r="A12036" i="81"/>
  <c r="C12036" i="81"/>
  <c r="E12036" i="81"/>
  <c r="G12036" i="81"/>
  <c r="I12036" i="81"/>
  <c r="K12036" i="81"/>
  <c r="M12036" i="81"/>
  <c r="O12036" i="81"/>
  <c r="Q12036" i="81"/>
  <c r="S12036" i="81"/>
  <c r="U12036" i="81"/>
  <c r="W12036" i="81"/>
  <c r="Y12036" i="81"/>
  <c r="AA12036" i="81"/>
  <c r="AC12036" i="81"/>
  <c r="AE12036" i="81"/>
  <c r="AG12036" i="81"/>
  <c r="AI12036" i="81"/>
  <c r="AK12036" i="81"/>
  <c r="AM12036" i="81"/>
  <c r="AO12036" i="81"/>
  <c r="AQ12036" i="81"/>
  <c r="AS12036" i="81"/>
  <c r="AU12036" i="81"/>
  <c r="AW12036" i="81"/>
  <c r="AY12036" i="81"/>
  <c r="BA12036" i="81"/>
  <c r="BC12036" i="81"/>
  <c r="BE12036" i="81"/>
  <c r="BG12036" i="81"/>
  <c r="BI12036" i="81"/>
  <c r="BK12036" i="81"/>
  <c r="BM12036" i="81"/>
  <c r="BO12036" i="81"/>
  <c r="BQ12036" i="81"/>
  <c r="BS12036" i="81"/>
  <c r="BU12036" i="81"/>
  <c r="BW12036" i="81"/>
  <c r="BY12036" i="81"/>
  <c r="A12037" i="81"/>
  <c r="C12037" i="81"/>
  <c r="E12037" i="81"/>
  <c r="G12037" i="81"/>
  <c r="I12037" i="81"/>
  <c r="K12037" i="81"/>
  <c r="M12037" i="81"/>
  <c r="O12037" i="81"/>
  <c r="Q12037" i="81"/>
  <c r="S12037" i="81"/>
  <c r="U12037" i="81"/>
  <c r="W12037" i="81"/>
  <c r="Y12037" i="81"/>
  <c r="AA12037" i="81"/>
  <c r="AC12037" i="81"/>
  <c r="AE12037" i="81"/>
  <c r="AG12037" i="81"/>
  <c r="AI12037" i="81"/>
  <c r="AK12037" i="81"/>
  <c r="AM12037" i="81"/>
  <c r="AO12037" i="81"/>
  <c r="AQ12037" i="81"/>
  <c r="AS12037" i="81"/>
  <c r="AU12037" i="81"/>
  <c r="AW12037" i="81"/>
  <c r="AY12037" i="81"/>
  <c r="BA12037" i="81"/>
  <c r="BC12037" i="81"/>
  <c r="BE12037" i="81"/>
  <c r="BG12037" i="81"/>
  <c r="BI12037" i="81"/>
  <c r="BK12037" i="81"/>
  <c r="BM12037" i="81"/>
  <c r="BO12037" i="81"/>
  <c r="BQ12037" i="81"/>
  <c r="BS12037" i="81"/>
  <c r="BU12037" i="81"/>
  <c r="BW12037" i="81"/>
  <c r="BY12037" i="81"/>
  <c r="A12038" i="81"/>
  <c r="C12038" i="81"/>
  <c r="E12038" i="81"/>
  <c r="G12038" i="81"/>
  <c r="I12038" i="81"/>
  <c r="K12038" i="81"/>
  <c r="M12038" i="81"/>
  <c r="O12038" i="81"/>
  <c r="Q12038" i="81"/>
  <c r="S12038" i="81"/>
  <c r="U12038" i="81"/>
  <c r="W12038" i="81"/>
  <c r="Y12038" i="81"/>
  <c r="AA12038" i="81"/>
  <c r="AC12038" i="81"/>
  <c r="AC12011" i="81"/>
  <c r="AT12012" i="81"/>
  <c r="AF12013" i="81"/>
  <c r="R12014" i="81"/>
  <c r="D12015" i="81"/>
  <c r="AQ12015" i="81"/>
  <c r="BG12015" i="81"/>
  <c r="BW12015" i="81"/>
  <c r="M12016" i="81"/>
  <c r="AC12016" i="81"/>
  <c r="AS12016" i="81"/>
  <c r="BI12016" i="81"/>
  <c r="BY12016" i="81"/>
  <c r="O12017" i="81"/>
  <c r="AE12017" i="81"/>
  <c r="AU12017" i="81"/>
  <c r="BK12017" i="81"/>
  <c r="A12018" i="81"/>
  <c r="Q12018" i="81"/>
  <c r="AG12018" i="81"/>
  <c r="AW12018" i="81"/>
  <c r="BM12018" i="81"/>
  <c r="C12019" i="81"/>
  <c r="S12019" i="81"/>
  <c r="AI12019" i="81"/>
  <c r="AY12019" i="81"/>
  <c r="BO12019" i="81"/>
  <c r="E12020" i="81"/>
  <c r="U12020" i="81"/>
  <c r="AK12020" i="81"/>
  <c r="BA12020" i="81"/>
  <c r="BQ12020" i="81"/>
  <c r="G12021" i="81"/>
  <c r="W12021" i="81"/>
  <c r="AM12021" i="81"/>
  <c r="BC12021" i="81"/>
  <c r="BS12021" i="81"/>
  <c r="I12022" i="81"/>
  <c r="Y12022" i="81"/>
  <c r="AO12022" i="81"/>
  <c r="BE12022" i="81"/>
  <c r="BU12022" i="81"/>
  <c r="H12023" i="81"/>
  <c r="L12023" i="81"/>
  <c r="P12023" i="81"/>
  <c r="T12023" i="81"/>
  <c r="X12023" i="81"/>
  <c r="AB12023" i="81"/>
  <c r="AF12023" i="81"/>
  <c r="AJ12023" i="81"/>
  <c r="AN12023" i="81"/>
  <c r="AR12023" i="81"/>
  <c r="AV12023" i="81"/>
  <c r="AZ12023" i="81"/>
  <c r="BD12023" i="81"/>
  <c r="BH12023" i="81"/>
  <c r="BL12023" i="81"/>
  <c r="BP12023" i="81"/>
  <c r="BT12023" i="81"/>
  <c r="BX12023" i="81"/>
  <c r="B12024" i="81"/>
  <c r="F12024" i="81"/>
  <c r="J12024" i="81"/>
  <c r="N12024" i="81"/>
  <c r="R12024" i="81"/>
  <c r="V12024" i="81"/>
  <c r="Z12024" i="81"/>
  <c r="AD12024" i="81"/>
  <c r="AH12024" i="81"/>
  <c r="AL12024" i="81"/>
  <c r="AP12024" i="81"/>
  <c r="AT12024" i="81"/>
  <c r="AX12024" i="81"/>
  <c r="BB12024" i="81"/>
  <c r="BF12024" i="81"/>
  <c r="BJ12024" i="81"/>
  <c r="BN12024" i="81"/>
  <c r="BR12024" i="81"/>
  <c r="BV12024" i="81"/>
  <c r="BZ12024" i="81"/>
  <c r="D12025" i="81"/>
  <c r="H12025" i="81"/>
  <c r="L12025" i="81"/>
  <c r="P12025" i="81"/>
  <c r="T12025" i="81"/>
  <c r="X12025" i="81"/>
  <c r="AB12025" i="81"/>
  <c r="AF12025" i="81"/>
  <c r="AJ12025" i="81"/>
  <c r="AN12025" i="81"/>
  <c r="AR12025" i="81"/>
  <c r="AV12025" i="81"/>
  <c r="AZ12025" i="81"/>
  <c r="BD12025" i="81"/>
  <c r="BH12025" i="81"/>
  <c r="BL12025" i="81"/>
  <c r="BP12025" i="81"/>
  <c r="BT12025" i="81"/>
  <c r="BX12025" i="81"/>
  <c r="B12026" i="81"/>
  <c r="F12026" i="81"/>
  <c r="J12026" i="81"/>
  <c r="N12026" i="81"/>
  <c r="R12026" i="81"/>
  <c r="V12026" i="81"/>
  <c r="Z12026" i="81"/>
  <c r="AD12026" i="81"/>
  <c r="AH12026" i="81"/>
  <c r="AL12026" i="81"/>
  <c r="AP12026" i="81"/>
  <c r="AT12026" i="81"/>
  <c r="AX12026" i="81"/>
  <c r="BB12026" i="81"/>
  <c r="BF12026" i="81"/>
  <c r="BJ12026" i="81"/>
  <c r="BN12026" i="81"/>
  <c r="BR12026" i="81"/>
  <c r="BV12026" i="81"/>
  <c r="BZ12026" i="81"/>
  <c r="D12027" i="81"/>
  <c r="H12027" i="81"/>
  <c r="L12027" i="81"/>
  <c r="P12027" i="81"/>
  <c r="T12027" i="81"/>
  <c r="X12027" i="81"/>
  <c r="AB12027" i="81"/>
  <c r="AF12027" i="81"/>
  <c r="AJ12027" i="81"/>
  <c r="AN12027" i="81"/>
  <c r="AR12027" i="81"/>
  <c r="AV12027" i="81"/>
  <c r="AZ12027" i="81"/>
  <c r="BD12027" i="81"/>
  <c r="BH12027" i="81"/>
  <c r="BL12027" i="81"/>
  <c r="BP12027" i="81"/>
  <c r="BT12027" i="81"/>
  <c r="BX12027" i="81"/>
  <c r="B12028" i="81"/>
  <c r="F12028" i="81"/>
  <c r="J12028" i="81"/>
  <c r="N12028" i="81"/>
  <c r="R12028" i="81"/>
  <c r="V12028" i="81"/>
  <c r="Z12028" i="81"/>
  <c r="AD12028" i="81"/>
  <c r="AH12028" i="81"/>
  <c r="AL12028" i="81"/>
  <c r="AP12028" i="81"/>
  <c r="AT12028" i="81"/>
  <c r="AX12028" i="81"/>
  <c r="BB12028" i="81"/>
  <c r="BF12028" i="81"/>
  <c r="BJ12028" i="81"/>
  <c r="BN12028" i="81"/>
  <c r="BR12028" i="81"/>
  <c r="BV12028" i="81"/>
  <c r="BZ12028" i="81"/>
  <c r="D12029" i="81"/>
  <c r="H12029" i="81"/>
  <c r="L12029" i="81"/>
  <c r="P12029" i="81"/>
  <c r="T12029" i="81"/>
  <c r="X12029" i="81"/>
  <c r="AB12029" i="81"/>
  <c r="AF12029" i="81"/>
  <c r="AJ12029" i="81"/>
  <c r="AN12029" i="81"/>
  <c r="AR12029" i="81"/>
  <c r="AV12029" i="81"/>
  <c r="AZ12029" i="81"/>
  <c r="BD12029" i="81"/>
  <c r="BH12029" i="81"/>
  <c r="BL12029" i="81"/>
  <c r="BP12029" i="81"/>
  <c r="BT12029" i="81"/>
  <c r="BX12029" i="81"/>
  <c r="B12030" i="81"/>
  <c r="F12030" i="81"/>
  <c r="J12030" i="81"/>
  <c r="N12030" i="81"/>
  <c r="R12030" i="81"/>
  <c r="V12030" i="81"/>
  <c r="Z12030" i="81"/>
  <c r="AD12030" i="81"/>
  <c r="AH12030" i="81"/>
  <c r="AL12030" i="81"/>
  <c r="AP12030" i="81"/>
  <c r="AT12030" i="81"/>
  <c r="AX12030" i="81"/>
  <c r="BB12030" i="81"/>
  <c r="BF12030" i="81"/>
  <c r="BJ12030" i="81"/>
  <c r="BN12030" i="81"/>
  <c r="BR12030" i="81"/>
  <c r="BV12030" i="81"/>
  <c r="BZ12030" i="81"/>
  <c r="D12031" i="81"/>
  <c r="H12031" i="81"/>
  <c r="L12031" i="81"/>
  <c r="P12031" i="81"/>
  <c r="T12031" i="81"/>
  <c r="X12031" i="81"/>
  <c r="AB12031" i="81"/>
  <c r="AF12031" i="81"/>
  <c r="AJ12031" i="81"/>
  <c r="AN12031" i="81"/>
  <c r="AR12031" i="81"/>
  <c r="AV12031" i="81"/>
  <c r="AZ12031" i="81"/>
  <c r="BD12031" i="81"/>
  <c r="BH12031" i="81"/>
  <c r="BL12031" i="81"/>
  <c r="BP12031" i="81"/>
  <c r="BT12031" i="81"/>
  <c r="BX12031" i="81"/>
  <c r="B12032" i="81"/>
  <c r="F12032" i="81"/>
  <c r="J12032" i="81"/>
  <c r="N12032" i="81"/>
  <c r="R12032" i="81"/>
  <c r="V12032" i="81"/>
  <c r="Z12032" i="81"/>
  <c r="AD12032" i="81"/>
  <c r="AH12032" i="81"/>
  <c r="AL12032" i="81"/>
  <c r="AP12032" i="81"/>
  <c r="AT12032" i="81"/>
  <c r="AX12032" i="81"/>
  <c r="BB12032" i="81"/>
  <c r="BF12032" i="81"/>
  <c r="BJ12032" i="81"/>
  <c r="BN12032" i="81"/>
  <c r="BR12032" i="81"/>
  <c r="BV12032" i="81"/>
  <c r="BZ12032" i="81"/>
  <c r="D12033" i="81"/>
  <c r="H12033" i="81"/>
  <c r="L12033" i="81"/>
  <c r="P12033" i="81"/>
  <c r="T12033" i="81"/>
  <c r="X12033" i="81"/>
  <c r="AB12033" i="81"/>
  <c r="AF12033" i="81"/>
  <c r="AJ12033" i="81"/>
  <c r="AN12033" i="81"/>
  <c r="AR12033" i="81"/>
  <c r="AV12033" i="81"/>
  <c r="AZ12033" i="81"/>
  <c r="BD12033" i="81"/>
  <c r="BH12033" i="81"/>
  <c r="BL12033" i="81"/>
  <c r="BP12033" i="81"/>
  <c r="BT12033" i="81"/>
  <c r="BX12033" i="81"/>
  <c r="B12034" i="81"/>
  <c r="F12034" i="81"/>
  <c r="J12034" i="81"/>
  <c r="N12034" i="81"/>
  <c r="R12034" i="81"/>
  <c r="V12034" i="81"/>
  <c r="Z12034" i="81"/>
  <c r="AD12034" i="81"/>
  <c r="AH12034" i="81"/>
  <c r="AL12034" i="81"/>
  <c r="AP12034" i="81"/>
  <c r="AT12034" i="81"/>
  <c r="AX12034" i="81"/>
  <c r="BB12034" i="81"/>
  <c r="BF12034" i="81"/>
  <c r="BJ12034" i="81"/>
  <c r="BN12034" i="81"/>
  <c r="BR12034" i="81"/>
  <c r="BV12034" i="81"/>
  <c r="BZ12034" i="81"/>
  <c r="D12035" i="81"/>
  <c r="H12035" i="81"/>
  <c r="L12035" i="81"/>
  <c r="P12035" i="81"/>
  <c r="T12035" i="81"/>
  <c r="X12035" i="81"/>
  <c r="AB12035" i="81"/>
  <c r="AF12035" i="81"/>
  <c r="AJ12035" i="81"/>
  <c r="AN12035" i="81"/>
  <c r="AR12035" i="81"/>
  <c r="AV12035" i="81"/>
  <c r="AZ12035" i="81"/>
  <c r="BD12035" i="81"/>
  <c r="BH12035" i="81"/>
  <c r="BL12035" i="81"/>
  <c r="BP12035" i="81"/>
  <c r="BT12035" i="81"/>
  <c r="BX12035" i="81"/>
  <c r="B12036" i="81"/>
  <c r="F12036" i="81"/>
  <c r="J12036" i="81"/>
  <c r="N12036" i="81"/>
  <c r="R12036" i="81"/>
  <c r="V12036" i="81"/>
  <c r="Z12036" i="81"/>
  <c r="AD12036" i="81"/>
  <c r="AH12036" i="81"/>
  <c r="AL12036" i="81"/>
  <c r="AP12036" i="81"/>
  <c r="AT12036" i="81"/>
  <c r="AX12036" i="81"/>
  <c r="BB12036" i="81"/>
  <c r="BF12036" i="81"/>
  <c r="BJ12036" i="81"/>
  <c r="BN12036" i="81"/>
  <c r="BR12036" i="81"/>
  <c r="BV12036" i="81"/>
  <c r="BZ12036" i="81"/>
  <c r="D12037" i="81"/>
  <c r="H12037" i="81"/>
  <c r="L12037" i="81"/>
  <c r="P12037" i="81"/>
  <c r="T12037" i="81"/>
  <c r="X12037" i="81"/>
  <c r="AB12037" i="81"/>
  <c r="AF12037" i="81"/>
  <c r="AJ12037" i="81"/>
  <c r="AN12037" i="81"/>
  <c r="AR12037" i="81"/>
  <c r="AV12037" i="81"/>
  <c r="AZ12037" i="81"/>
  <c r="BD12037" i="81"/>
  <c r="BH12037" i="81"/>
  <c r="BL12037" i="81"/>
  <c r="BP12037" i="81"/>
  <c r="BT12037" i="81"/>
  <c r="BX12037" i="81"/>
  <c r="B12038" i="81"/>
  <c r="F12038" i="81"/>
  <c r="J12038" i="81"/>
  <c r="N12038" i="81"/>
  <c r="R12038" i="81"/>
  <c r="V12038" i="81"/>
  <c r="Z12038" i="81"/>
  <c r="AD12038" i="81"/>
  <c r="AQ12010" i="81"/>
  <c r="BZ12012" i="81"/>
  <c r="AX12014" i="81"/>
  <c r="AY12015" i="81"/>
  <c r="E12016" i="81"/>
  <c r="AK12016" i="81"/>
  <c r="BQ12016" i="81"/>
  <c r="W12017" i="81"/>
  <c r="BC12017" i="81"/>
  <c r="I12018" i="81"/>
  <c r="AO12018" i="81"/>
  <c r="BU12018" i="81"/>
  <c r="AA12019" i="81"/>
  <c r="BG12019" i="81"/>
  <c r="M12020" i="81"/>
  <c r="AS12020" i="81"/>
  <c r="BY12020" i="81"/>
  <c r="AE12021" i="81"/>
  <c r="BK12021" i="81"/>
  <c r="Q12022" i="81"/>
  <c r="AW12022" i="81"/>
  <c r="C12023" i="81"/>
  <c r="N12023" i="81"/>
  <c r="V12023" i="81"/>
  <c r="AD12023" i="81"/>
  <c r="AL12023" i="81"/>
  <c r="AT12023" i="81"/>
  <c r="BB12023" i="81"/>
  <c r="BJ12023" i="81"/>
  <c r="BR12023" i="81"/>
  <c r="BZ12023" i="81"/>
  <c r="H12024" i="81"/>
  <c r="P12024" i="81"/>
  <c r="X12024" i="81"/>
  <c r="AF12024" i="81"/>
  <c r="AN12024" i="81"/>
  <c r="AV12024" i="81"/>
  <c r="BD12024" i="81"/>
  <c r="BL12024" i="81"/>
  <c r="BT12024" i="81"/>
  <c r="B12025" i="81"/>
  <c r="J12025" i="81"/>
  <c r="R12025" i="81"/>
  <c r="Z12025" i="81"/>
  <c r="AH12025" i="81"/>
  <c r="AP12025" i="81"/>
  <c r="AX12025" i="81"/>
  <c r="BF12025" i="81"/>
  <c r="BN12025" i="81"/>
  <c r="BV12025" i="81"/>
  <c r="D12026" i="81"/>
  <c r="L12026" i="81"/>
  <c r="T12026" i="81"/>
  <c r="AB12026" i="81"/>
  <c r="AJ12026" i="81"/>
  <c r="AR12026" i="81"/>
  <c r="AZ12026" i="81"/>
  <c r="BH12026" i="81"/>
  <c r="BP12026" i="81"/>
  <c r="BX12026" i="81"/>
  <c r="F12027" i="81"/>
  <c r="N12027" i="81"/>
  <c r="V12027" i="81"/>
  <c r="AD12027" i="81"/>
  <c r="AL12027" i="81"/>
  <c r="AT12027" i="81"/>
  <c r="BB12027" i="81"/>
  <c r="BJ12027" i="81"/>
  <c r="BR12027" i="81"/>
  <c r="BZ12027" i="81"/>
  <c r="H12028" i="81"/>
  <c r="P12028" i="81"/>
  <c r="X12028" i="81"/>
  <c r="AF12028" i="81"/>
  <c r="AN12028" i="81"/>
  <c r="AV12028" i="81"/>
  <c r="BD12028" i="81"/>
  <c r="BL12028" i="81"/>
  <c r="BT12028" i="81"/>
  <c r="B12029" i="81"/>
  <c r="J12029" i="81"/>
  <c r="R12029" i="81"/>
  <c r="Z12029" i="81"/>
  <c r="AH12029" i="81"/>
  <c r="AP12029" i="81"/>
  <c r="AX12029" i="81"/>
  <c r="BF12029" i="81"/>
  <c r="BN12029" i="81"/>
  <c r="BV12029" i="81"/>
  <c r="D12030" i="81"/>
  <c r="L12030" i="81"/>
  <c r="T12030" i="81"/>
  <c r="AB12030" i="81"/>
  <c r="AJ12030" i="81"/>
  <c r="AR12030" i="81"/>
  <c r="AZ12030" i="81"/>
  <c r="BH12030" i="81"/>
  <c r="BP12030" i="81"/>
  <c r="BX12030" i="81"/>
  <c r="F12031" i="81"/>
  <c r="N12031" i="81"/>
  <c r="V12031" i="81"/>
  <c r="AD12031" i="81"/>
  <c r="AL12031" i="81"/>
  <c r="AT12031" i="81"/>
  <c r="BB12031" i="81"/>
  <c r="BJ12031" i="81"/>
  <c r="BR12031" i="81"/>
  <c r="BZ12031" i="81"/>
  <c r="H12032" i="81"/>
  <c r="P12032" i="81"/>
  <c r="X12032" i="81"/>
  <c r="AF12032" i="81"/>
  <c r="AN12032" i="81"/>
  <c r="AV12032" i="81"/>
  <c r="BD12032" i="81"/>
  <c r="BL12032" i="81"/>
  <c r="BT12032" i="81"/>
  <c r="B12033" i="81"/>
  <c r="J12033" i="81"/>
  <c r="R12033" i="81"/>
  <c r="Z12033" i="81"/>
  <c r="AH12033" i="81"/>
  <c r="AP12033" i="81"/>
  <c r="AX12033" i="81"/>
  <c r="BF12033" i="81"/>
  <c r="BN12033" i="81"/>
  <c r="BV12033" i="81"/>
  <c r="D12034" i="81"/>
  <c r="L12034" i="81"/>
  <c r="T12034" i="81"/>
  <c r="AB12034" i="81"/>
  <c r="AJ12034" i="81"/>
  <c r="AR12034" i="81"/>
  <c r="AZ12034" i="81"/>
  <c r="BH12034" i="81"/>
  <c r="BP12034" i="81"/>
  <c r="BX12034" i="81"/>
  <c r="F12035" i="81"/>
  <c r="N12035" i="81"/>
  <c r="V12035" i="81"/>
  <c r="AD12035" i="81"/>
  <c r="AL12035" i="81"/>
  <c r="AT12035" i="81"/>
  <c r="BB12035" i="81"/>
  <c r="BJ12035" i="81"/>
  <c r="BR12035" i="81"/>
  <c r="BZ12035" i="81"/>
  <c r="H12036" i="81"/>
  <c r="P12036" i="81"/>
  <c r="X12036" i="81"/>
  <c r="AF12036" i="81"/>
  <c r="AN12036" i="81"/>
  <c r="AV12036" i="81"/>
  <c r="BD12036" i="81"/>
  <c r="BL12036" i="81"/>
  <c r="BT12036" i="81"/>
  <c r="B12037" i="81"/>
  <c r="J12037" i="81"/>
  <c r="R12037" i="81"/>
  <c r="Z12037" i="81"/>
  <c r="AH12037" i="81"/>
  <c r="AP12037" i="81"/>
  <c r="AX12037" i="81"/>
  <c r="BF12037" i="81"/>
  <c r="BN12037" i="81"/>
  <c r="BV12037" i="81"/>
  <c r="D12038" i="81"/>
  <c r="L12038" i="81"/>
  <c r="T12038" i="81"/>
  <c r="AB12038" i="81"/>
  <c r="AF12038" i="81"/>
  <c r="AH12038" i="81"/>
  <c r="AJ12038" i="81"/>
  <c r="AL12038" i="81"/>
  <c r="AN12038" i="81"/>
  <c r="AP12038" i="81"/>
  <c r="AR12038" i="81"/>
  <c r="AT12038" i="81"/>
  <c r="AV12038" i="81"/>
  <c r="AX12038" i="81"/>
  <c r="AZ12038" i="81"/>
  <c r="BB12038" i="81"/>
  <c r="BD12038" i="81"/>
  <c r="BF12038" i="81"/>
  <c r="BH12038" i="81"/>
  <c r="BJ12038" i="81"/>
  <c r="BL12038" i="81"/>
  <c r="BN12038" i="81"/>
  <c r="BP12038" i="81"/>
  <c r="BR12038" i="81"/>
  <c r="BT12038" i="81"/>
  <c r="BV12038" i="81"/>
  <c r="BX12038" i="81"/>
  <c r="BZ12038" i="81"/>
  <c r="B12039" i="81"/>
  <c r="D12039" i="81"/>
  <c r="F12039" i="81"/>
  <c r="H12039" i="81"/>
  <c r="J12039" i="81"/>
  <c r="L12039" i="81"/>
  <c r="N12039" i="81"/>
  <c r="P12039" i="81"/>
  <c r="R12039" i="81"/>
  <c r="T12039" i="81"/>
  <c r="V12039" i="81"/>
  <c r="X12039" i="81"/>
  <c r="Z12039" i="81"/>
  <c r="AB12039" i="81"/>
  <c r="AD12039" i="81"/>
  <c r="AF12039" i="81"/>
  <c r="AH12039" i="81"/>
  <c r="AJ12039" i="81"/>
  <c r="AL12039" i="81"/>
  <c r="AN12039" i="81"/>
  <c r="AP12039" i="81"/>
  <c r="AR12039" i="81"/>
  <c r="AT12039" i="81"/>
  <c r="AV12039" i="81"/>
  <c r="AX12039" i="81"/>
  <c r="AZ12039" i="81"/>
  <c r="BB12039" i="81"/>
  <c r="BD12039" i="81"/>
  <c r="BF12039" i="81"/>
  <c r="BH12039" i="81"/>
  <c r="BJ12039" i="81"/>
  <c r="BL12039" i="81"/>
  <c r="BN12039" i="81"/>
  <c r="BP12039" i="81"/>
  <c r="BR12039" i="81"/>
  <c r="BT12039" i="81"/>
  <c r="BV12039" i="81"/>
  <c r="BX12039" i="81"/>
  <c r="BZ12039" i="81"/>
  <c r="B12040" i="81"/>
  <c r="D12040" i="81"/>
  <c r="F12040" i="81"/>
  <c r="H12040" i="81"/>
  <c r="J12040" i="81"/>
  <c r="L12040" i="81"/>
  <c r="N12040" i="81"/>
  <c r="P12040" i="81"/>
  <c r="R12040" i="81"/>
  <c r="T12040" i="81"/>
  <c r="V12040" i="81"/>
  <c r="X12040" i="81"/>
  <c r="Z12040" i="81"/>
  <c r="AB12040" i="81"/>
  <c r="AD12040" i="81"/>
  <c r="AF12040" i="81"/>
  <c r="AH12040" i="81"/>
  <c r="AJ12040" i="81"/>
  <c r="AL12040" i="81"/>
  <c r="AN12040" i="81"/>
  <c r="AP12040" i="81"/>
  <c r="AR12040" i="81"/>
  <c r="AT12040" i="81"/>
  <c r="AV12040" i="81"/>
  <c r="AX12040" i="81"/>
  <c r="AZ12040" i="81"/>
  <c r="BB12040" i="81"/>
  <c r="BD12040" i="81"/>
  <c r="BF12040" i="81"/>
  <c r="BH12040" i="81"/>
  <c r="BJ12040" i="81"/>
  <c r="BL12040" i="81"/>
  <c r="BN12040" i="81"/>
  <c r="BP12040" i="81"/>
  <c r="BR12040" i="81"/>
  <c r="BT12040" i="81"/>
  <c r="BV12040" i="81"/>
  <c r="BX12040" i="81"/>
  <c r="BZ12040" i="81"/>
  <c r="B12041" i="81"/>
  <c r="D12041" i="81"/>
  <c r="F12041" i="81"/>
  <c r="H12041" i="81"/>
  <c r="J12041" i="81"/>
  <c r="L12041" i="81"/>
  <c r="N12041" i="81"/>
  <c r="P12041" i="81"/>
  <c r="R12041" i="81"/>
  <c r="T12041" i="81"/>
  <c r="V12041" i="81"/>
  <c r="X12041" i="81"/>
  <c r="Z12041" i="81"/>
  <c r="AB12041" i="81"/>
  <c r="AD12041" i="81"/>
  <c r="AF12041" i="81"/>
  <c r="AH12041" i="81"/>
  <c r="AJ12041" i="81"/>
  <c r="AL12041" i="81"/>
  <c r="AN12041" i="81"/>
  <c r="AP12041" i="81"/>
  <c r="AR12041" i="81"/>
  <c r="AT12041" i="81"/>
  <c r="AV12041" i="81"/>
  <c r="AX12041" i="81"/>
  <c r="AZ12041" i="81"/>
  <c r="BB12041" i="81"/>
  <c r="BD12041" i="81"/>
  <c r="BF12041" i="81"/>
  <c r="BH12041" i="81"/>
  <c r="BJ12041" i="81"/>
  <c r="BL12041" i="81"/>
  <c r="BN12041" i="81"/>
  <c r="BP12041" i="81"/>
  <c r="BR12041" i="81"/>
  <c r="BT12041" i="81"/>
  <c r="BV12041" i="81"/>
  <c r="BX12041" i="81"/>
  <c r="BZ12041" i="81"/>
  <c r="B12042" i="81"/>
  <c r="D12042" i="81"/>
  <c r="F12042" i="81"/>
  <c r="H12042" i="81"/>
  <c r="J12042" i="81"/>
  <c r="L12042" i="81"/>
  <c r="N12042" i="81"/>
  <c r="P12042" i="81"/>
  <c r="R12042" i="81"/>
  <c r="T12042" i="81"/>
  <c r="V12042" i="81"/>
  <c r="X12042" i="81"/>
  <c r="Z12042" i="81"/>
  <c r="AB12042" i="81"/>
  <c r="AD12042" i="81"/>
  <c r="AF12042" i="81"/>
  <c r="AH12042" i="81"/>
  <c r="AJ12042" i="81"/>
  <c r="AL12042" i="81"/>
  <c r="AN12042" i="81"/>
  <c r="AP12042" i="81"/>
  <c r="AR12042" i="81"/>
  <c r="AT12042" i="81"/>
  <c r="AV12042" i="81"/>
  <c r="AX12042" i="81"/>
  <c r="AZ12042" i="81"/>
  <c r="BB12042" i="81"/>
  <c r="BD12042" i="81"/>
  <c r="BF12042" i="81"/>
  <c r="BH12042" i="81"/>
  <c r="BJ12042" i="81"/>
  <c r="BL12042" i="81"/>
  <c r="BN12042" i="81"/>
  <c r="BP12042" i="81"/>
  <c r="BR12042" i="81"/>
  <c r="BT12042" i="81"/>
  <c r="BV12042" i="81"/>
  <c r="BX12042" i="81"/>
  <c r="BZ12042" i="81"/>
  <c r="B12043" i="81"/>
  <c r="D12043" i="81"/>
  <c r="F12043" i="81"/>
  <c r="H12043" i="81"/>
  <c r="J12043" i="81"/>
  <c r="L12043" i="81"/>
  <c r="N12043" i="81"/>
  <c r="P12043" i="81"/>
  <c r="R12043" i="81"/>
  <c r="T12043" i="81"/>
  <c r="V12043" i="81"/>
  <c r="X12043" i="81"/>
  <c r="Z12043" i="81"/>
  <c r="AB12043" i="81"/>
  <c r="AD12043" i="81"/>
  <c r="AF12043" i="81"/>
  <c r="AH12043" i="81"/>
  <c r="AJ12043" i="81"/>
  <c r="AL12043" i="81"/>
  <c r="AN12043" i="81"/>
  <c r="AP12043" i="81"/>
  <c r="AR12043" i="81"/>
  <c r="AT12043" i="81"/>
  <c r="AV12043" i="81"/>
  <c r="AX12043" i="81"/>
  <c r="AZ12043" i="81"/>
  <c r="BB12043" i="81"/>
  <c r="BD12043" i="81"/>
  <c r="BF12043" i="81"/>
  <c r="BH12043" i="81"/>
  <c r="BJ12043" i="81"/>
  <c r="BL12043" i="81"/>
  <c r="BN12043" i="81"/>
  <c r="BP12043" i="81"/>
  <c r="BR12043" i="81"/>
  <c r="BT12043" i="81"/>
  <c r="BV12043" i="81"/>
  <c r="BX12043" i="81"/>
  <c r="BZ12043" i="81"/>
  <c r="B12044" i="81"/>
  <c r="D12044" i="81"/>
  <c r="F12044" i="81"/>
  <c r="H12044" i="81"/>
  <c r="J12044" i="81"/>
  <c r="L12044" i="81"/>
  <c r="N12044" i="81"/>
  <c r="P12044" i="81"/>
  <c r="R12044" i="81"/>
  <c r="T12044" i="81"/>
  <c r="V12044" i="81"/>
  <c r="X12044" i="81"/>
  <c r="Z12044" i="81"/>
  <c r="AB12044" i="81"/>
  <c r="AD12044" i="81"/>
  <c r="AF12044" i="81"/>
  <c r="AH12044" i="81"/>
  <c r="AJ12044" i="81"/>
  <c r="AL12044" i="81"/>
  <c r="AN12044" i="81"/>
  <c r="AP12044" i="81"/>
  <c r="AR12044" i="81"/>
  <c r="AT12044" i="81"/>
  <c r="AV12044" i="81"/>
  <c r="AX12044" i="81"/>
  <c r="AZ12044" i="81"/>
  <c r="BB12044" i="81"/>
  <c r="BD12044" i="81"/>
  <c r="BF12044" i="81"/>
  <c r="BH12044" i="81"/>
  <c r="BJ12044" i="81"/>
  <c r="BL12044" i="81"/>
  <c r="BN12044" i="81"/>
  <c r="BP12044" i="81"/>
  <c r="BR12044" i="81"/>
  <c r="BT12044" i="81"/>
  <c r="BV12044" i="81"/>
  <c r="BX12044" i="81"/>
  <c r="BZ12044" i="81"/>
  <c r="B12045" i="81"/>
  <c r="D12045" i="81"/>
  <c r="F12045" i="81"/>
  <c r="H12045" i="81"/>
  <c r="J12045" i="81"/>
  <c r="L12045" i="81"/>
  <c r="N12045" i="81"/>
  <c r="P12045" i="81"/>
  <c r="R12045" i="81"/>
  <c r="T12045" i="81"/>
  <c r="V12045" i="81"/>
  <c r="X12045" i="81"/>
  <c r="Z12045" i="81"/>
  <c r="AB12045" i="81"/>
  <c r="AD12045" i="81"/>
  <c r="AF12045" i="81"/>
  <c r="AH12045" i="81"/>
  <c r="AJ12045" i="81"/>
  <c r="AL12045" i="81"/>
  <c r="AN12045" i="81"/>
  <c r="AP12045" i="81"/>
  <c r="AR12045" i="81"/>
  <c r="AT12045" i="81"/>
  <c r="AV12045" i="81"/>
  <c r="AX12045" i="81"/>
  <c r="AZ12045" i="81"/>
  <c r="BB12045" i="81"/>
  <c r="BD12045" i="81"/>
  <c r="BF12045" i="81"/>
  <c r="BH12045" i="81"/>
  <c r="BJ12045" i="81"/>
  <c r="BL12045" i="81"/>
  <c r="BN12045" i="81"/>
  <c r="BP12045" i="81"/>
  <c r="BR12045" i="81"/>
  <c r="BT12045" i="81"/>
  <c r="BV12045" i="81"/>
  <c r="BX12045" i="81"/>
  <c r="BZ12045" i="81"/>
  <c r="B12046" i="81"/>
  <c r="D12046" i="81"/>
  <c r="F12046" i="81"/>
  <c r="H12046" i="81"/>
  <c r="J12046" i="81"/>
  <c r="L12046" i="81"/>
  <c r="N12046" i="81"/>
  <c r="P12046" i="81"/>
  <c r="R12046" i="81"/>
  <c r="T12046" i="81"/>
  <c r="V12046" i="81"/>
  <c r="X12046" i="81"/>
  <c r="Z12046" i="81"/>
  <c r="AB12046" i="81"/>
  <c r="AD12046" i="81"/>
  <c r="AF12046" i="81"/>
  <c r="AH12046" i="81"/>
  <c r="AJ12046" i="81"/>
  <c r="AL12046" i="81"/>
  <c r="AN12046" i="81"/>
  <c r="AP12046" i="81"/>
  <c r="AR12046" i="81"/>
  <c r="AT12046" i="81"/>
  <c r="AV12046" i="81"/>
  <c r="AX12046" i="81"/>
  <c r="AZ12046" i="81"/>
  <c r="BB12046" i="81"/>
  <c r="BD12046" i="81"/>
  <c r="BF12046" i="81"/>
  <c r="BH12046" i="81"/>
  <c r="BJ12046" i="81"/>
  <c r="BL12046" i="81"/>
  <c r="BN12046" i="81"/>
  <c r="BP12046" i="81"/>
  <c r="BR12046" i="81"/>
  <c r="BT12046" i="81"/>
  <c r="BV12046" i="81"/>
  <c r="BX12046" i="81"/>
  <c r="BZ12046" i="81"/>
  <c r="B12047" i="81"/>
  <c r="D12047" i="81"/>
  <c r="F12047" i="81"/>
  <c r="H12047" i="81"/>
  <c r="J12047" i="81"/>
  <c r="L12047" i="81"/>
  <c r="N12047" i="81"/>
  <c r="P12047" i="81"/>
  <c r="R12047" i="81"/>
  <c r="T12047" i="81"/>
  <c r="V12047" i="81"/>
  <c r="X12047" i="81"/>
  <c r="Z12047" i="81"/>
  <c r="AB12047" i="81"/>
  <c r="AD12047" i="81"/>
  <c r="AF12047" i="81"/>
  <c r="AH12047" i="81"/>
  <c r="AJ12047" i="81"/>
  <c r="AL12047" i="81"/>
  <c r="AN12047" i="81"/>
  <c r="AP12047" i="81"/>
  <c r="AR12047" i="81"/>
  <c r="AT12047" i="81"/>
  <c r="AV12047" i="81"/>
  <c r="AX12047" i="81"/>
  <c r="AZ12047" i="81"/>
  <c r="BB12047" i="81"/>
  <c r="BD12047" i="81"/>
  <c r="BF12047" i="81"/>
  <c r="BH12047" i="81"/>
  <c r="BJ12047" i="81"/>
  <c r="BL12047" i="81"/>
  <c r="BN12047" i="81"/>
  <c r="BP12047" i="81"/>
  <c r="BR12047" i="81"/>
  <c r="BT12047" i="81"/>
  <c r="BV12047" i="81"/>
  <c r="BX12047" i="81"/>
  <c r="BZ12047" i="81"/>
  <c r="B12048" i="81"/>
  <c r="D12048" i="81"/>
  <c r="F12048" i="81"/>
  <c r="H12048" i="81"/>
  <c r="J12048" i="81"/>
  <c r="L12048" i="81"/>
  <c r="N12048" i="81"/>
  <c r="P12048" i="81"/>
  <c r="R12048" i="81"/>
  <c r="T12048" i="81"/>
  <c r="V12048" i="81"/>
  <c r="X12048" i="81"/>
  <c r="Z12048" i="81"/>
  <c r="AB12048" i="81"/>
  <c r="AD12048" i="81"/>
  <c r="AF12048" i="81"/>
  <c r="AH12048" i="81"/>
  <c r="AJ12048" i="81"/>
  <c r="AL12048" i="81"/>
  <c r="AN12048" i="81"/>
  <c r="AP12048" i="81"/>
  <c r="AR12048" i="81"/>
  <c r="AT12048" i="81"/>
  <c r="AV12048" i="81"/>
  <c r="AX12048" i="81"/>
  <c r="AZ12048" i="81"/>
  <c r="BB12048" i="81"/>
  <c r="BD12048" i="81"/>
  <c r="BF12048" i="81"/>
  <c r="BH12048" i="81"/>
  <c r="BJ12048" i="81"/>
  <c r="BL12048" i="81"/>
  <c r="BN12048" i="81"/>
  <c r="BP12048" i="81"/>
  <c r="BR12048" i="81"/>
  <c r="BT12048" i="81"/>
  <c r="BV12048" i="81"/>
  <c r="BX12048" i="81"/>
  <c r="BZ12048" i="81"/>
  <c r="B12049" i="81"/>
  <c r="D12049" i="81"/>
  <c r="F12049" i="81"/>
  <c r="H12049" i="81"/>
  <c r="J12049" i="81"/>
  <c r="L12049" i="81"/>
  <c r="N12049" i="81"/>
  <c r="P12049" i="81"/>
  <c r="R12049" i="81"/>
  <c r="T12049" i="81"/>
  <c r="V12049" i="81"/>
  <c r="X12049" i="81"/>
  <c r="Z12049" i="81"/>
  <c r="AB12049" i="81"/>
  <c r="AD12049" i="81"/>
  <c r="AF12049" i="81"/>
  <c r="AH12049" i="81"/>
  <c r="AJ12049" i="81"/>
  <c r="AL12049" i="81"/>
  <c r="AN12049" i="81"/>
  <c r="AP12049" i="81"/>
  <c r="AR12049" i="81"/>
  <c r="AT12049" i="81"/>
  <c r="AV12049" i="81"/>
  <c r="AX12049" i="81"/>
  <c r="AZ12049" i="81"/>
  <c r="BB12049" i="81"/>
  <c r="BD12049" i="81"/>
  <c r="BF12049" i="81"/>
  <c r="BH12049" i="81"/>
  <c r="BJ12049" i="81"/>
  <c r="BL12049" i="81"/>
  <c r="BN12049" i="81"/>
  <c r="BP12049" i="81"/>
  <c r="BR12049" i="81"/>
  <c r="BT12049" i="81"/>
  <c r="BV12049" i="81"/>
  <c r="BX12049" i="81"/>
  <c r="BZ12049" i="81"/>
  <c r="B12050" i="81"/>
  <c r="D12050" i="81"/>
  <c r="F12050" i="81"/>
  <c r="H12050" i="81"/>
  <c r="J12050" i="81"/>
  <c r="L12050" i="81"/>
  <c r="N12050" i="81"/>
  <c r="P12050" i="81"/>
  <c r="R12050" i="81"/>
  <c r="T12050" i="81"/>
  <c r="V12050" i="81"/>
  <c r="X12050" i="81"/>
  <c r="Z12050" i="81"/>
  <c r="AB12050" i="81"/>
  <c r="AD12050" i="81"/>
  <c r="AF12050" i="81"/>
  <c r="AH12050" i="81"/>
  <c r="AJ12050" i="81"/>
  <c r="AL12050" i="81"/>
  <c r="AN12050" i="81"/>
  <c r="AP12050" i="81"/>
  <c r="AR12050" i="81"/>
  <c r="AT12050" i="81"/>
  <c r="AV12050" i="81"/>
  <c r="AX12050" i="81"/>
  <c r="AZ12050" i="81"/>
  <c r="BB12050" i="81"/>
  <c r="BD12050" i="81"/>
  <c r="BF12050" i="81"/>
  <c r="BH12050" i="81"/>
  <c r="BJ12050" i="81"/>
  <c r="BL12050" i="81"/>
  <c r="BN12050" i="81"/>
  <c r="BP12050" i="81"/>
  <c r="BR12050" i="81"/>
  <c r="BT12050" i="81"/>
  <c r="BV12050" i="81"/>
  <c r="BX12050" i="81"/>
  <c r="BZ12050" i="81"/>
  <c r="B12051" i="81"/>
  <c r="D12051" i="81"/>
  <c r="F12051" i="81"/>
  <c r="H12051" i="81"/>
  <c r="J12051" i="81"/>
  <c r="L12051" i="81"/>
  <c r="N12051" i="81"/>
  <c r="P12051" i="81"/>
  <c r="R12051" i="81"/>
  <c r="T12051" i="81"/>
  <c r="V12051" i="81"/>
  <c r="X12051" i="81"/>
  <c r="Z12051" i="81"/>
  <c r="AB12051" i="81"/>
  <c r="AD12051" i="81"/>
  <c r="AF12051" i="81"/>
  <c r="AH12051" i="81"/>
  <c r="AJ12051" i="81"/>
  <c r="AL12051" i="81"/>
  <c r="AN12051" i="81"/>
  <c r="AP12051" i="81"/>
  <c r="AR12051" i="81"/>
  <c r="AT12051" i="81"/>
  <c r="AV12051" i="81"/>
  <c r="AX12051" i="81"/>
  <c r="AZ12051" i="81"/>
  <c r="BB12051" i="81"/>
  <c r="BD12051" i="81"/>
  <c r="BF12051" i="81"/>
  <c r="BH12051" i="81"/>
  <c r="BJ12051" i="81"/>
  <c r="BL12051" i="81"/>
  <c r="BN12051" i="81"/>
  <c r="BP12051" i="81"/>
  <c r="BR12051" i="81"/>
  <c r="BT12051" i="81"/>
  <c r="BV12051" i="81"/>
  <c r="BX12051" i="81"/>
  <c r="BZ12051" i="81"/>
  <c r="B12052" i="81"/>
  <c r="D12052" i="81"/>
  <c r="F12052" i="81"/>
  <c r="H12052" i="81"/>
  <c r="J12052" i="81"/>
  <c r="L12052" i="81"/>
  <c r="N12052" i="81"/>
  <c r="P12052" i="81"/>
  <c r="R12052" i="81"/>
  <c r="T12052" i="81"/>
  <c r="V12052" i="81"/>
  <c r="X12052" i="81"/>
  <c r="Z12052" i="81"/>
  <c r="AB12052" i="81"/>
  <c r="AD12052" i="81"/>
  <c r="AF12052" i="81"/>
  <c r="AH12052" i="81"/>
  <c r="AJ12052" i="81"/>
  <c r="AL12052" i="81"/>
  <c r="AN12052" i="81"/>
  <c r="AP12052" i="81"/>
  <c r="AR12052" i="81"/>
  <c r="AT12052" i="81"/>
  <c r="AV12052" i="81"/>
  <c r="AX12052" i="81"/>
  <c r="AZ12052" i="81"/>
  <c r="BB12052" i="81"/>
  <c r="BD12052" i="81"/>
  <c r="BF12052" i="81"/>
  <c r="BH12052" i="81"/>
  <c r="BJ12052" i="81"/>
  <c r="BL12052" i="81"/>
  <c r="BN12052" i="81"/>
  <c r="BP12052" i="81"/>
  <c r="BR12052" i="81"/>
  <c r="BT12052" i="81"/>
  <c r="BV12052" i="81"/>
  <c r="BX12052" i="81"/>
  <c r="BZ12052" i="81"/>
  <c r="B12053" i="81"/>
  <c r="D12053" i="81"/>
  <c r="F12053" i="81"/>
  <c r="H12053" i="81"/>
  <c r="J12053" i="81"/>
  <c r="L12053" i="81"/>
  <c r="N12053" i="81"/>
  <c r="P12053" i="81"/>
  <c r="R12053" i="81"/>
  <c r="T12053" i="81"/>
  <c r="V12053" i="81"/>
  <c r="X12053" i="81"/>
  <c r="Z12053" i="81"/>
  <c r="AB12053" i="81"/>
  <c r="AD12053" i="81"/>
  <c r="AF12053" i="81"/>
  <c r="AH12053" i="81"/>
  <c r="AJ12053" i="81"/>
  <c r="AL12053" i="81"/>
  <c r="AN12053" i="81"/>
  <c r="AP12053" i="81"/>
  <c r="AR12053" i="81"/>
  <c r="AT12053" i="81"/>
  <c r="AV12053" i="81"/>
  <c r="AX12053" i="81"/>
  <c r="AZ12053" i="81"/>
  <c r="BB12053" i="81"/>
  <c r="BD12053" i="81"/>
  <c r="BF12053" i="81"/>
  <c r="BH12053" i="81"/>
  <c r="BJ12053" i="81"/>
  <c r="BL12053" i="81"/>
  <c r="BN12053" i="81"/>
  <c r="BP12053" i="81"/>
  <c r="BR12053" i="81"/>
  <c r="BT12053" i="81"/>
  <c r="BV12053" i="81"/>
  <c r="BX12053" i="81"/>
  <c r="BZ12053" i="81"/>
  <c r="B12054" i="81"/>
  <c r="D12054" i="81"/>
  <c r="F12054" i="81"/>
  <c r="H12054" i="81"/>
  <c r="J12054" i="81"/>
  <c r="L12054" i="81"/>
  <c r="N12054" i="81"/>
  <c r="P12054" i="81"/>
  <c r="R12054" i="81"/>
  <c r="T12054" i="81"/>
  <c r="V12054" i="81"/>
  <c r="X12054" i="81"/>
  <c r="Z12054" i="81"/>
  <c r="AB12054" i="81"/>
  <c r="AD12054" i="81"/>
  <c r="AF12054" i="81"/>
  <c r="AH12054" i="81"/>
  <c r="AJ12054" i="81"/>
  <c r="AL12054" i="81"/>
  <c r="AN12054" i="81"/>
  <c r="AP12054" i="81"/>
  <c r="AR12054" i="81"/>
  <c r="AT12054" i="81"/>
  <c r="AV12054" i="81"/>
  <c r="AX12054" i="81"/>
  <c r="AZ12054" i="81"/>
  <c r="BB12054" i="81"/>
  <c r="BD12054" i="81"/>
  <c r="BF12054" i="81"/>
  <c r="BH12054" i="81"/>
  <c r="BJ12054" i="81"/>
  <c r="BL12054" i="81"/>
  <c r="BN12054" i="81"/>
  <c r="BP12054" i="81"/>
  <c r="BR12054" i="81"/>
  <c r="BT12054" i="81"/>
  <c r="BV12054" i="81"/>
  <c r="BX12054" i="81"/>
  <c r="BZ12054" i="81"/>
  <c r="N12012" i="81"/>
  <c r="BL12013" i="81"/>
  <c r="AI12015" i="81"/>
  <c r="BO12015" i="81"/>
  <c r="U12016" i="81"/>
  <c r="BA12016" i="81"/>
  <c r="G12017" i="81"/>
  <c r="AM12017" i="81"/>
  <c r="BS12017" i="81"/>
  <c r="Y12018" i="81"/>
  <c r="BE12018" i="81"/>
  <c r="K12019" i="81"/>
  <c r="AQ12019" i="81"/>
  <c r="BW12019" i="81"/>
  <c r="AC12020" i="81"/>
  <c r="BI12020" i="81"/>
  <c r="O12021" i="81"/>
  <c r="AU12021" i="81"/>
  <c r="A12022" i="81"/>
  <c r="AG12022" i="81"/>
  <c r="BM12022" i="81"/>
  <c r="J12023" i="81"/>
  <c r="R12023" i="81"/>
  <c r="Z12023" i="81"/>
  <c r="AH12023" i="81"/>
  <c r="AP12023" i="81"/>
  <c r="AX12023" i="81"/>
  <c r="BF12023" i="81"/>
  <c r="BN12023" i="81"/>
  <c r="BV12023" i="81"/>
  <c r="D12024" i="81"/>
  <c r="L12024" i="81"/>
  <c r="T12024" i="81"/>
  <c r="AB12024" i="81"/>
  <c r="AJ12024" i="81"/>
  <c r="AR12024" i="81"/>
  <c r="AZ12024" i="81"/>
  <c r="BH12024" i="81"/>
  <c r="BP12024" i="81"/>
  <c r="BX12024" i="81"/>
  <c r="F12025" i="81"/>
  <c r="N12025" i="81"/>
  <c r="V12025" i="81"/>
  <c r="AD12025" i="81"/>
  <c r="AL12025" i="81"/>
  <c r="AT12025" i="81"/>
  <c r="BB12025" i="81"/>
  <c r="BJ12025" i="81"/>
  <c r="BR12025" i="81"/>
  <c r="BZ12025" i="81"/>
  <c r="H12026" i="81"/>
  <c r="P12026" i="81"/>
  <c r="X12026" i="81"/>
  <c r="AF12026" i="81"/>
  <c r="AN12026" i="81"/>
  <c r="AV12026" i="81"/>
  <c r="BD12026" i="81"/>
  <c r="BL12026" i="81"/>
  <c r="BT12026" i="81"/>
  <c r="B12027" i="81"/>
  <c r="J12027" i="81"/>
  <c r="R12027" i="81"/>
  <c r="Z12027" i="81"/>
  <c r="AH12027" i="81"/>
  <c r="AP12027" i="81"/>
  <c r="AX12027" i="81"/>
  <c r="BF12027" i="81"/>
  <c r="BN12027" i="81"/>
  <c r="BV12027" i="81"/>
  <c r="D12028" i="81"/>
  <c r="L12028" i="81"/>
  <c r="T12028" i="81"/>
  <c r="AB12028" i="81"/>
  <c r="AJ12028" i="81"/>
  <c r="AR12028" i="81"/>
  <c r="AZ12028" i="81"/>
  <c r="BH12028" i="81"/>
  <c r="BP12028" i="81"/>
  <c r="BX12028" i="81"/>
  <c r="F12029" i="81"/>
  <c r="N12029" i="81"/>
  <c r="V12029" i="81"/>
  <c r="AD12029" i="81"/>
  <c r="AL12029" i="81"/>
  <c r="AT12029" i="81"/>
  <c r="BB12029" i="81"/>
  <c r="BJ12029" i="81"/>
  <c r="BR12029" i="81"/>
  <c r="BZ12029" i="81"/>
  <c r="H12030" i="81"/>
  <c r="P12030" i="81"/>
  <c r="X12030" i="81"/>
  <c r="AF12030" i="81"/>
  <c r="AN12030" i="81"/>
  <c r="AV12030" i="81"/>
  <c r="BD12030" i="81"/>
  <c r="BL12030" i="81"/>
  <c r="BT12030" i="81"/>
  <c r="B12031" i="81"/>
  <c r="J12031" i="81"/>
  <c r="R12031" i="81"/>
  <c r="Z12031" i="81"/>
  <c r="AH12031" i="81"/>
  <c r="AP12031" i="81"/>
  <c r="AX12031" i="81"/>
  <c r="BF12031" i="81"/>
  <c r="BN12031" i="81"/>
  <c r="BV12031" i="81"/>
  <c r="D12032" i="81"/>
  <c r="L12032" i="81"/>
  <c r="T12032" i="81"/>
  <c r="AB12032" i="81"/>
  <c r="AJ12032" i="81"/>
  <c r="AR12032" i="81"/>
  <c r="AZ12032" i="81"/>
  <c r="BH12032" i="81"/>
  <c r="BP12032" i="81"/>
  <c r="BX12032" i="81"/>
  <c r="F12033" i="81"/>
  <c r="N12033" i="81"/>
  <c r="V12033" i="81"/>
  <c r="AD12033" i="81"/>
  <c r="AL12033" i="81"/>
  <c r="AT12033" i="81"/>
  <c r="BB12033" i="81"/>
  <c r="BJ12033" i="81"/>
  <c r="BR12033" i="81"/>
  <c r="BZ12033" i="81"/>
  <c r="H12034" i="81"/>
  <c r="P12034" i="81"/>
  <c r="X12034" i="81"/>
  <c r="AF12034" i="81"/>
  <c r="AN12034" i="81"/>
  <c r="AV12034" i="81"/>
  <c r="BD12034" i="81"/>
  <c r="BL12034" i="81"/>
  <c r="BT12034" i="81"/>
  <c r="B12035" i="81"/>
  <c r="J12035" i="81"/>
  <c r="R12035" i="81"/>
  <c r="Z12035" i="81"/>
  <c r="AH12035" i="81"/>
  <c r="AP12035" i="81"/>
  <c r="AX12035" i="81"/>
  <c r="BF12035" i="81"/>
  <c r="BN12035" i="81"/>
  <c r="BV12035" i="81"/>
  <c r="D12036" i="81"/>
  <c r="L12036" i="81"/>
  <c r="T12036" i="81"/>
  <c r="AB12036" i="81"/>
  <c r="AJ12036" i="81"/>
  <c r="AR12036" i="81"/>
  <c r="AZ12036" i="81"/>
  <c r="BH12036" i="81"/>
  <c r="BP12036" i="81"/>
  <c r="BX12036" i="81"/>
  <c r="F12037" i="81"/>
  <c r="N12037" i="81"/>
  <c r="V12037" i="81"/>
  <c r="AD12037" i="81"/>
  <c r="AL12037" i="81"/>
  <c r="AT12037" i="81"/>
  <c r="BB12037" i="81"/>
  <c r="BJ12037" i="81"/>
  <c r="BR12037" i="81"/>
  <c r="BZ12037" i="81"/>
  <c r="H12038" i="81"/>
  <c r="P12038" i="81"/>
  <c r="X12038" i="81"/>
  <c r="AE12038" i="81"/>
  <c r="AG12038" i="81"/>
  <c r="AI12038" i="81"/>
  <c r="AK12038" i="81"/>
  <c r="AM12038" i="81"/>
  <c r="AO12038" i="81"/>
  <c r="AQ12038" i="81"/>
  <c r="AS12038" i="81"/>
  <c r="AU12038" i="81"/>
  <c r="AW12038" i="81"/>
  <c r="AY12038" i="81"/>
  <c r="BA12038" i="81"/>
  <c r="BC12038" i="81"/>
  <c r="BE12038" i="81"/>
  <c r="BG12038" i="81"/>
  <c r="BI12038" i="81"/>
  <c r="BK12038" i="81"/>
  <c r="BM12038" i="81"/>
  <c r="BO12038" i="81"/>
  <c r="BQ12038" i="81"/>
  <c r="BS12038" i="81"/>
  <c r="BU12038" i="81"/>
  <c r="BW12038" i="81"/>
  <c r="BY12038" i="81"/>
  <c r="A12039" i="81"/>
  <c r="C12039" i="81"/>
  <c r="E12039" i="81"/>
  <c r="G12039" i="81"/>
  <c r="I12039" i="81"/>
  <c r="K12039" i="81"/>
  <c r="M12039" i="81"/>
  <c r="O12039" i="81"/>
  <c r="Q12039" i="81"/>
  <c r="S12039" i="81"/>
  <c r="U12039" i="81"/>
  <c r="W12039" i="81"/>
  <c r="Y12039" i="81"/>
  <c r="AA12039" i="81"/>
  <c r="AC12039" i="81"/>
  <c r="AE12039" i="81"/>
  <c r="AG12039" i="81"/>
  <c r="AI12039" i="81"/>
  <c r="AK12039" i="81"/>
  <c r="AM12039" i="81"/>
  <c r="AO12039" i="81"/>
  <c r="AQ12039" i="81"/>
  <c r="AS12039" i="81"/>
  <c r="AU12039" i="81"/>
  <c r="AW12039" i="81"/>
  <c r="AY12039" i="81"/>
  <c r="BA12039" i="81"/>
  <c r="BC12039" i="81"/>
  <c r="BE12039" i="81"/>
  <c r="BG12039" i="81"/>
  <c r="BI12039" i="81"/>
  <c r="BK12039" i="81"/>
  <c r="BM12039" i="81"/>
  <c r="BO12039" i="81"/>
  <c r="BQ12039" i="81"/>
  <c r="BS12039" i="81"/>
  <c r="BU12039" i="81"/>
  <c r="BW12039" i="81"/>
  <c r="BY12039" i="81"/>
  <c r="A12040" i="81"/>
  <c r="C12040" i="81"/>
  <c r="E12040" i="81"/>
  <c r="G12040" i="81"/>
  <c r="I12040" i="81"/>
  <c r="K12040" i="81"/>
  <c r="M12040" i="81"/>
  <c r="O12040" i="81"/>
  <c r="Q12040" i="81"/>
  <c r="S12040" i="81"/>
  <c r="U12040" i="81"/>
  <c r="W12040" i="81"/>
  <c r="Y12040" i="81"/>
  <c r="AA12040" i="81"/>
  <c r="AC12040" i="81"/>
  <c r="AE12040" i="81"/>
  <c r="AG12040" i="81"/>
  <c r="AI12040" i="81"/>
  <c r="AK12040" i="81"/>
  <c r="AM12040" i="81"/>
  <c r="AO12040" i="81"/>
  <c r="AQ12040" i="81"/>
  <c r="AS12040" i="81"/>
  <c r="AU12040" i="81"/>
  <c r="AW12040" i="81"/>
  <c r="AY12040" i="81"/>
  <c r="BA12040" i="81"/>
  <c r="BC12040" i="81"/>
  <c r="BE12040" i="81"/>
  <c r="BG12040" i="81"/>
  <c r="BI12040" i="81"/>
  <c r="BK12040" i="81"/>
  <c r="BM12040" i="81"/>
  <c r="BO12040" i="81"/>
  <c r="BQ12040" i="81"/>
  <c r="BS12040" i="81"/>
  <c r="BU12040" i="81"/>
  <c r="BW12040" i="81"/>
  <c r="BY12040" i="81"/>
  <c r="A12041" i="81"/>
  <c r="C12041" i="81"/>
  <c r="E12041" i="81"/>
  <c r="G12041" i="81"/>
  <c r="I12041" i="81"/>
  <c r="K12041" i="81"/>
  <c r="M12041" i="81"/>
  <c r="O12041" i="81"/>
  <c r="Q12041" i="81"/>
  <c r="S12041" i="81"/>
  <c r="U12041" i="81"/>
  <c r="W12041" i="81"/>
  <c r="Y12041" i="81"/>
  <c r="AA12041" i="81"/>
  <c r="AC12041" i="81"/>
  <c r="AE12041" i="81"/>
  <c r="AG12041" i="81"/>
  <c r="AI12041" i="81"/>
  <c r="AK12041" i="81"/>
  <c r="AM12041" i="81"/>
  <c r="AO12041" i="81"/>
  <c r="AQ12041" i="81"/>
  <c r="AS12041" i="81"/>
  <c r="AU12041" i="81"/>
  <c r="AW12041" i="81"/>
  <c r="AY12041" i="81"/>
  <c r="BA12041" i="81"/>
  <c r="BC12041" i="81"/>
  <c r="BE12041" i="81"/>
  <c r="BG12041" i="81"/>
  <c r="BI12041" i="81"/>
  <c r="BK12041" i="81"/>
  <c r="BM12041" i="81"/>
  <c r="BO12041" i="81"/>
  <c r="BQ12041" i="81"/>
  <c r="BS12041" i="81"/>
  <c r="BU12041" i="81"/>
  <c r="BW12041" i="81"/>
  <c r="BY12041" i="81"/>
  <c r="A12042" i="81"/>
  <c r="C12042" i="81"/>
  <c r="E12042" i="81"/>
  <c r="G12042" i="81"/>
  <c r="I12042" i="81"/>
  <c r="K12042" i="81"/>
  <c r="M12042" i="81"/>
  <c r="O12042" i="81"/>
  <c r="Q12042" i="81"/>
  <c r="S12042" i="81"/>
  <c r="U12042" i="81"/>
  <c r="W12042" i="81"/>
  <c r="Y12042" i="81"/>
  <c r="AA12042" i="81"/>
  <c r="AC12042" i="81"/>
  <c r="AE12042" i="81"/>
  <c r="AG12042" i="81"/>
  <c r="AI12042" i="81"/>
  <c r="AK12042" i="81"/>
  <c r="AM12042" i="81"/>
  <c r="AO12042" i="81"/>
  <c r="AQ12042" i="81"/>
  <c r="AS12042" i="81"/>
  <c r="AU12042" i="81"/>
  <c r="AW12042" i="81"/>
  <c r="AY12042" i="81"/>
  <c r="BA12042" i="81"/>
  <c r="BC12042" i="81"/>
  <c r="BE12042" i="81"/>
  <c r="BG12042" i="81"/>
  <c r="BI12042" i="81"/>
  <c r="BK12042" i="81"/>
  <c r="BM12042" i="81"/>
  <c r="BO12042" i="81"/>
  <c r="BS12042" i="81"/>
  <c r="BW12042" i="81"/>
  <c r="A12043" i="81"/>
  <c r="E12043" i="81"/>
  <c r="I12043" i="81"/>
  <c r="M12043" i="81"/>
  <c r="Q12043" i="81"/>
  <c r="U12043" i="81"/>
  <c r="Y12043" i="81"/>
  <c r="AC12043" i="81"/>
  <c r="AG12043" i="81"/>
  <c r="AK12043" i="81"/>
  <c r="AO12043" i="81"/>
  <c r="AS12043" i="81"/>
  <c r="AW12043" i="81"/>
  <c r="BA12043" i="81"/>
  <c r="BE12043" i="81"/>
  <c r="BI12043" i="81"/>
  <c r="BM12043" i="81"/>
  <c r="BQ12043" i="81"/>
  <c r="BU12043" i="81"/>
  <c r="BY12043" i="81"/>
  <c r="C12044" i="81"/>
  <c r="G12044" i="81"/>
  <c r="K12044" i="81"/>
  <c r="O12044" i="81"/>
  <c r="S12044" i="81"/>
  <c r="W12044" i="81"/>
  <c r="AA12044" i="81"/>
  <c r="AE12044" i="81"/>
  <c r="AI12044" i="81"/>
  <c r="AM12044" i="81"/>
  <c r="AQ12044" i="81"/>
  <c r="AU12044" i="81"/>
  <c r="AY12044" i="81"/>
  <c r="BC12044" i="81"/>
  <c r="BG12044" i="81"/>
  <c r="BK12044" i="81"/>
  <c r="BO12044" i="81"/>
  <c r="BS12044" i="81"/>
  <c r="BW12044" i="81"/>
  <c r="A12045" i="81"/>
  <c r="E12045" i="81"/>
  <c r="I12045" i="81"/>
  <c r="M12045" i="81"/>
  <c r="Q12045" i="81"/>
  <c r="U12045" i="81"/>
  <c r="Y12045" i="81"/>
  <c r="AC12045" i="81"/>
  <c r="AG12045" i="81"/>
  <c r="AK12045" i="81"/>
  <c r="AO12045" i="81"/>
  <c r="AS12045" i="81"/>
  <c r="AW12045" i="81"/>
  <c r="BA12045" i="81"/>
  <c r="BE12045" i="81"/>
  <c r="BI12045" i="81"/>
  <c r="BM12045" i="81"/>
  <c r="BQ12045" i="81"/>
  <c r="BU12045" i="81"/>
  <c r="BY12045" i="81"/>
  <c r="C12046" i="81"/>
  <c r="G12046" i="81"/>
  <c r="K12046" i="81"/>
  <c r="O12046" i="81"/>
  <c r="S12046" i="81"/>
  <c r="W12046" i="81"/>
  <c r="AA12046" i="81"/>
  <c r="AE12046" i="81"/>
  <c r="AI12046" i="81"/>
  <c r="AM12046" i="81"/>
  <c r="AQ12046" i="81"/>
  <c r="AU12046" i="81"/>
  <c r="AY12046" i="81"/>
  <c r="BC12046" i="81"/>
  <c r="BG12046" i="81"/>
  <c r="BK12046" i="81"/>
  <c r="BO12046" i="81"/>
  <c r="BS12046" i="81"/>
  <c r="BW12046" i="81"/>
  <c r="A12047" i="81"/>
  <c r="E12047" i="81"/>
  <c r="I12047" i="81"/>
  <c r="M12047" i="81"/>
  <c r="Q12047" i="81"/>
  <c r="U12047" i="81"/>
  <c r="Y12047" i="81"/>
  <c r="AC12047" i="81"/>
  <c r="AG12047" i="81"/>
  <c r="AK12047" i="81"/>
  <c r="AO12047" i="81"/>
  <c r="AS12047" i="81"/>
  <c r="AW12047" i="81"/>
  <c r="BA12047" i="81"/>
  <c r="BE12047" i="81"/>
  <c r="BI12047" i="81"/>
  <c r="BM12047" i="81"/>
  <c r="BQ12047" i="81"/>
  <c r="BU12047" i="81"/>
  <c r="BY12047" i="81"/>
  <c r="C12048" i="81"/>
  <c r="G12048" i="81"/>
  <c r="K12048" i="81"/>
  <c r="O12048" i="81"/>
  <c r="S12048" i="81"/>
  <c r="W12048" i="81"/>
  <c r="AA12048" i="81"/>
  <c r="AE12048" i="81"/>
  <c r="AI12048" i="81"/>
  <c r="AM12048" i="81"/>
  <c r="AQ12048" i="81"/>
  <c r="AU12048" i="81"/>
  <c r="AY12048" i="81"/>
  <c r="BC12048" i="81"/>
  <c r="BG12048" i="81"/>
  <c r="BK12048" i="81"/>
  <c r="BO12048" i="81"/>
  <c r="BS12048" i="81"/>
  <c r="BW12048" i="81"/>
  <c r="A12049" i="81"/>
  <c r="E12049" i="81"/>
  <c r="I12049" i="81"/>
  <c r="M12049" i="81"/>
  <c r="Q12049" i="81"/>
  <c r="U12049" i="81"/>
  <c r="Y12049" i="81"/>
  <c r="AC12049" i="81"/>
  <c r="AG12049" i="81"/>
  <c r="AK12049" i="81"/>
  <c r="AO12049" i="81"/>
  <c r="AS12049" i="81"/>
  <c r="AW12049" i="81"/>
  <c r="BA12049" i="81"/>
  <c r="BE12049" i="81"/>
  <c r="BI12049" i="81"/>
  <c r="BM12049" i="81"/>
  <c r="BQ12049" i="81"/>
  <c r="BU12049" i="81"/>
  <c r="BY12049" i="81"/>
  <c r="C12050" i="81"/>
  <c r="G12050" i="81"/>
  <c r="K12050" i="81"/>
  <c r="O12050" i="81"/>
  <c r="S12050" i="81"/>
  <c r="W12050" i="81"/>
  <c r="AA12050" i="81"/>
  <c r="AE12050" i="81"/>
  <c r="AI12050" i="81"/>
  <c r="AM12050" i="81"/>
  <c r="AQ12050" i="81"/>
  <c r="AU12050" i="81"/>
  <c r="AY12050" i="81"/>
  <c r="BC12050" i="81"/>
  <c r="BG12050" i="81"/>
  <c r="BK12050" i="81"/>
  <c r="BO12050" i="81"/>
  <c r="BS12050" i="81"/>
  <c r="BW12050" i="81"/>
  <c r="A12051" i="81"/>
  <c r="E12051" i="81"/>
  <c r="I12051" i="81"/>
  <c r="M12051" i="81"/>
  <c r="Q12051" i="81"/>
  <c r="U12051" i="81"/>
  <c r="Y12051" i="81"/>
  <c r="AC12051" i="81"/>
  <c r="AG12051" i="81"/>
  <c r="AK12051" i="81"/>
  <c r="AO12051" i="81"/>
  <c r="AS12051" i="81"/>
  <c r="AW12051" i="81"/>
  <c r="BA12051" i="81"/>
  <c r="BE12051" i="81"/>
  <c r="BI12051" i="81"/>
  <c r="BM12051" i="81"/>
  <c r="BQ12051" i="81"/>
  <c r="BU12051" i="81"/>
  <c r="BY12051" i="81"/>
  <c r="C12052" i="81"/>
  <c r="G12052" i="81"/>
  <c r="K12052" i="81"/>
  <c r="O12052" i="81"/>
  <c r="S12052" i="81"/>
  <c r="W12052" i="81"/>
  <c r="AA12052" i="81"/>
  <c r="AE12052" i="81"/>
  <c r="AI12052" i="81"/>
  <c r="AM12052" i="81"/>
  <c r="AQ12052" i="81"/>
  <c r="AU12052" i="81"/>
  <c r="AY12052" i="81"/>
  <c r="BC12052" i="81"/>
  <c r="BG12052" i="81"/>
  <c r="BK12052" i="81"/>
  <c r="BO12052" i="81"/>
  <c r="BS12052" i="81"/>
  <c r="BW12052" i="81"/>
  <c r="A12053" i="81"/>
  <c r="E12053" i="81"/>
  <c r="I12053" i="81"/>
  <c r="M12053" i="81"/>
  <c r="Q12053" i="81"/>
  <c r="U12053" i="81"/>
  <c r="Y12053" i="81"/>
  <c r="AC12053" i="81"/>
  <c r="AG12053" i="81"/>
  <c r="AK12053" i="81"/>
  <c r="AO12053" i="81"/>
  <c r="AS12053" i="81"/>
  <c r="AW12053" i="81"/>
  <c r="BA12053" i="81"/>
  <c r="BE12053" i="81"/>
  <c r="BI12053" i="81"/>
  <c r="BM12053" i="81"/>
  <c r="BQ12053" i="81"/>
  <c r="BU12053" i="81"/>
  <c r="BY12053" i="81"/>
  <c r="C12054" i="81"/>
  <c r="G12054" i="81"/>
  <c r="K12054" i="81"/>
  <c r="O12054" i="81"/>
  <c r="S12054" i="81"/>
  <c r="W12054" i="81"/>
  <c r="AA12054" i="81"/>
  <c r="AE12054" i="81"/>
  <c r="AI12054" i="81"/>
  <c r="AM12054" i="81"/>
  <c r="AQ12054" i="81"/>
  <c r="AU12054" i="81"/>
  <c r="AY12054" i="81"/>
  <c r="BC12054" i="81"/>
  <c r="BG12054" i="81"/>
  <c r="BK12054" i="81"/>
  <c r="BO12054" i="81"/>
  <c r="BS12054" i="81"/>
  <c r="BW12054" i="81"/>
  <c r="BQ12042" i="81"/>
  <c r="BU12042" i="81"/>
  <c r="BY12042" i="81"/>
  <c r="C12043" i="81"/>
  <c r="G12043" i="81"/>
  <c r="K12043" i="81"/>
  <c r="O12043" i="81"/>
  <c r="S12043" i="81"/>
  <c r="W12043" i="81"/>
  <c r="AA12043" i="81"/>
  <c r="AE12043" i="81"/>
  <c r="AI12043" i="81"/>
  <c r="AM12043" i="81"/>
  <c r="AQ12043" i="81"/>
  <c r="AU12043" i="81"/>
  <c r="AY12043" i="81"/>
  <c r="BC12043" i="81"/>
  <c r="BG12043" i="81"/>
  <c r="BK12043" i="81"/>
  <c r="BO12043" i="81"/>
  <c r="BS12043" i="81"/>
  <c r="BW12043" i="81"/>
  <c r="A12044" i="81"/>
  <c r="E12044" i="81"/>
  <c r="I12044" i="81"/>
  <c r="M12044" i="81"/>
  <c r="Q12044" i="81"/>
  <c r="U12044" i="81"/>
  <c r="Y12044" i="81"/>
  <c r="AC12044" i="81"/>
  <c r="AG12044" i="81"/>
  <c r="AK12044" i="81"/>
  <c r="AO12044" i="81"/>
  <c r="AS12044" i="81"/>
  <c r="AW12044" i="81"/>
  <c r="BA12044" i="81"/>
  <c r="BE12044" i="81"/>
  <c r="BI12044" i="81"/>
  <c r="BM12044" i="81"/>
  <c r="BQ12044" i="81"/>
  <c r="BU12044" i="81"/>
  <c r="BY12044" i="81"/>
  <c r="C12045" i="81"/>
  <c r="G12045" i="81"/>
  <c r="K12045" i="81"/>
  <c r="O12045" i="81"/>
  <c r="S12045" i="81"/>
  <c r="W12045" i="81"/>
  <c r="AA12045" i="81"/>
  <c r="AE12045" i="81"/>
  <c r="AI12045" i="81"/>
  <c r="AM12045" i="81"/>
  <c r="AQ12045" i="81"/>
  <c r="AU12045" i="81"/>
  <c r="AY12045" i="81"/>
  <c r="BC12045" i="81"/>
  <c r="BG12045" i="81"/>
  <c r="BK12045" i="81"/>
  <c r="BO12045" i="81"/>
  <c r="BS12045" i="81"/>
  <c r="BW12045" i="81"/>
  <c r="A12046" i="81"/>
  <c r="E12046" i="81"/>
  <c r="I12046" i="81"/>
  <c r="M12046" i="81"/>
  <c r="Q12046" i="81"/>
  <c r="U12046" i="81"/>
  <c r="Y12046" i="81"/>
  <c r="AC12046" i="81"/>
  <c r="AG12046" i="81"/>
  <c r="AK12046" i="81"/>
  <c r="AO12046" i="81"/>
  <c r="AS12046" i="81"/>
  <c r="AW12046" i="81"/>
  <c r="BA12046" i="81"/>
  <c r="BE12046" i="81"/>
  <c r="BI12046" i="81"/>
  <c r="BM12046" i="81"/>
  <c r="BQ12046" i="81"/>
  <c r="BU12046" i="81"/>
  <c r="BY12046" i="81"/>
  <c r="C12047" i="81"/>
  <c r="G12047" i="81"/>
  <c r="K12047" i="81"/>
  <c r="O12047" i="81"/>
  <c r="S12047" i="81"/>
  <c r="W12047" i="81"/>
  <c r="AA12047" i="81"/>
  <c r="AE12047" i="81"/>
  <c r="AI12047" i="81"/>
  <c r="AM12047" i="81"/>
  <c r="AQ12047" i="81"/>
  <c r="AU12047" i="81"/>
  <c r="AY12047" i="81"/>
  <c r="BC12047" i="81"/>
  <c r="BG12047" i="81"/>
  <c r="BK12047" i="81"/>
  <c r="BO12047" i="81"/>
  <c r="BS12047" i="81"/>
  <c r="BW12047" i="81"/>
  <c r="A12048" i="81"/>
  <c r="E12048" i="81"/>
  <c r="I12048" i="81"/>
  <c r="M12048" i="81"/>
  <c r="Q12048" i="81"/>
  <c r="U12048" i="81"/>
  <c r="Y12048" i="81"/>
  <c r="AC12048" i="81"/>
  <c r="AG12048" i="81"/>
  <c r="AK12048" i="81"/>
  <c r="AO12048" i="81"/>
  <c r="AS12048" i="81"/>
  <c r="AW12048" i="81"/>
  <c r="BA12048" i="81"/>
  <c r="BE12048" i="81"/>
  <c r="BI12048" i="81"/>
  <c r="BM12048" i="81"/>
  <c r="BQ12048" i="81"/>
  <c r="BU12048" i="81"/>
  <c r="BY12048" i="81"/>
  <c r="C12049" i="81"/>
  <c r="G12049" i="81"/>
  <c r="K12049" i="81"/>
  <c r="O12049" i="81"/>
  <c r="S12049" i="81"/>
  <c r="W12049" i="81"/>
  <c r="AA12049" i="81"/>
  <c r="AE12049" i="81"/>
  <c r="AI12049" i="81"/>
  <c r="AM12049" i="81"/>
  <c r="AQ12049" i="81"/>
  <c r="AU12049" i="81"/>
  <c r="AY12049" i="81"/>
  <c r="BC12049" i="81"/>
  <c r="BG12049" i="81"/>
  <c r="BK12049" i="81"/>
  <c r="BO12049" i="81"/>
  <c r="BS12049" i="81"/>
  <c r="BW12049" i="81"/>
  <c r="A12050" i="81"/>
  <c r="E12050" i="81"/>
  <c r="I12050" i="81"/>
  <c r="M12050" i="81"/>
  <c r="Q12050" i="81"/>
  <c r="U12050" i="81"/>
  <c r="Y12050" i="81"/>
  <c r="AC12050" i="81"/>
  <c r="AG12050" i="81"/>
  <c r="AK12050" i="81"/>
  <c r="AO12050" i="81"/>
  <c r="AS12050" i="81"/>
  <c r="AW12050" i="81"/>
  <c r="BA12050" i="81"/>
  <c r="BE12050" i="81"/>
  <c r="BI12050" i="81"/>
  <c r="BM12050" i="81"/>
  <c r="BQ12050" i="81"/>
  <c r="BU12050" i="81"/>
  <c r="BY12050" i="81"/>
  <c r="C12051" i="81"/>
  <c r="G12051" i="81"/>
  <c r="K12051" i="81"/>
  <c r="O12051" i="81"/>
  <c r="S12051" i="81"/>
  <c r="W12051" i="81"/>
  <c r="AA12051" i="81"/>
  <c r="AE12051" i="81"/>
  <c r="AI12051" i="81"/>
  <c r="AM12051" i="81"/>
  <c r="AQ12051" i="81"/>
  <c r="AU12051" i="81"/>
  <c r="AY12051" i="81"/>
  <c r="BC12051" i="81"/>
  <c r="BG12051" i="81"/>
  <c r="BK12051" i="81"/>
  <c r="BO12051" i="81"/>
  <c r="BS12051" i="81"/>
  <c r="BW12051" i="81"/>
  <c r="A12052" i="81"/>
  <c r="E12052" i="81"/>
  <c r="I12052" i="81"/>
  <c r="M12052" i="81"/>
  <c r="Q12052" i="81"/>
  <c r="U12052" i="81"/>
  <c r="Y12052" i="81"/>
  <c r="AC12052" i="81"/>
  <c r="AG12052" i="81"/>
  <c r="AK12052" i="81"/>
  <c r="AO12052" i="81"/>
  <c r="AS12052" i="81"/>
  <c r="AW12052" i="81"/>
  <c r="BA12052" i="81"/>
  <c r="BE12052" i="81"/>
  <c r="BI12052" i="81"/>
  <c r="BM12052" i="81"/>
  <c r="BQ12052" i="81"/>
  <c r="BU12052" i="81"/>
  <c r="BY12052" i="81"/>
  <c r="C12053" i="81"/>
  <c r="G12053" i="81"/>
  <c r="K12053" i="81"/>
  <c r="O12053" i="81"/>
  <c r="S12053" i="81"/>
  <c r="W12053" i="81"/>
  <c r="AA12053" i="81"/>
  <c r="AE12053" i="81"/>
  <c r="AI12053" i="81"/>
  <c r="AM12053" i="81"/>
  <c r="AQ12053" i="81"/>
  <c r="AU12053" i="81"/>
  <c r="AY12053" i="81"/>
  <c r="BC12053" i="81"/>
  <c r="BG12053" i="81"/>
  <c r="BK12053" i="81"/>
  <c r="BO12053" i="81"/>
  <c r="BS12053" i="81"/>
  <c r="BW12053" i="81"/>
  <c r="A12054" i="81"/>
  <c r="E12054" i="81"/>
  <c r="I12054" i="81"/>
  <c r="M12054" i="81"/>
  <c r="Q12054" i="81"/>
  <c r="U12054" i="81"/>
  <c r="Y12054" i="81"/>
  <c r="AC12054" i="81"/>
  <c r="AG12054" i="81"/>
  <c r="AK12054" i="81"/>
  <c r="AO12054" i="81"/>
  <c r="AS12054" i="81"/>
  <c r="AW12054" i="81"/>
  <c r="BA12054" i="81"/>
  <c r="BE12054" i="81"/>
  <c r="BI12054" i="81"/>
  <c r="BM12054" i="81"/>
  <c r="BQ12054" i="81"/>
  <c r="BU12054" i="81"/>
  <c r="BY12054" i="81"/>
  <c r="C28" i="77"/>
  <c r="B12001" i="77"/>
  <c r="D12001" i="77"/>
  <c r="F12001" i="77"/>
  <c r="H12001" i="77"/>
  <c r="J12001" i="77"/>
  <c r="L12001" i="77"/>
  <c r="N12001" i="77"/>
  <c r="P12001" i="77"/>
  <c r="R12001" i="77"/>
  <c r="T12001" i="77"/>
  <c r="V12001" i="77"/>
  <c r="X12001" i="77"/>
  <c r="Z12001" i="77"/>
  <c r="AB12001" i="77"/>
  <c r="AD12001" i="77"/>
  <c r="AH12001" i="77"/>
  <c r="AJ12001" i="77"/>
  <c r="AP12001" i="77"/>
  <c r="AT12001" i="77"/>
  <c r="AZ12001" i="77"/>
  <c r="BD12001" i="77"/>
  <c r="BJ12001" i="77"/>
  <c r="BN12001" i="77"/>
  <c r="BT12001" i="77"/>
  <c r="BX12001" i="77"/>
  <c r="CD12001" i="77"/>
  <c r="CJ12001" i="77"/>
  <c r="A12001" i="77"/>
  <c r="C12001" i="77"/>
  <c r="E12001" i="77"/>
  <c r="G12001" i="77"/>
  <c r="I12001" i="77"/>
  <c r="K12001" i="77"/>
  <c r="M12001" i="77"/>
  <c r="O12001" i="77"/>
  <c r="Q12001" i="77"/>
  <c r="S12001" i="77"/>
  <c r="U12001" i="77"/>
  <c r="W12001" i="77"/>
  <c r="Y12001" i="77"/>
  <c r="AA12001" i="77"/>
  <c r="AC12001" i="77"/>
  <c r="AE12001" i="77"/>
  <c r="AG12001" i="77"/>
  <c r="AI12001" i="77"/>
  <c r="AK12001" i="77"/>
  <c r="AM12001" i="77"/>
  <c r="AO12001" i="77"/>
  <c r="AQ12001" i="77"/>
  <c r="AS12001" i="77"/>
  <c r="AU12001" i="77"/>
  <c r="AW12001" i="77"/>
  <c r="AY12001" i="77"/>
  <c r="BA12001" i="77"/>
  <c r="BC12001" i="77"/>
  <c r="BE12001" i="77"/>
  <c r="BG12001" i="77"/>
  <c r="BI12001" i="77"/>
  <c r="BK12001" i="77"/>
  <c r="BM12001" i="77"/>
  <c r="BO12001" i="77"/>
  <c r="BQ12001" i="77"/>
  <c r="BS12001" i="77"/>
  <c r="BU12001" i="77"/>
  <c r="BW12001" i="77"/>
  <c r="BY12001" i="77"/>
  <c r="CA12001" i="77"/>
  <c r="CC12001" i="77"/>
  <c r="CE12001" i="77"/>
  <c r="CG12001" i="77"/>
  <c r="CI12001" i="77"/>
  <c r="CK12001" i="77"/>
  <c r="CM12001" i="77"/>
  <c r="AF12001" i="77"/>
  <c r="AL12001" i="77"/>
  <c r="AN12001" i="77"/>
  <c r="AR12001" i="77"/>
  <c r="AV12001" i="77"/>
  <c r="AX12001" i="77"/>
  <c r="BB12001" i="77"/>
  <c r="BF12001" i="77"/>
  <c r="BH12001" i="77"/>
  <c r="BL12001" i="77"/>
  <c r="BP12001" i="77"/>
  <c r="BR12001" i="77"/>
  <c r="BV12001" i="77"/>
  <c r="BZ12001" i="77"/>
  <c r="CB12001" i="77"/>
  <c r="CF12001" i="77"/>
  <c r="CH12001" i="77"/>
  <c r="CL12001" i="77"/>
  <c r="C27" i="77"/>
  <c r="B12003" i="77"/>
  <c r="D12003" i="77"/>
  <c r="F12003" i="77"/>
  <c r="H12003" i="77"/>
  <c r="J12003" i="77"/>
  <c r="L12003" i="77"/>
  <c r="N12003" i="77"/>
  <c r="P12003" i="77"/>
  <c r="R12003" i="77"/>
  <c r="T12003" i="77"/>
  <c r="V12003" i="77"/>
  <c r="X12003" i="77"/>
  <c r="Z12003" i="77"/>
  <c r="AB12003" i="77"/>
  <c r="AD12003" i="77"/>
  <c r="AF12003" i="77"/>
  <c r="AH12003" i="77"/>
  <c r="AJ12003" i="77"/>
  <c r="AL12003" i="77"/>
  <c r="AN12003" i="77"/>
  <c r="AP12003" i="77"/>
  <c r="AR12003" i="77"/>
  <c r="AT12003" i="77"/>
  <c r="AV12003" i="77"/>
  <c r="AX12003" i="77"/>
  <c r="AZ12003" i="77"/>
  <c r="BB12003" i="77"/>
  <c r="BD12003" i="77"/>
  <c r="C12003" i="77"/>
  <c r="G12003" i="77"/>
  <c r="K12003" i="77"/>
  <c r="O12003" i="77"/>
  <c r="S12003" i="77"/>
  <c r="W12003" i="77"/>
  <c r="AA12003" i="77"/>
  <c r="AE12003" i="77"/>
  <c r="AI12003" i="77"/>
  <c r="AM12003" i="77"/>
  <c r="AQ12003" i="77"/>
  <c r="AU12003" i="77"/>
  <c r="AY12003" i="77"/>
  <c r="BC12003" i="77"/>
  <c r="BF12003" i="77"/>
  <c r="BH12003" i="77"/>
  <c r="BJ12003" i="77"/>
  <c r="BL12003" i="77"/>
  <c r="BN12003" i="77"/>
  <c r="BP12003" i="77"/>
  <c r="BR12003" i="77"/>
  <c r="BT12003" i="77"/>
  <c r="BV12003" i="77"/>
  <c r="BX12003" i="77"/>
  <c r="BZ12003" i="77"/>
  <c r="CB12003" i="77"/>
  <c r="CD12003" i="77"/>
  <c r="CF12003" i="77"/>
  <c r="CH12003" i="77"/>
  <c r="CJ12003" i="77"/>
  <c r="CL12003" i="77"/>
  <c r="CN12003" i="77"/>
  <c r="CP12003" i="77"/>
  <c r="CR12003" i="77"/>
  <c r="CT12003" i="77"/>
  <c r="CV12003" i="77"/>
  <c r="CX12003" i="77"/>
  <c r="CZ12003" i="77"/>
  <c r="DB12003" i="77"/>
  <c r="DD12003" i="77"/>
  <c r="DF12003" i="77"/>
  <c r="DH12003" i="77"/>
  <c r="DJ12003" i="77"/>
  <c r="DL12003" i="77"/>
  <c r="DN12003" i="77"/>
  <c r="DP12003" i="77"/>
  <c r="DR12003" i="77"/>
  <c r="DT12003" i="77"/>
  <c r="DV12003" i="77"/>
  <c r="DX12003" i="77"/>
  <c r="DZ12003" i="77"/>
  <c r="EB12003" i="77"/>
  <c r="ED12003" i="77"/>
  <c r="EF12003" i="77"/>
  <c r="EH12003" i="77"/>
  <c r="EJ12003" i="77"/>
  <c r="EL12003" i="77"/>
  <c r="EN12003" i="77"/>
  <c r="EP12003" i="77"/>
  <c r="ER12003" i="77"/>
  <c r="ET12003" i="77"/>
  <c r="EV12003" i="77"/>
  <c r="EX12003" i="77"/>
  <c r="EZ12003" i="77"/>
  <c r="FB12003" i="77"/>
  <c r="FD12003" i="77"/>
  <c r="FF12003" i="77"/>
  <c r="FH12003" i="77"/>
  <c r="FJ12003" i="77"/>
  <c r="FL12003" i="77"/>
  <c r="A12003" i="77"/>
  <c r="E12003" i="77"/>
  <c r="I12003" i="77"/>
  <c r="M12003" i="77"/>
  <c r="Q12003" i="77"/>
  <c r="U12003" i="77"/>
  <c r="Y12003" i="77"/>
  <c r="AC12003" i="77"/>
  <c r="AG12003" i="77"/>
  <c r="AK12003" i="77"/>
  <c r="AO12003" i="77"/>
  <c r="AS12003" i="77"/>
  <c r="AW12003" i="77"/>
  <c r="BA12003" i="77"/>
  <c r="BE12003" i="77"/>
  <c r="BG12003" i="77"/>
  <c r="BI12003" i="77"/>
  <c r="BK12003" i="77"/>
  <c r="BM12003" i="77"/>
  <c r="BO12003" i="77"/>
  <c r="BQ12003" i="77"/>
  <c r="BS12003" i="77"/>
  <c r="BU12003" i="77"/>
  <c r="BW12003" i="77"/>
  <c r="BY12003" i="77"/>
  <c r="CA12003" i="77"/>
  <c r="CC12003" i="77"/>
  <c r="CE12003" i="77"/>
  <c r="CG12003" i="77"/>
  <c r="CI12003" i="77"/>
  <c r="CK12003" i="77"/>
  <c r="CM12003" i="77"/>
  <c r="CO12003" i="77"/>
  <c r="CQ12003" i="77"/>
  <c r="CS12003" i="77"/>
  <c r="CU12003" i="77"/>
  <c r="CW12003" i="77"/>
  <c r="CY12003" i="77"/>
  <c r="DA12003" i="77"/>
  <c r="DC12003" i="77"/>
  <c r="DE12003" i="77"/>
  <c r="DG12003" i="77"/>
  <c r="DI12003" i="77"/>
  <c r="DK12003" i="77"/>
  <c r="DM12003" i="77"/>
  <c r="DO12003" i="77"/>
  <c r="DQ12003" i="77"/>
  <c r="DS12003" i="77"/>
  <c r="DU12003" i="77"/>
  <c r="DW12003" i="77"/>
  <c r="DY12003" i="77"/>
  <c r="EA12003" i="77"/>
  <c r="EC12003" i="77"/>
  <c r="EE12003" i="77"/>
  <c r="EG12003" i="77"/>
  <c r="EI12003" i="77"/>
  <c r="EK12003" i="77"/>
  <c r="EM12003" i="77"/>
  <c r="EO12003" i="77"/>
  <c r="EQ12003" i="77"/>
  <c r="ES12003" i="77"/>
  <c r="EU12003" i="77"/>
  <c r="EW12003" i="77"/>
  <c r="EY12003" i="77"/>
  <c r="FA12003" i="77"/>
  <c r="FC12003" i="77"/>
  <c r="FE12003" i="77"/>
  <c r="FG12003" i="77"/>
  <c r="FI12003" i="77"/>
  <c r="FK12003" i="77"/>
  <c r="FM12003" i="77"/>
  <c r="B12002" i="77"/>
  <c r="D12002" i="77"/>
  <c r="F12002" i="77"/>
  <c r="H12002" i="77"/>
  <c r="J12002" i="77"/>
  <c r="L12002" i="77"/>
  <c r="N12002" i="77"/>
  <c r="P12002" i="77"/>
  <c r="R12002" i="77"/>
  <c r="T12002" i="77"/>
  <c r="V12002" i="77"/>
  <c r="X12002" i="77"/>
  <c r="Z12002" i="77"/>
  <c r="AB12002" i="77"/>
  <c r="AD12002" i="77"/>
  <c r="AF12002" i="77"/>
  <c r="AH12002" i="77"/>
  <c r="AJ12002" i="77"/>
  <c r="AL12002" i="77"/>
  <c r="AN12002" i="77"/>
  <c r="AP12002" i="77"/>
  <c r="AR12002" i="77"/>
  <c r="AT12002" i="77"/>
  <c r="AV12002" i="77"/>
  <c r="AX12002" i="77"/>
  <c r="AZ12002" i="77"/>
  <c r="BB12002" i="77"/>
  <c r="BD12002" i="77"/>
  <c r="BF12002" i="77"/>
  <c r="BH12002" i="77"/>
  <c r="BJ12002" i="77"/>
  <c r="BL12002" i="77"/>
  <c r="BN12002" i="77"/>
  <c r="BP12002" i="77"/>
  <c r="BR12002" i="77"/>
  <c r="BT12002" i="77"/>
  <c r="BV12002" i="77"/>
  <c r="BX12002" i="77"/>
  <c r="BZ12002" i="77"/>
  <c r="CB12002" i="77"/>
  <c r="CD12002" i="77"/>
  <c r="CF12002" i="77"/>
  <c r="CH12002" i="77"/>
  <c r="CJ12002" i="77"/>
  <c r="CL12002" i="77"/>
  <c r="CN12002" i="77"/>
  <c r="CP12002" i="77"/>
  <c r="CR12002" i="77"/>
  <c r="CT12002" i="77"/>
  <c r="A12002" i="77"/>
  <c r="C12002" i="77"/>
  <c r="E12002" i="77"/>
  <c r="G12002" i="77"/>
  <c r="I12002" i="77"/>
  <c r="K12002" i="77"/>
  <c r="M12002" i="77"/>
  <c r="O12002" i="77"/>
  <c r="Q12002" i="77"/>
  <c r="S12002" i="77"/>
  <c r="U12002" i="77"/>
  <c r="W12002" i="77"/>
  <c r="Y12002" i="77"/>
  <c r="AA12002" i="77"/>
  <c r="AC12002" i="77"/>
  <c r="AE12002" i="77"/>
  <c r="AG12002" i="77"/>
  <c r="AI12002" i="77"/>
  <c r="AK12002" i="77"/>
  <c r="AM12002" i="77"/>
  <c r="AO12002" i="77"/>
  <c r="AQ12002" i="77"/>
  <c r="AS12002" i="77"/>
  <c r="AU12002" i="77"/>
  <c r="AW12002" i="77"/>
  <c r="AY12002" i="77"/>
  <c r="BA12002" i="77"/>
  <c r="BC12002" i="77"/>
  <c r="BE12002" i="77"/>
  <c r="BG12002" i="77"/>
  <c r="BI12002" i="77"/>
  <c r="BK12002" i="77"/>
  <c r="BM12002" i="77"/>
  <c r="BO12002" i="77"/>
  <c r="BQ12002" i="77"/>
  <c r="BS12002" i="77"/>
  <c r="BU12002" i="77"/>
  <c r="BW12002" i="77"/>
  <c r="BY12002" i="77"/>
  <c r="CA12002" i="77"/>
  <c r="CC12002" i="77"/>
  <c r="CE12002" i="77"/>
  <c r="CG12002" i="77"/>
  <c r="CI12002" i="77"/>
  <c r="CK12002" i="77"/>
  <c r="CM12002" i="77"/>
  <c r="CO12002" i="77"/>
  <c r="CQ12002" i="77"/>
  <c r="CS12002" i="77"/>
  <c r="CU12002" i="77"/>
  <c r="CW12002" i="77"/>
  <c r="CY12002" i="77"/>
  <c r="DA12002" i="77"/>
  <c r="DC12002" i="77"/>
  <c r="DE12002" i="77"/>
  <c r="DG12002" i="77"/>
  <c r="DI12002" i="77"/>
  <c r="DK12002" i="77"/>
  <c r="DM12002" i="77"/>
  <c r="DO12002" i="77"/>
  <c r="DQ12002" i="77"/>
  <c r="DS12002" i="77"/>
  <c r="DU12002" i="77"/>
  <c r="DW12002" i="77"/>
  <c r="DY12002" i="77"/>
  <c r="EA12002" i="77"/>
  <c r="EC12002" i="77"/>
  <c r="EE12002" i="77"/>
  <c r="CV12002" i="77"/>
  <c r="CZ12002" i="77"/>
  <c r="DD12002" i="77"/>
  <c r="DH12002" i="77"/>
  <c r="DL12002" i="77"/>
  <c r="DP12002" i="77"/>
  <c r="DT12002" i="77"/>
  <c r="DX12002" i="77"/>
  <c r="EB12002" i="77"/>
  <c r="EF12002" i="77"/>
  <c r="CX12002" i="77"/>
  <c r="DB12002" i="77"/>
  <c r="DF12002" i="77"/>
  <c r="DJ12002" i="77"/>
  <c r="DN12002" i="77"/>
  <c r="DR12002" i="77"/>
  <c r="DV12002" i="77"/>
  <c r="DZ12002" i="77"/>
  <c r="ED12002" i="77"/>
  <c r="C29" i="77"/>
  <c r="A12010" i="77"/>
  <c r="C12010" i="77"/>
  <c r="E12010" i="77"/>
  <c r="G12010" i="77"/>
  <c r="I12010" i="77"/>
  <c r="K12010" i="77"/>
  <c r="M12010" i="77"/>
  <c r="O12010" i="77"/>
  <c r="Q12010" i="77"/>
  <c r="S12010" i="77"/>
  <c r="U12010" i="77"/>
  <c r="W12010" i="77"/>
  <c r="Y12010" i="77"/>
  <c r="AA12010" i="77"/>
  <c r="AC12010" i="77"/>
  <c r="AE12010" i="77"/>
  <c r="AG12010" i="77"/>
  <c r="AI12010" i="77"/>
  <c r="AK12010" i="77"/>
  <c r="AM12010" i="77"/>
  <c r="AO12010" i="77"/>
  <c r="AQ12010" i="77"/>
  <c r="AS12010" i="77"/>
  <c r="AU12010" i="77"/>
  <c r="AW12010" i="77"/>
  <c r="AY12010" i="77"/>
  <c r="BA12010" i="77"/>
  <c r="BC12010" i="77"/>
  <c r="BE12010" i="77"/>
  <c r="BG12010" i="77"/>
  <c r="BI12010" i="77"/>
  <c r="BK12010" i="77"/>
  <c r="BM12010" i="77"/>
  <c r="BO12010" i="77"/>
  <c r="BQ12010" i="77"/>
  <c r="BS12010" i="77"/>
  <c r="BU12010" i="77"/>
  <c r="BW12010" i="77"/>
  <c r="BY12010" i="77"/>
  <c r="A12011" i="77"/>
  <c r="C12011" i="77"/>
  <c r="E12011" i="77"/>
  <c r="G12011" i="77"/>
  <c r="I12011" i="77"/>
  <c r="K12011" i="77"/>
  <c r="M12011" i="77"/>
  <c r="O12011" i="77"/>
  <c r="Q12011" i="77"/>
  <c r="S12011" i="77"/>
  <c r="U12011" i="77"/>
  <c r="W12011" i="77"/>
  <c r="Y12011" i="77"/>
  <c r="AA12011" i="77"/>
  <c r="AC12011" i="77"/>
  <c r="AE12011" i="77"/>
  <c r="B12010" i="77"/>
  <c r="D12010" i="77"/>
  <c r="F12010" i="77"/>
  <c r="H12010" i="77"/>
  <c r="J12010" i="77"/>
  <c r="L12010" i="77"/>
  <c r="N12010" i="77"/>
  <c r="P12010" i="77"/>
  <c r="R12010" i="77"/>
  <c r="T12010" i="77"/>
  <c r="V12010" i="77"/>
  <c r="X12010" i="77"/>
  <c r="Z12010" i="77"/>
  <c r="AB12010" i="77"/>
  <c r="AD12010" i="77"/>
  <c r="AF12010" i="77"/>
  <c r="AH12010" i="77"/>
  <c r="AJ12010" i="77"/>
  <c r="AL12010" i="77"/>
  <c r="AN12010" i="77"/>
  <c r="AP12010" i="77"/>
  <c r="AR12010" i="77"/>
  <c r="AT12010" i="77"/>
  <c r="AV12010" i="77"/>
  <c r="AX12010" i="77"/>
  <c r="AZ12010" i="77"/>
  <c r="BB12010" i="77"/>
  <c r="BD12010" i="77"/>
  <c r="BF12010" i="77"/>
  <c r="BH12010" i="77"/>
  <c r="BJ12010" i="77"/>
  <c r="BL12010" i="77"/>
  <c r="BN12010" i="77"/>
  <c r="BP12010" i="77"/>
  <c r="BR12010" i="77"/>
  <c r="BT12010" i="77"/>
  <c r="BV12010" i="77"/>
  <c r="BX12010" i="77"/>
  <c r="BZ12010" i="77"/>
  <c r="B12011" i="77"/>
  <c r="D12011" i="77"/>
  <c r="F12011" i="77"/>
  <c r="H12011" i="77"/>
  <c r="J12011" i="77"/>
  <c r="L12011" i="77"/>
  <c r="N12011" i="77"/>
  <c r="P12011" i="77"/>
  <c r="R12011" i="77"/>
  <c r="T12011" i="77"/>
  <c r="V12011" i="77"/>
  <c r="X12011" i="77"/>
  <c r="Z12011" i="77"/>
  <c r="AB12011" i="77"/>
  <c r="AD12011" i="77"/>
  <c r="AF12011" i="77"/>
  <c r="AH12011" i="77"/>
  <c r="AJ12011" i="77"/>
  <c r="AL12011" i="77"/>
  <c r="AN12011" i="77"/>
  <c r="AP12011" i="77"/>
  <c r="AR12011" i="77"/>
  <c r="AT12011" i="77"/>
  <c r="AV12011" i="77"/>
  <c r="AX12011" i="77"/>
  <c r="AZ12011" i="77"/>
  <c r="BB12011" i="77"/>
  <c r="BD12011" i="77"/>
  <c r="BF12011" i="77"/>
  <c r="BH12011" i="77"/>
  <c r="BJ12011" i="77"/>
  <c r="BL12011" i="77"/>
  <c r="BN12011" i="77"/>
  <c r="BP12011" i="77"/>
  <c r="BR12011" i="77"/>
  <c r="AG12011" i="77"/>
  <c r="AK12011" i="77"/>
  <c r="AO12011" i="77"/>
  <c r="AS12011" i="77"/>
  <c r="AW12011" i="77"/>
  <c r="BA12011" i="77"/>
  <c r="BE12011" i="77"/>
  <c r="BI12011" i="77"/>
  <c r="BM12011" i="77"/>
  <c r="BQ12011" i="77"/>
  <c r="BT12011" i="77"/>
  <c r="BV12011" i="77"/>
  <c r="BX12011" i="77"/>
  <c r="BZ12011" i="77"/>
  <c r="B12012" i="77"/>
  <c r="D12012" i="77"/>
  <c r="F12012" i="77"/>
  <c r="H12012" i="77"/>
  <c r="J12012" i="77"/>
  <c r="L12012" i="77"/>
  <c r="N12012" i="77"/>
  <c r="P12012" i="77"/>
  <c r="R12012" i="77"/>
  <c r="T12012" i="77"/>
  <c r="V12012" i="77"/>
  <c r="X12012" i="77"/>
  <c r="Z12012" i="77"/>
  <c r="AB12012" i="77"/>
  <c r="AD12012" i="77"/>
  <c r="AF12012" i="77"/>
  <c r="AH12012" i="77"/>
  <c r="AJ12012" i="77"/>
  <c r="AL12012" i="77"/>
  <c r="AN12012" i="77"/>
  <c r="AP12012" i="77"/>
  <c r="AR12012" i="77"/>
  <c r="AT12012" i="77"/>
  <c r="AV12012" i="77"/>
  <c r="AX12012" i="77"/>
  <c r="AZ12012" i="77"/>
  <c r="BB12012" i="77"/>
  <c r="BD12012" i="77"/>
  <c r="BF12012" i="77"/>
  <c r="BH12012" i="77"/>
  <c r="BJ12012" i="77"/>
  <c r="BL12012" i="77"/>
  <c r="BN12012" i="77"/>
  <c r="BP12012" i="77"/>
  <c r="BR12012" i="77"/>
  <c r="BT12012" i="77"/>
  <c r="BV12012" i="77"/>
  <c r="BX12012" i="77"/>
  <c r="BZ12012" i="77"/>
  <c r="B12013" i="77"/>
  <c r="D12013" i="77"/>
  <c r="F12013" i="77"/>
  <c r="H12013" i="77"/>
  <c r="J12013" i="77"/>
  <c r="L12013" i="77"/>
  <c r="N12013" i="77"/>
  <c r="P12013" i="77"/>
  <c r="R12013" i="77"/>
  <c r="T12013" i="77"/>
  <c r="V12013" i="77"/>
  <c r="X12013" i="77"/>
  <c r="Z12013" i="77"/>
  <c r="AB12013" i="77"/>
  <c r="AD12013" i="77"/>
  <c r="AF12013" i="77"/>
  <c r="AH12013" i="77"/>
  <c r="AJ12013" i="77"/>
  <c r="AL12013" i="77"/>
  <c r="AN12013" i="77"/>
  <c r="AP12013" i="77"/>
  <c r="AR12013" i="77"/>
  <c r="AT12013" i="77"/>
  <c r="AV12013" i="77"/>
  <c r="AX12013" i="77"/>
  <c r="AZ12013" i="77"/>
  <c r="BB12013" i="77"/>
  <c r="BD12013" i="77"/>
  <c r="BF12013" i="77"/>
  <c r="BH12013" i="77"/>
  <c r="BJ12013" i="77"/>
  <c r="BL12013" i="77"/>
  <c r="AI12011" i="77"/>
  <c r="AM12011" i="77"/>
  <c r="AQ12011" i="77"/>
  <c r="AU12011" i="77"/>
  <c r="AY12011" i="77"/>
  <c r="BC12011" i="77"/>
  <c r="BG12011" i="77"/>
  <c r="BK12011" i="77"/>
  <c r="BO12011" i="77"/>
  <c r="BS12011" i="77"/>
  <c r="BU12011" i="77"/>
  <c r="BW12011" i="77"/>
  <c r="BY12011" i="77"/>
  <c r="A12012" i="77"/>
  <c r="C12012" i="77"/>
  <c r="E12012" i="77"/>
  <c r="G12012" i="77"/>
  <c r="I12012" i="77"/>
  <c r="K12012" i="77"/>
  <c r="M12012" i="77"/>
  <c r="O12012" i="77"/>
  <c r="Q12012" i="77"/>
  <c r="S12012" i="77"/>
  <c r="U12012" i="77"/>
  <c r="W12012" i="77"/>
  <c r="Y12012" i="77"/>
  <c r="AA12012" i="77"/>
  <c r="AC12012" i="77"/>
  <c r="AE12012" i="77"/>
  <c r="AG12012" i="77"/>
  <c r="AI12012" i="77"/>
  <c r="AK12012" i="77"/>
  <c r="AM12012" i="77"/>
  <c r="AO12012" i="77"/>
  <c r="AQ12012" i="77"/>
  <c r="AS12012" i="77"/>
  <c r="AU12012" i="77"/>
  <c r="AW12012" i="77"/>
  <c r="AY12012" i="77"/>
  <c r="BA12012" i="77"/>
  <c r="BC12012" i="77"/>
  <c r="BE12012" i="77"/>
  <c r="BG12012" i="77"/>
  <c r="BI12012" i="77"/>
  <c r="BK12012" i="77"/>
  <c r="BM12012" i="77"/>
  <c r="BO12012" i="77"/>
  <c r="BQ12012" i="77"/>
  <c r="BS12012" i="77"/>
  <c r="BU12012" i="77"/>
  <c r="BW12012" i="77"/>
  <c r="BY12012" i="77"/>
  <c r="A12013" i="77"/>
  <c r="C12013" i="77"/>
  <c r="E12013" i="77"/>
  <c r="G12013" i="77"/>
  <c r="I12013" i="77"/>
  <c r="K12013" i="77"/>
  <c r="M12013" i="77"/>
  <c r="O12013" i="77"/>
  <c r="Q12013" i="77"/>
  <c r="S12013" i="77"/>
  <c r="U12013" i="77"/>
  <c r="W12013" i="77"/>
  <c r="Y12013" i="77"/>
  <c r="AA12013" i="77"/>
  <c r="AC12013" i="77"/>
  <c r="AE12013" i="77"/>
  <c r="AG12013" i="77"/>
  <c r="AI12013" i="77"/>
  <c r="AK12013" i="77"/>
  <c r="AM12013" i="77"/>
  <c r="AO12013" i="77"/>
  <c r="AQ12013" i="77"/>
  <c r="AS12013" i="77"/>
  <c r="AU12013" i="77"/>
  <c r="AW12013" i="77"/>
  <c r="AY12013" i="77"/>
  <c r="BA12013" i="77"/>
  <c r="BC12013" i="77"/>
  <c r="BE12013" i="77"/>
  <c r="BG12013" i="77"/>
  <c r="BI12013" i="77"/>
  <c r="BK12013" i="77"/>
  <c r="BM12013" i="77"/>
  <c r="BO12013" i="77"/>
  <c r="BQ12013" i="77"/>
  <c r="BS12013" i="77"/>
  <c r="BU12013" i="77"/>
  <c r="BW12013" i="77"/>
  <c r="BY12013" i="77"/>
  <c r="A12014" i="77"/>
  <c r="C12014" i="77"/>
  <c r="E12014" i="77"/>
  <c r="G12014" i="77"/>
  <c r="I12014" i="77"/>
  <c r="K12014" i="77"/>
  <c r="M12014" i="77"/>
  <c r="BN12013" i="77"/>
  <c r="BR12013" i="77"/>
  <c r="BV12013" i="77"/>
  <c r="BZ12013" i="77"/>
  <c r="D12014" i="77"/>
  <c r="H12014" i="77"/>
  <c r="L12014" i="77"/>
  <c r="O12014" i="77"/>
  <c r="Q12014" i="77"/>
  <c r="S12014" i="77"/>
  <c r="U12014" i="77"/>
  <c r="W12014" i="77"/>
  <c r="Y12014" i="77"/>
  <c r="AA12014" i="77"/>
  <c r="AC12014" i="77"/>
  <c r="AE12014" i="77"/>
  <c r="AG12014" i="77"/>
  <c r="AI12014" i="77"/>
  <c r="AK12014" i="77"/>
  <c r="AM12014" i="77"/>
  <c r="AO12014" i="77"/>
  <c r="AQ12014" i="77"/>
  <c r="AS12014" i="77"/>
  <c r="AU12014" i="77"/>
  <c r="AW12014" i="77"/>
  <c r="AY12014" i="77"/>
  <c r="BA12014" i="77"/>
  <c r="BC12014" i="77"/>
  <c r="BE12014" i="77"/>
  <c r="BG12014" i="77"/>
  <c r="BI12014" i="77"/>
  <c r="BK12014" i="77"/>
  <c r="BM12014" i="77"/>
  <c r="BO12014" i="77"/>
  <c r="BQ12014" i="77"/>
  <c r="BS12014" i="77"/>
  <c r="BU12014" i="77"/>
  <c r="BW12014" i="77"/>
  <c r="BY12014" i="77"/>
  <c r="A12015" i="77"/>
  <c r="C12015" i="77"/>
  <c r="E12015" i="77"/>
  <c r="G12015" i="77"/>
  <c r="I12015" i="77"/>
  <c r="K12015" i="77"/>
  <c r="M12015" i="77"/>
  <c r="O12015" i="77"/>
  <c r="Q12015" i="77"/>
  <c r="S12015" i="77"/>
  <c r="U12015" i="77"/>
  <c r="W12015" i="77"/>
  <c r="Y12015" i="77"/>
  <c r="AA12015" i="77"/>
  <c r="AC12015" i="77"/>
  <c r="AE12015" i="77"/>
  <c r="AG12015" i="77"/>
  <c r="AI12015" i="77"/>
  <c r="AK12015" i="77"/>
  <c r="AM12015" i="77"/>
  <c r="AO12015" i="77"/>
  <c r="AQ12015" i="77"/>
  <c r="AS12015" i="77"/>
  <c r="AU12015" i="77"/>
  <c r="AW12015" i="77"/>
  <c r="AY12015" i="77"/>
  <c r="BA12015" i="77"/>
  <c r="BC12015" i="77"/>
  <c r="BE12015" i="77"/>
  <c r="BG12015" i="77"/>
  <c r="BI12015" i="77"/>
  <c r="BK12015" i="77"/>
  <c r="BM12015" i="77"/>
  <c r="BO12015" i="77"/>
  <c r="BQ12015" i="77"/>
  <c r="BS12015" i="77"/>
  <c r="BU12015" i="77"/>
  <c r="BW12015" i="77"/>
  <c r="BY12015" i="77"/>
  <c r="A12016" i="77"/>
  <c r="C12016" i="77"/>
  <c r="E12016" i="77"/>
  <c r="G12016" i="77"/>
  <c r="I12016" i="77"/>
  <c r="K12016" i="77"/>
  <c r="M12016" i="77"/>
  <c r="O12016" i="77"/>
  <c r="Q12016" i="77"/>
  <c r="S12016" i="77"/>
  <c r="U12016" i="77"/>
  <c r="W12016" i="77"/>
  <c r="Y12016" i="77"/>
  <c r="AA12016" i="77"/>
  <c r="AC12016" i="77"/>
  <c r="AE12016" i="77"/>
  <c r="AG12016" i="77"/>
  <c r="AI12016" i="77"/>
  <c r="AK12016" i="77"/>
  <c r="AM12016" i="77"/>
  <c r="AO12016" i="77"/>
  <c r="AQ12016" i="77"/>
  <c r="AS12016" i="77"/>
  <c r="AU12016" i="77"/>
  <c r="AW12016" i="77"/>
  <c r="AY12016" i="77"/>
  <c r="BA12016" i="77"/>
  <c r="BC12016" i="77"/>
  <c r="BE12016" i="77"/>
  <c r="BG12016" i="77"/>
  <c r="BI12016" i="77"/>
  <c r="BK12016" i="77"/>
  <c r="BM12016" i="77"/>
  <c r="BO12016" i="77"/>
  <c r="BQ12016" i="77"/>
  <c r="BS12016" i="77"/>
  <c r="BU12016" i="77"/>
  <c r="BW12016" i="77"/>
  <c r="BY12016" i="77"/>
  <c r="A12017" i="77"/>
  <c r="C12017" i="77"/>
  <c r="BP12013" i="77"/>
  <c r="BT12013" i="77"/>
  <c r="BX12013" i="77"/>
  <c r="B12014" i="77"/>
  <c r="F12014" i="77"/>
  <c r="J12014" i="77"/>
  <c r="N12014" i="77"/>
  <c r="P12014" i="77"/>
  <c r="R12014" i="77"/>
  <c r="T12014" i="77"/>
  <c r="V12014" i="77"/>
  <c r="X12014" i="77"/>
  <c r="Z12014" i="77"/>
  <c r="AB12014" i="77"/>
  <c r="AD12014" i="77"/>
  <c r="AF12014" i="77"/>
  <c r="AH12014" i="77"/>
  <c r="AJ12014" i="77"/>
  <c r="AL12014" i="77"/>
  <c r="AN12014" i="77"/>
  <c r="AP12014" i="77"/>
  <c r="AR12014" i="77"/>
  <c r="AT12014" i="77"/>
  <c r="AV12014" i="77"/>
  <c r="AX12014" i="77"/>
  <c r="AZ12014" i="77"/>
  <c r="BB12014" i="77"/>
  <c r="BD12014" i="77"/>
  <c r="BF12014" i="77"/>
  <c r="BH12014" i="77"/>
  <c r="BJ12014" i="77"/>
  <c r="BL12014" i="77"/>
  <c r="BN12014" i="77"/>
  <c r="BP12014" i="77"/>
  <c r="BR12014" i="77"/>
  <c r="BT12014" i="77"/>
  <c r="BV12014" i="77"/>
  <c r="BX12014" i="77"/>
  <c r="BZ12014" i="77"/>
  <c r="B12015" i="77"/>
  <c r="D12015" i="77"/>
  <c r="F12015" i="77"/>
  <c r="H12015" i="77"/>
  <c r="J12015" i="77"/>
  <c r="L12015" i="77"/>
  <c r="N12015" i="77"/>
  <c r="P12015" i="77"/>
  <c r="R12015" i="77"/>
  <c r="T12015" i="77"/>
  <c r="V12015" i="77"/>
  <c r="X12015" i="77"/>
  <c r="Z12015" i="77"/>
  <c r="AB12015" i="77"/>
  <c r="AD12015" i="77"/>
  <c r="AF12015" i="77"/>
  <c r="AH12015" i="77"/>
  <c r="AJ12015" i="77"/>
  <c r="AL12015" i="77"/>
  <c r="AN12015" i="77"/>
  <c r="AP12015" i="77"/>
  <c r="AR12015" i="77"/>
  <c r="AT12015" i="77"/>
  <c r="AV12015" i="77"/>
  <c r="AX12015" i="77"/>
  <c r="AZ12015" i="77"/>
  <c r="BB12015" i="77"/>
  <c r="BD12015" i="77"/>
  <c r="BF12015" i="77"/>
  <c r="BH12015" i="77"/>
  <c r="BJ12015" i="77"/>
  <c r="BL12015" i="77"/>
  <c r="BN12015" i="77"/>
  <c r="BP12015" i="77"/>
  <c r="BR12015" i="77"/>
  <c r="BT12015" i="77"/>
  <c r="BV12015" i="77"/>
  <c r="BX12015" i="77"/>
  <c r="BZ12015" i="77"/>
  <c r="B12016" i="77"/>
  <c r="D12016" i="77"/>
  <c r="F12016" i="77"/>
  <c r="H12016" i="77"/>
  <c r="J12016" i="77"/>
  <c r="L12016" i="77"/>
  <c r="N12016" i="77"/>
  <c r="P12016" i="77"/>
  <c r="R12016" i="77"/>
  <c r="T12016" i="77"/>
  <c r="V12016" i="77"/>
  <c r="X12016" i="77"/>
  <c r="Z12016" i="77"/>
  <c r="AB12016" i="77"/>
  <c r="AD12016" i="77"/>
  <c r="AF12016" i="77"/>
  <c r="AH12016" i="77"/>
  <c r="AJ12016" i="77"/>
  <c r="AL12016" i="77"/>
  <c r="AN12016" i="77"/>
  <c r="AP12016" i="77"/>
  <c r="AR12016" i="77"/>
  <c r="AT12016" i="77"/>
  <c r="AV12016" i="77"/>
  <c r="AX12016" i="77"/>
  <c r="AZ12016" i="77"/>
  <c r="BB12016" i="77"/>
  <c r="BD12016" i="77"/>
  <c r="BF12016" i="77"/>
  <c r="BH12016" i="77"/>
  <c r="BJ12016" i="77"/>
  <c r="BL12016" i="77"/>
  <c r="BN12016" i="77"/>
  <c r="BP12016" i="77"/>
  <c r="BR12016" i="77"/>
  <c r="BT12016" i="77"/>
  <c r="BV12016" i="77"/>
  <c r="BX12016" i="77"/>
  <c r="BZ12016" i="77"/>
  <c r="B12017" i="77"/>
  <c r="D12017" i="77"/>
  <c r="F12017" i="77"/>
  <c r="H12017" i="77"/>
  <c r="J12017" i="77"/>
  <c r="L12017" i="77"/>
  <c r="N12017" i="77"/>
  <c r="P12017" i="77"/>
  <c r="R12017" i="77"/>
  <c r="T12017" i="77"/>
  <c r="V12017" i="77"/>
  <c r="X12017" i="77"/>
  <c r="Z12017" i="77"/>
  <c r="AB12017" i="77"/>
  <c r="AD12017" i="77"/>
  <c r="AF12017" i="77"/>
  <c r="AH12017" i="77"/>
  <c r="AJ12017" i="77"/>
  <c r="AL12017" i="77"/>
  <c r="AN12017" i="77"/>
  <c r="AP12017" i="77"/>
  <c r="AR12017" i="77"/>
  <c r="AT12017" i="77"/>
  <c r="AV12017" i="77"/>
  <c r="AX12017" i="77"/>
  <c r="AZ12017" i="77"/>
  <c r="BB12017" i="77"/>
  <c r="BD12017" i="77"/>
  <c r="BF12017" i="77"/>
  <c r="BH12017" i="77"/>
  <c r="BJ12017" i="77"/>
  <c r="BL12017" i="77"/>
  <c r="BN12017" i="77"/>
  <c r="BP12017" i="77"/>
  <c r="BR12017" i="77"/>
  <c r="BT12017" i="77"/>
  <c r="BV12017" i="77"/>
  <c r="BX12017" i="77"/>
  <c r="BZ12017" i="77"/>
  <c r="B12018" i="77"/>
  <c r="D12018" i="77"/>
  <c r="F12018" i="77"/>
  <c r="H12018" i="77"/>
  <c r="J12018" i="77"/>
  <c r="L12018" i="77"/>
  <c r="N12018" i="77"/>
  <c r="P12018" i="77"/>
  <c r="R12018" i="77"/>
  <c r="T12018" i="77"/>
  <c r="V12018" i="77"/>
  <c r="X12018" i="77"/>
  <c r="Z12018" i="77"/>
  <c r="AB12018" i="77"/>
  <c r="E12017" i="77"/>
  <c r="I12017" i="77"/>
  <c r="M12017" i="77"/>
  <c r="Q12017" i="77"/>
  <c r="U12017" i="77"/>
  <c r="Y12017" i="77"/>
  <c r="AC12017" i="77"/>
  <c r="AG12017" i="77"/>
  <c r="AK12017" i="77"/>
  <c r="AO12017" i="77"/>
  <c r="AS12017" i="77"/>
  <c r="AW12017" i="77"/>
  <c r="BA12017" i="77"/>
  <c r="BE12017" i="77"/>
  <c r="BI12017" i="77"/>
  <c r="BM12017" i="77"/>
  <c r="BQ12017" i="77"/>
  <c r="BU12017" i="77"/>
  <c r="BY12017" i="77"/>
  <c r="C12018" i="77"/>
  <c r="G12018" i="77"/>
  <c r="K12018" i="77"/>
  <c r="O12018" i="77"/>
  <c r="S12018" i="77"/>
  <c r="W12018" i="77"/>
  <c r="AA12018" i="77"/>
  <c r="AD12018" i="77"/>
  <c r="AF12018" i="77"/>
  <c r="AH12018" i="77"/>
  <c r="AJ12018" i="77"/>
  <c r="AL12018" i="77"/>
  <c r="AN12018" i="77"/>
  <c r="AP12018" i="77"/>
  <c r="AR12018" i="77"/>
  <c r="AT12018" i="77"/>
  <c r="AV12018" i="77"/>
  <c r="AX12018" i="77"/>
  <c r="AZ12018" i="77"/>
  <c r="BB12018" i="77"/>
  <c r="BD12018" i="77"/>
  <c r="BF12018" i="77"/>
  <c r="BH12018" i="77"/>
  <c r="BJ12018" i="77"/>
  <c r="BL12018" i="77"/>
  <c r="BN12018" i="77"/>
  <c r="BP12018" i="77"/>
  <c r="BR12018" i="77"/>
  <c r="BT12018" i="77"/>
  <c r="BV12018" i="77"/>
  <c r="BX12018" i="77"/>
  <c r="BZ12018" i="77"/>
  <c r="B12019" i="77"/>
  <c r="D12019" i="77"/>
  <c r="F12019" i="77"/>
  <c r="H12019" i="77"/>
  <c r="J12019" i="77"/>
  <c r="L12019" i="77"/>
  <c r="N12019" i="77"/>
  <c r="P12019" i="77"/>
  <c r="R12019" i="77"/>
  <c r="T12019" i="77"/>
  <c r="V12019" i="77"/>
  <c r="X12019" i="77"/>
  <c r="Z12019" i="77"/>
  <c r="AB12019" i="77"/>
  <c r="AD12019" i="77"/>
  <c r="AF12019" i="77"/>
  <c r="AH12019" i="77"/>
  <c r="AJ12019" i="77"/>
  <c r="AL12019" i="77"/>
  <c r="AN12019" i="77"/>
  <c r="AP12019" i="77"/>
  <c r="AR12019" i="77"/>
  <c r="AT12019" i="77"/>
  <c r="AV12019" i="77"/>
  <c r="AX12019" i="77"/>
  <c r="AZ12019" i="77"/>
  <c r="BB12019" i="77"/>
  <c r="BD12019" i="77"/>
  <c r="BF12019" i="77"/>
  <c r="BH12019" i="77"/>
  <c r="BJ12019" i="77"/>
  <c r="BL12019" i="77"/>
  <c r="BN12019" i="77"/>
  <c r="BP12019" i="77"/>
  <c r="BR12019" i="77"/>
  <c r="BT12019" i="77"/>
  <c r="BV12019" i="77"/>
  <c r="BX12019" i="77"/>
  <c r="BZ12019" i="77"/>
  <c r="B12020" i="77"/>
  <c r="D12020" i="77"/>
  <c r="F12020" i="77"/>
  <c r="H12020" i="77"/>
  <c r="J12020" i="77"/>
  <c r="L12020" i="77"/>
  <c r="N12020" i="77"/>
  <c r="P12020" i="77"/>
  <c r="R12020" i="77"/>
  <c r="T12020" i="77"/>
  <c r="V12020" i="77"/>
  <c r="X12020" i="77"/>
  <c r="Z12020" i="77"/>
  <c r="AB12020" i="77"/>
  <c r="AD12020" i="77"/>
  <c r="AF12020" i="77"/>
  <c r="AH12020" i="77"/>
  <c r="AJ12020" i="77"/>
  <c r="AL12020" i="77"/>
  <c r="AN12020" i="77"/>
  <c r="AP12020" i="77"/>
  <c r="AR12020" i="77"/>
  <c r="AT12020" i="77"/>
  <c r="AV12020" i="77"/>
  <c r="AX12020" i="77"/>
  <c r="AZ12020" i="77"/>
  <c r="BB12020" i="77"/>
  <c r="BD12020" i="77"/>
  <c r="BF12020" i="77"/>
  <c r="BH12020" i="77"/>
  <c r="BJ12020" i="77"/>
  <c r="BL12020" i="77"/>
  <c r="BN12020" i="77"/>
  <c r="BP12020" i="77"/>
  <c r="BR12020" i="77"/>
  <c r="BT12020" i="77"/>
  <c r="BV12020" i="77"/>
  <c r="BX12020" i="77"/>
  <c r="BZ12020" i="77"/>
  <c r="B12021" i="77"/>
  <c r="D12021" i="77"/>
  <c r="F12021" i="77"/>
  <c r="H12021" i="77"/>
  <c r="J12021" i="77"/>
  <c r="L12021" i="77"/>
  <c r="N12021" i="77"/>
  <c r="P12021" i="77"/>
  <c r="R12021" i="77"/>
  <c r="T12021" i="77"/>
  <c r="V12021" i="77"/>
  <c r="X12021" i="77"/>
  <c r="Z12021" i="77"/>
  <c r="AB12021" i="77"/>
  <c r="AD12021" i="77"/>
  <c r="AF12021" i="77"/>
  <c r="AH12021" i="77"/>
  <c r="AJ12021" i="77"/>
  <c r="AL12021" i="77"/>
  <c r="AN12021" i="77"/>
  <c r="AP12021" i="77"/>
  <c r="AR12021" i="77"/>
  <c r="AT12021" i="77"/>
  <c r="AV12021" i="77"/>
  <c r="AX12021" i="77"/>
  <c r="AZ12021" i="77"/>
  <c r="BB12021" i="77"/>
  <c r="BD12021" i="77"/>
  <c r="BF12021" i="77"/>
  <c r="BH12021" i="77"/>
  <c r="BJ12021" i="77"/>
  <c r="BL12021" i="77"/>
  <c r="BN12021" i="77"/>
  <c r="BP12021" i="77"/>
  <c r="BR12021" i="77"/>
  <c r="BT12021" i="77"/>
  <c r="BV12021" i="77"/>
  <c r="BX12021" i="77"/>
  <c r="BZ12021" i="77"/>
  <c r="B12022" i="77"/>
  <c r="D12022" i="77"/>
  <c r="G12017" i="77"/>
  <c r="K12017" i="77"/>
  <c r="O12017" i="77"/>
  <c r="S12017" i="77"/>
  <c r="W12017" i="77"/>
  <c r="AA12017" i="77"/>
  <c r="AE12017" i="77"/>
  <c r="AI12017" i="77"/>
  <c r="AM12017" i="77"/>
  <c r="AQ12017" i="77"/>
  <c r="AU12017" i="77"/>
  <c r="AY12017" i="77"/>
  <c r="BC12017" i="77"/>
  <c r="BG12017" i="77"/>
  <c r="BK12017" i="77"/>
  <c r="BO12017" i="77"/>
  <c r="BS12017" i="77"/>
  <c r="BW12017" i="77"/>
  <c r="A12018" i="77"/>
  <c r="E12018" i="77"/>
  <c r="I12018" i="77"/>
  <c r="M12018" i="77"/>
  <c r="Q12018" i="77"/>
  <c r="U12018" i="77"/>
  <c r="Y12018" i="77"/>
  <c r="AC12018" i="77"/>
  <c r="AE12018" i="77"/>
  <c r="AG12018" i="77"/>
  <c r="AI12018" i="77"/>
  <c r="AK12018" i="77"/>
  <c r="AM12018" i="77"/>
  <c r="AO12018" i="77"/>
  <c r="AQ12018" i="77"/>
  <c r="AS12018" i="77"/>
  <c r="AU12018" i="77"/>
  <c r="AW12018" i="77"/>
  <c r="AY12018" i="77"/>
  <c r="BA12018" i="77"/>
  <c r="BC12018" i="77"/>
  <c r="BE12018" i="77"/>
  <c r="BG12018" i="77"/>
  <c r="BI12018" i="77"/>
  <c r="BK12018" i="77"/>
  <c r="BM12018" i="77"/>
  <c r="BO12018" i="77"/>
  <c r="BQ12018" i="77"/>
  <c r="BS12018" i="77"/>
  <c r="BU12018" i="77"/>
  <c r="BW12018" i="77"/>
  <c r="BY12018" i="77"/>
  <c r="A12019" i="77"/>
  <c r="C12019" i="77"/>
  <c r="E12019" i="77"/>
  <c r="G12019" i="77"/>
  <c r="I12019" i="77"/>
  <c r="K12019" i="77"/>
  <c r="M12019" i="77"/>
  <c r="O12019" i="77"/>
  <c r="Q12019" i="77"/>
  <c r="S12019" i="77"/>
  <c r="U12019" i="77"/>
  <c r="W12019" i="77"/>
  <c r="Y12019" i="77"/>
  <c r="AA12019" i="77"/>
  <c r="AC12019" i="77"/>
  <c r="AE12019" i="77"/>
  <c r="AG12019" i="77"/>
  <c r="AI12019" i="77"/>
  <c r="AK12019" i="77"/>
  <c r="AM12019" i="77"/>
  <c r="AO12019" i="77"/>
  <c r="AQ12019" i="77"/>
  <c r="AS12019" i="77"/>
  <c r="AU12019" i="77"/>
  <c r="AW12019" i="77"/>
  <c r="AY12019" i="77"/>
  <c r="BA12019" i="77"/>
  <c r="BC12019" i="77"/>
  <c r="BE12019" i="77"/>
  <c r="BG12019" i="77"/>
  <c r="BI12019" i="77"/>
  <c r="BK12019" i="77"/>
  <c r="BM12019" i="77"/>
  <c r="BO12019" i="77"/>
  <c r="BQ12019" i="77"/>
  <c r="BS12019" i="77"/>
  <c r="BU12019" i="77"/>
  <c r="BW12019" i="77"/>
  <c r="BY12019" i="77"/>
  <c r="A12020" i="77"/>
  <c r="C12020" i="77"/>
  <c r="E12020" i="77"/>
  <c r="G12020" i="77"/>
  <c r="I12020" i="77"/>
  <c r="K12020" i="77"/>
  <c r="M12020" i="77"/>
  <c r="O12020" i="77"/>
  <c r="Q12020" i="77"/>
  <c r="S12020" i="77"/>
  <c r="U12020" i="77"/>
  <c r="W12020" i="77"/>
  <c r="Y12020" i="77"/>
  <c r="AA12020" i="77"/>
  <c r="AC12020" i="77"/>
  <c r="AE12020" i="77"/>
  <c r="AG12020" i="77"/>
  <c r="AI12020" i="77"/>
  <c r="AK12020" i="77"/>
  <c r="AM12020" i="77"/>
  <c r="AO12020" i="77"/>
  <c r="AQ12020" i="77"/>
  <c r="AS12020" i="77"/>
  <c r="AU12020" i="77"/>
  <c r="AW12020" i="77"/>
  <c r="AY12020" i="77"/>
  <c r="BA12020" i="77"/>
  <c r="BC12020" i="77"/>
  <c r="BE12020" i="77"/>
  <c r="BG12020" i="77"/>
  <c r="BI12020" i="77"/>
  <c r="BK12020" i="77"/>
  <c r="BM12020" i="77"/>
  <c r="BO12020" i="77"/>
  <c r="BQ12020" i="77"/>
  <c r="BS12020" i="77"/>
  <c r="BU12020" i="77"/>
  <c r="BW12020" i="77"/>
  <c r="BY12020" i="77"/>
  <c r="A12021" i="77"/>
  <c r="C12021" i="77"/>
  <c r="E12021" i="77"/>
  <c r="G12021" i="77"/>
  <c r="I12021" i="77"/>
  <c r="K12021" i="77"/>
  <c r="M12021" i="77"/>
  <c r="O12021" i="77"/>
  <c r="Q12021" i="77"/>
  <c r="S12021" i="77"/>
  <c r="U12021" i="77"/>
  <c r="W12021" i="77"/>
  <c r="Y12021" i="77"/>
  <c r="AA12021" i="77"/>
  <c r="AC12021" i="77"/>
  <c r="AE12021" i="77"/>
  <c r="AG12021" i="77"/>
  <c r="AI12021" i="77"/>
  <c r="AK12021" i="77"/>
  <c r="AM12021" i="77"/>
  <c r="AO12021" i="77"/>
  <c r="AQ12021" i="77"/>
  <c r="AS12021" i="77"/>
  <c r="AU12021" i="77"/>
  <c r="AW12021" i="77"/>
  <c r="AY12021" i="77"/>
  <c r="BA12021" i="77"/>
  <c r="BC12021" i="77"/>
  <c r="BE12021" i="77"/>
  <c r="BG12021" i="77"/>
  <c r="BI12021" i="77"/>
  <c r="BK12021" i="77"/>
  <c r="BM12021" i="77"/>
  <c r="BO12021" i="77"/>
  <c r="BQ12021" i="77"/>
  <c r="BS12021" i="77"/>
  <c r="BU12021" i="77"/>
  <c r="BW12021" i="77"/>
  <c r="BY12021" i="77"/>
  <c r="A12022" i="77"/>
  <c r="C12022" i="77"/>
  <c r="E12022" i="77"/>
  <c r="G12022" i="77"/>
  <c r="I12022" i="77"/>
  <c r="K12022" i="77"/>
  <c r="M12022" i="77"/>
  <c r="O12022" i="77"/>
  <c r="Q12022" i="77"/>
  <c r="S12022" i="77"/>
  <c r="U12022" i="77"/>
  <c r="W12022" i="77"/>
  <c r="Y12022" i="77"/>
  <c r="AA12022" i="77"/>
  <c r="AC12022" i="77"/>
  <c r="AE12022" i="77"/>
  <c r="AG12022" i="77"/>
  <c r="AI12022" i="77"/>
  <c r="AK12022" i="77"/>
  <c r="AM12022" i="77"/>
  <c r="AO12022" i="77"/>
  <c r="AQ12022" i="77"/>
  <c r="AS12022" i="77"/>
  <c r="AU12022" i="77"/>
  <c r="AW12022" i="77"/>
  <c r="AY12022" i="77"/>
  <c r="BA12022" i="77"/>
  <c r="BC12022" i="77"/>
  <c r="BE12022" i="77"/>
  <c r="BG12022" i="77"/>
  <c r="BI12022" i="77"/>
  <c r="BK12022" i="77"/>
  <c r="BM12022" i="77"/>
  <c r="BO12022" i="77"/>
  <c r="BQ12022" i="77"/>
  <c r="BS12022" i="77"/>
  <c r="BU12022" i="77"/>
  <c r="BW12022" i="77"/>
  <c r="BY12022" i="77"/>
  <c r="A12023" i="77"/>
  <c r="C12023" i="77"/>
  <c r="E12023" i="77"/>
  <c r="G12023" i="77"/>
  <c r="F12022" i="77"/>
  <c r="J12022" i="77"/>
  <c r="N12022" i="77"/>
  <c r="R12022" i="77"/>
  <c r="V12022" i="77"/>
  <c r="Z12022" i="77"/>
  <c r="AD12022" i="77"/>
  <c r="AH12022" i="77"/>
  <c r="AL12022" i="77"/>
  <c r="AP12022" i="77"/>
  <c r="AT12022" i="77"/>
  <c r="AX12022" i="77"/>
  <c r="BB12022" i="77"/>
  <c r="BF12022" i="77"/>
  <c r="BJ12022" i="77"/>
  <c r="BN12022" i="77"/>
  <c r="BR12022" i="77"/>
  <c r="BV12022" i="77"/>
  <c r="BZ12022" i="77"/>
  <c r="D12023" i="77"/>
  <c r="H12023" i="77"/>
  <c r="J12023" i="77"/>
  <c r="L12023" i="77"/>
  <c r="N12023" i="77"/>
  <c r="P12023" i="77"/>
  <c r="R12023" i="77"/>
  <c r="T12023" i="77"/>
  <c r="V12023" i="77"/>
  <c r="X12023" i="77"/>
  <c r="Z12023" i="77"/>
  <c r="AB12023" i="77"/>
  <c r="AD12023" i="77"/>
  <c r="AF12023" i="77"/>
  <c r="AH12023" i="77"/>
  <c r="AJ12023" i="77"/>
  <c r="AL12023" i="77"/>
  <c r="AN12023" i="77"/>
  <c r="AP12023" i="77"/>
  <c r="AR12023" i="77"/>
  <c r="AT12023" i="77"/>
  <c r="AV12023" i="77"/>
  <c r="AX12023" i="77"/>
  <c r="AZ12023" i="77"/>
  <c r="BB12023" i="77"/>
  <c r="BD12023" i="77"/>
  <c r="BF12023" i="77"/>
  <c r="BH12023" i="77"/>
  <c r="BJ12023" i="77"/>
  <c r="BL12023" i="77"/>
  <c r="BN12023" i="77"/>
  <c r="BP12023" i="77"/>
  <c r="BR12023" i="77"/>
  <c r="BT12023" i="77"/>
  <c r="BV12023" i="77"/>
  <c r="BX12023" i="77"/>
  <c r="BZ12023" i="77"/>
  <c r="B12024" i="77"/>
  <c r="D12024" i="77"/>
  <c r="F12024" i="77"/>
  <c r="H12024" i="77"/>
  <c r="J12024" i="77"/>
  <c r="L12024" i="77"/>
  <c r="N12024" i="77"/>
  <c r="P12024" i="77"/>
  <c r="R12024" i="77"/>
  <c r="T12024" i="77"/>
  <c r="V12024" i="77"/>
  <c r="X12024" i="77"/>
  <c r="Z12024" i="77"/>
  <c r="AB12024" i="77"/>
  <c r="AD12024" i="77"/>
  <c r="AF12024" i="77"/>
  <c r="AH12024" i="77"/>
  <c r="AJ12024" i="77"/>
  <c r="AL12024" i="77"/>
  <c r="AN12024" i="77"/>
  <c r="AP12024" i="77"/>
  <c r="AR12024" i="77"/>
  <c r="AT12024" i="77"/>
  <c r="AV12024" i="77"/>
  <c r="AX12024" i="77"/>
  <c r="AZ12024" i="77"/>
  <c r="BB12024" i="77"/>
  <c r="BD12024" i="77"/>
  <c r="BF12024" i="77"/>
  <c r="BH12024" i="77"/>
  <c r="BJ12024" i="77"/>
  <c r="BL12024" i="77"/>
  <c r="BN12024" i="77"/>
  <c r="BP12024" i="77"/>
  <c r="BR12024" i="77"/>
  <c r="BT12024" i="77"/>
  <c r="BV12024" i="77"/>
  <c r="BX12024" i="77"/>
  <c r="BZ12024" i="77"/>
  <c r="B12025" i="77"/>
  <c r="D12025" i="77"/>
  <c r="F12025" i="77"/>
  <c r="H12025" i="77"/>
  <c r="J12025" i="77"/>
  <c r="L12025" i="77"/>
  <c r="N12025" i="77"/>
  <c r="P12025" i="77"/>
  <c r="R12025" i="77"/>
  <c r="T12025" i="77"/>
  <c r="V12025" i="77"/>
  <c r="X12025" i="77"/>
  <c r="Z12025" i="77"/>
  <c r="AB12025" i="77"/>
  <c r="AD12025" i="77"/>
  <c r="AF12025" i="77"/>
  <c r="AH12025" i="77"/>
  <c r="AJ12025" i="77"/>
  <c r="AL12025" i="77"/>
  <c r="AN12025" i="77"/>
  <c r="AP12025" i="77"/>
  <c r="AR12025" i="77"/>
  <c r="AT12025" i="77"/>
  <c r="AV12025" i="77"/>
  <c r="AX12025" i="77"/>
  <c r="AZ12025" i="77"/>
  <c r="BB12025" i="77"/>
  <c r="BD12025" i="77"/>
  <c r="BF12025" i="77"/>
  <c r="BH12025" i="77"/>
  <c r="BJ12025" i="77"/>
  <c r="BL12025" i="77"/>
  <c r="BN12025" i="77"/>
  <c r="BP12025" i="77"/>
  <c r="BR12025" i="77"/>
  <c r="BT12025" i="77"/>
  <c r="BV12025" i="77"/>
  <c r="BX12025" i="77"/>
  <c r="BZ12025" i="77"/>
  <c r="B12026" i="77"/>
  <c r="D12026" i="77"/>
  <c r="F12026" i="77"/>
  <c r="H12026" i="77"/>
  <c r="J12026" i="77"/>
  <c r="L12026" i="77"/>
  <c r="N12026" i="77"/>
  <c r="P12026" i="77"/>
  <c r="R12026" i="77"/>
  <c r="T12026" i="77"/>
  <c r="V12026" i="77"/>
  <c r="X12026" i="77"/>
  <c r="Z12026" i="77"/>
  <c r="AB12026" i="77"/>
  <c r="AD12026" i="77"/>
  <c r="AF12026" i="77"/>
  <c r="AH12026" i="77"/>
  <c r="AJ12026" i="77"/>
  <c r="AL12026" i="77"/>
  <c r="AN12026" i="77"/>
  <c r="AP12026" i="77"/>
  <c r="AR12026" i="77"/>
  <c r="AT12026" i="77"/>
  <c r="AV12026" i="77"/>
  <c r="AX12026" i="77"/>
  <c r="AZ12026" i="77"/>
  <c r="BB12026" i="77"/>
  <c r="BD12026" i="77"/>
  <c r="BF12026" i="77"/>
  <c r="BH12026" i="77"/>
  <c r="BJ12026" i="77"/>
  <c r="BL12026" i="77"/>
  <c r="BN12026" i="77"/>
  <c r="BP12026" i="77"/>
  <c r="BR12026" i="77"/>
  <c r="BT12026" i="77"/>
  <c r="BV12026" i="77"/>
  <c r="BX12026" i="77"/>
  <c r="BZ12026" i="77"/>
  <c r="B12027" i="77"/>
  <c r="D12027" i="77"/>
  <c r="F12027" i="77"/>
  <c r="H12027" i="77"/>
  <c r="J12027" i="77"/>
  <c r="L12027" i="77"/>
  <c r="N12027" i="77"/>
  <c r="P12027" i="77"/>
  <c r="R12027" i="77"/>
  <c r="T12027" i="77"/>
  <c r="V12027" i="77"/>
  <c r="X12027" i="77"/>
  <c r="Z12027" i="77"/>
  <c r="AB12027" i="77"/>
  <c r="AD12027" i="77"/>
  <c r="AF12027" i="77"/>
  <c r="AH12027" i="77"/>
  <c r="AJ12027" i="77"/>
  <c r="AL12027" i="77"/>
  <c r="AN12027" i="77"/>
  <c r="AP12027" i="77"/>
  <c r="AR12027" i="77"/>
  <c r="AT12027" i="77"/>
  <c r="AV12027" i="77"/>
  <c r="AX12027" i="77"/>
  <c r="AZ12027" i="77"/>
  <c r="BB12027" i="77"/>
  <c r="BD12027" i="77"/>
  <c r="BF12027" i="77"/>
  <c r="BH12027" i="77"/>
  <c r="BJ12027" i="77"/>
  <c r="BL12027" i="77"/>
  <c r="BN12027" i="77"/>
  <c r="BP12027" i="77"/>
  <c r="BR12027" i="77"/>
  <c r="BT12027" i="77"/>
  <c r="BV12027" i="77"/>
  <c r="BX12027" i="77"/>
  <c r="BZ12027" i="77"/>
  <c r="B12028" i="77"/>
  <c r="D12028" i="77"/>
  <c r="F12028" i="77"/>
  <c r="H12028" i="77"/>
  <c r="J12028" i="77"/>
  <c r="L12028" i="77"/>
  <c r="N12028" i="77"/>
  <c r="P12028" i="77"/>
  <c r="R12028" i="77"/>
  <c r="T12028" i="77"/>
  <c r="V12028" i="77"/>
  <c r="X12028" i="77"/>
  <c r="Z12028" i="77"/>
  <c r="AB12028" i="77"/>
  <c r="AD12028" i="77"/>
  <c r="AF12028" i="77"/>
  <c r="AH12028" i="77"/>
  <c r="AJ12028" i="77"/>
  <c r="AL12028" i="77"/>
  <c r="AN12028" i="77"/>
  <c r="AP12028" i="77"/>
  <c r="AR12028" i="77"/>
  <c r="AT12028" i="77"/>
  <c r="AV12028" i="77"/>
  <c r="AX12028" i="77"/>
  <c r="AZ12028" i="77"/>
  <c r="BB12028" i="77"/>
  <c r="BD12028" i="77"/>
  <c r="BF12028" i="77"/>
  <c r="BH12028" i="77"/>
  <c r="BJ12028" i="77"/>
  <c r="BL12028" i="77"/>
  <c r="BN12028" i="77"/>
  <c r="BP12028" i="77"/>
  <c r="BR12028" i="77"/>
  <c r="BT12028" i="77"/>
  <c r="BV12028" i="77"/>
  <c r="BX12028" i="77"/>
  <c r="BZ12028" i="77"/>
  <c r="B12029" i="77"/>
  <c r="D12029" i="77"/>
  <c r="F12029" i="77"/>
  <c r="H12029" i="77"/>
  <c r="J12029" i="77"/>
  <c r="L12029" i="77"/>
  <c r="N12029" i="77"/>
  <c r="P12029" i="77"/>
  <c r="R12029" i="77"/>
  <c r="T12029" i="77"/>
  <c r="V12029" i="77"/>
  <c r="X12029" i="77"/>
  <c r="Z12029" i="77"/>
  <c r="AB12029" i="77"/>
  <c r="AD12029" i="77"/>
  <c r="AF12029" i="77"/>
  <c r="AH12029" i="77"/>
  <c r="AJ12029" i="77"/>
  <c r="AL12029" i="77"/>
  <c r="AN12029" i="77"/>
  <c r="AP12029" i="77"/>
  <c r="AR12029" i="77"/>
  <c r="AT12029" i="77"/>
  <c r="AV12029" i="77"/>
  <c r="AX12029" i="77"/>
  <c r="AZ12029" i="77"/>
  <c r="BB12029" i="77"/>
  <c r="BD12029" i="77"/>
  <c r="BF12029" i="77"/>
  <c r="BH12029" i="77"/>
  <c r="BJ12029" i="77"/>
  <c r="BL12029" i="77"/>
  <c r="BN12029" i="77"/>
  <c r="BP12029" i="77"/>
  <c r="BR12029" i="77"/>
  <c r="BT12029" i="77"/>
  <c r="BV12029" i="77"/>
  <c r="BX12029" i="77"/>
  <c r="BZ12029" i="77"/>
  <c r="B12030" i="77"/>
  <c r="D12030" i="77"/>
  <c r="F12030" i="77"/>
  <c r="H12030" i="77"/>
  <c r="J12030" i="77"/>
  <c r="L12030" i="77"/>
  <c r="N12030" i="77"/>
  <c r="P12030" i="77"/>
  <c r="H12022" i="77"/>
  <c r="L12022" i="77"/>
  <c r="P12022" i="77"/>
  <c r="T12022" i="77"/>
  <c r="X12022" i="77"/>
  <c r="AB12022" i="77"/>
  <c r="AF12022" i="77"/>
  <c r="AJ12022" i="77"/>
  <c r="AN12022" i="77"/>
  <c r="AR12022" i="77"/>
  <c r="AV12022" i="77"/>
  <c r="AZ12022" i="77"/>
  <c r="BD12022" i="77"/>
  <c r="BH12022" i="77"/>
  <c r="BL12022" i="77"/>
  <c r="BP12022" i="77"/>
  <c r="BT12022" i="77"/>
  <c r="BX12022" i="77"/>
  <c r="B12023" i="77"/>
  <c r="F12023" i="77"/>
  <c r="I12023" i="77"/>
  <c r="K12023" i="77"/>
  <c r="M12023" i="77"/>
  <c r="O12023" i="77"/>
  <c r="Q12023" i="77"/>
  <c r="S12023" i="77"/>
  <c r="U12023" i="77"/>
  <c r="W12023" i="77"/>
  <c r="Y12023" i="77"/>
  <c r="AA12023" i="77"/>
  <c r="AC12023" i="77"/>
  <c r="AE12023" i="77"/>
  <c r="AG12023" i="77"/>
  <c r="AI12023" i="77"/>
  <c r="AK12023" i="77"/>
  <c r="AM12023" i="77"/>
  <c r="AO12023" i="77"/>
  <c r="AQ12023" i="77"/>
  <c r="AS12023" i="77"/>
  <c r="AU12023" i="77"/>
  <c r="AW12023" i="77"/>
  <c r="AY12023" i="77"/>
  <c r="BA12023" i="77"/>
  <c r="BC12023" i="77"/>
  <c r="BE12023" i="77"/>
  <c r="BG12023" i="77"/>
  <c r="BI12023" i="77"/>
  <c r="BK12023" i="77"/>
  <c r="BM12023" i="77"/>
  <c r="BO12023" i="77"/>
  <c r="BQ12023" i="77"/>
  <c r="BS12023" i="77"/>
  <c r="BU12023" i="77"/>
  <c r="BW12023" i="77"/>
  <c r="BY12023" i="77"/>
  <c r="A12024" i="77"/>
  <c r="C12024" i="77"/>
  <c r="E12024" i="77"/>
  <c r="G12024" i="77"/>
  <c r="I12024" i="77"/>
  <c r="K12024" i="77"/>
  <c r="M12024" i="77"/>
  <c r="O12024" i="77"/>
  <c r="Q12024" i="77"/>
  <c r="S12024" i="77"/>
  <c r="U12024" i="77"/>
  <c r="W12024" i="77"/>
  <c r="Y12024" i="77"/>
  <c r="AA12024" i="77"/>
  <c r="AC12024" i="77"/>
  <c r="AE12024" i="77"/>
  <c r="AG12024" i="77"/>
  <c r="AI12024" i="77"/>
  <c r="AK12024" i="77"/>
  <c r="AM12024" i="77"/>
  <c r="AO12024" i="77"/>
  <c r="AQ12024" i="77"/>
  <c r="AS12024" i="77"/>
  <c r="AU12024" i="77"/>
  <c r="AW12024" i="77"/>
  <c r="AY12024" i="77"/>
  <c r="BA12024" i="77"/>
  <c r="BC12024" i="77"/>
  <c r="BE12024" i="77"/>
  <c r="BG12024" i="77"/>
  <c r="BI12024" i="77"/>
  <c r="BK12024" i="77"/>
  <c r="BM12024" i="77"/>
  <c r="BO12024" i="77"/>
  <c r="BQ12024" i="77"/>
  <c r="BS12024" i="77"/>
  <c r="BU12024" i="77"/>
  <c r="BW12024" i="77"/>
  <c r="BY12024" i="77"/>
  <c r="A12025" i="77"/>
  <c r="C12025" i="77"/>
  <c r="E12025" i="77"/>
  <c r="G12025" i="77"/>
  <c r="I12025" i="77"/>
  <c r="K12025" i="77"/>
  <c r="M12025" i="77"/>
  <c r="O12025" i="77"/>
  <c r="Q12025" i="77"/>
  <c r="S12025" i="77"/>
  <c r="U12025" i="77"/>
  <c r="W12025" i="77"/>
  <c r="Y12025" i="77"/>
  <c r="AA12025" i="77"/>
  <c r="AC12025" i="77"/>
  <c r="AE12025" i="77"/>
  <c r="AG12025" i="77"/>
  <c r="AI12025" i="77"/>
  <c r="AK12025" i="77"/>
  <c r="AM12025" i="77"/>
  <c r="AO12025" i="77"/>
  <c r="AQ12025" i="77"/>
  <c r="AS12025" i="77"/>
  <c r="AU12025" i="77"/>
  <c r="AW12025" i="77"/>
  <c r="AY12025" i="77"/>
  <c r="BA12025" i="77"/>
  <c r="BC12025" i="77"/>
  <c r="BE12025" i="77"/>
  <c r="BG12025" i="77"/>
  <c r="BI12025" i="77"/>
  <c r="BK12025" i="77"/>
  <c r="BM12025" i="77"/>
  <c r="BO12025" i="77"/>
  <c r="BQ12025" i="77"/>
  <c r="BS12025" i="77"/>
  <c r="BU12025" i="77"/>
  <c r="BW12025" i="77"/>
  <c r="BY12025" i="77"/>
  <c r="A12026" i="77"/>
  <c r="C12026" i="77"/>
  <c r="E12026" i="77"/>
  <c r="G12026" i="77"/>
  <c r="I12026" i="77"/>
  <c r="K12026" i="77"/>
  <c r="M12026" i="77"/>
  <c r="O12026" i="77"/>
  <c r="Q12026" i="77"/>
  <c r="S12026" i="77"/>
  <c r="U12026" i="77"/>
  <c r="W12026" i="77"/>
  <c r="Y12026" i="77"/>
  <c r="AA12026" i="77"/>
  <c r="AC12026" i="77"/>
  <c r="AE12026" i="77"/>
  <c r="AG12026" i="77"/>
  <c r="AI12026" i="77"/>
  <c r="AK12026" i="77"/>
  <c r="AM12026" i="77"/>
  <c r="AO12026" i="77"/>
  <c r="AQ12026" i="77"/>
  <c r="AS12026" i="77"/>
  <c r="AU12026" i="77"/>
  <c r="AW12026" i="77"/>
  <c r="AY12026" i="77"/>
  <c r="BA12026" i="77"/>
  <c r="BC12026" i="77"/>
  <c r="BE12026" i="77"/>
  <c r="BG12026" i="77"/>
  <c r="BI12026" i="77"/>
  <c r="BK12026" i="77"/>
  <c r="BM12026" i="77"/>
  <c r="BO12026" i="77"/>
  <c r="BQ12026" i="77"/>
  <c r="BS12026" i="77"/>
  <c r="BU12026" i="77"/>
  <c r="BW12026" i="77"/>
  <c r="BY12026" i="77"/>
  <c r="A12027" i="77"/>
  <c r="C12027" i="77"/>
  <c r="E12027" i="77"/>
  <c r="G12027" i="77"/>
  <c r="I12027" i="77"/>
  <c r="K12027" i="77"/>
  <c r="M12027" i="77"/>
  <c r="O12027" i="77"/>
  <c r="Q12027" i="77"/>
  <c r="S12027" i="77"/>
  <c r="U12027" i="77"/>
  <c r="W12027" i="77"/>
  <c r="Y12027" i="77"/>
  <c r="AA12027" i="77"/>
  <c r="AC12027" i="77"/>
  <c r="AE12027" i="77"/>
  <c r="AG12027" i="77"/>
  <c r="AI12027" i="77"/>
  <c r="AK12027" i="77"/>
  <c r="AM12027" i="77"/>
  <c r="AO12027" i="77"/>
  <c r="AQ12027" i="77"/>
  <c r="AS12027" i="77"/>
  <c r="AU12027" i="77"/>
  <c r="AW12027" i="77"/>
  <c r="AY12027" i="77"/>
  <c r="BA12027" i="77"/>
  <c r="BC12027" i="77"/>
  <c r="BE12027" i="77"/>
  <c r="BG12027" i="77"/>
  <c r="BI12027" i="77"/>
  <c r="BK12027" i="77"/>
  <c r="BM12027" i="77"/>
  <c r="BO12027" i="77"/>
  <c r="BQ12027" i="77"/>
  <c r="BS12027" i="77"/>
  <c r="BU12027" i="77"/>
  <c r="BW12027" i="77"/>
  <c r="BY12027" i="77"/>
  <c r="A12028" i="77"/>
  <c r="C12028" i="77"/>
  <c r="E12028" i="77"/>
  <c r="G12028" i="77"/>
  <c r="I12028" i="77"/>
  <c r="K12028" i="77"/>
  <c r="M12028" i="77"/>
  <c r="O12028" i="77"/>
  <c r="Q12028" i="77"/>
  <c r="S12028" i="77"/>
  <c r="U12028" i="77"/>
  <c r="W12028" i="77"/>
  <c r="Y12028" i="77"/>
  <c r="AA12028" i="77"/>
  <c r="AC12028" i="77"/>
  <c r="AE12028" i="77"/>
  <c r="AG12028" i="77"/>
  <c r="AI12028" i="77"/>
  <c r="AK12028" i="77"/>
  <c r="AM12028" i="77"/>
  <c r="AO12028" i="77"/>
  <c r="AQ12028" i="77"/>
  <c r="AS12028" i="77"/>
  <c r="AU12028" i="77"/>
  <c r="AW12028" i="77"/>
  <c r="AY12028" i="77"/>
  <c r="BA12028" i="77"/>
  <c r="BC12028" i="77"/>
  <c r="BE12028" i="77"/>
  <c r="BG12028" i="77"/>
  <c r="BI12028" i="77"/>
  <c r="BK12028" i="77"/>
  <c r="BM12028" i="77"/>
  <c r="BO12028" i="77"/>
  <c r="BQ12028" i="77"/>
  <c r="BS12028" i="77"/>
  <c r="BU12028" i="77"/>
  <c r="BW12028" i="77"/>
  <c r="BY12028" i="77"/>
  <c r="A12029" i="77"/>
  <c r="C12029" i="77"/>
  <c r="E12029" i="77"/>
  <c r="G12029" i="77"/>
  <c r="I12029" i="77"/>
  <c r="K12029" i="77"/>
  <c r="M12029" i="77"/>
  <c r="O12029" i="77"/>
  <c r="Q12029" i="77"/>
  <c r="S12029" i="77"/>
  <c r="U12029" i="77"/>
  <c r="W12029" i="77"/>
  <c r="Y12029" i="77"/>
  <c r="AA12029" i="77"/>
  <c r="AC12029" i="77"/>
  <c r="AE12029" i="77"/>
  <c r="AG12029" i="77"/>
  <c r="AI12029" i="77"/>
  <c r="AK12029" i="77"/>
  <c r="AM12029" i="77"/>
  <c r="AO12029" i="77"/>
  <c r="AQ12029" i="77"/>
  <c r="AS12029" i="77"/>
  <c r="AU12029" i="77"/>
  <c r="AW12029" i="77"/>
  <c r="AY12029" i="77"/>
  <c r="BA12029" i="77"/>
  <c r="BC12029" i="77"/>
  <c r="BE12029" i="77"/>
  <c r="BG12029" i="77"/>
  <c r="BI12029" i="77"/>
  <c r="BK12029" i="77"/>
  <c r="BM12029" i="77"/>
  <c r="BO12029" i="77"/>
  <c r="BQ12029" i="77"/>
  <c r="BS12029" i="77"/>
  <c r="BU12029" i="77"/>
  <c r="BW12029" i="77"/>
  <c r="BY12029" i="77"/>
  <c r="A12030" i="77"/>
  <c r="C12030" i="77"/>
  <c r="E12030" i="77"/>
  <c r="G12030" i="77"/>
  <c r="I12030" i="77"/>
  <c r="K12030" i="77"/>
  <c r="M12030" i="77"/>
  <c r="O12030" i="77"/>
  <c r="Q12030" i="77"/>
  <c r="S12030" i="77"/>
  <c r="U12030" i="77"/>
  <c r="W12030" i="77"/>
  <c r="Y12030" i="77"/>
  <c r="AA12030" i="77"/>
  <c r="AC12030" i="77"/>
  <c r="AE12030" i="77"/>
  <c r="AG12030" i="77"/>
  <c r="AI12030" i="77"/>
  <c r="AK12030" i="77"/>
  <c r="AM12030" i="77"/>
  <c r="AO12030" i="77"/>
  <c r="AQ12030" i="77"/>
  <c r="AS12030" i="77"/>
  <c r="AU12030" i="77"/>
  <c r="AW12030" i="77"/>
  <c r="AY12030" i="77"/>
  <c r="BA12030" i="77"/>
  <c r="BC12030" i="77"/>
  <c r="BE12030" i="77"/>
  <c r="BG12030" i="77"/>
  <c r="BI12030" i="77"/>
  <c r="BK12030" i="77"/>
  <c r="BM12030" i="77"/>
  <c r="BO12030" i="77"/>
  <c r="BQ12030" i="77"/>
  <c r="BS12030" i="77"/>
  <c r="BU12030" i="77"/>
  <c r="BW12030" i="77"/>
  <c r="BY12030" i="77"/>
  <c r="A12031" i="77"/>
  <c r="C12031" i="77"/>
  <c r="E12031" i="77"/>
  <c r="G12031" i="77"/>
  <c r="I12031" i="77"/>
  <c r="K12031" i="77"/>
  <c r="M12031" i="77"/>
  <c r="O12031" i="77"/>
  <c r="Q12031" i="77"/>
  <c r="S12031" i="77"/>
  <c r="U12031" i="77"/>
  <c r="W12031" i="77"/>
  <c r="Y12031" i="77"/>
  <c r="R12030" i="77"/>
  <c r="V12030" i="77"/>
  <c r="Z12030" i="77"/>
  <c r="AD12030" i="77"/>
  <c r="AH12030" i="77"/>
  <c r="AL12030" i="77"/>
  <c r="AP12030" i="77"/>
  <c r="AT12030" i="77"/>
  <c r="AX12030" i="77"/>
  <c r="BB12030" i="77"/>
  <c r="BF12030" i="77"/>
  <c r="BJ12030" i="77"/>
  <c r="BN12030" i="77"/>
  <c r="BR12030" i="77"/>
  <c r="BV12030" i="77"/>
  <c r="BZ12030" i="77"/>
  <c r="D12031" i="77"/>
  <c r="H12031" i="77"/>
  <c r="L12031" i="77"/>
  <c r="P12031" i="77"/>
  <c r="T12031" i="77"/>
  <c r="X12031" i="77"/>
  <c r="AA12031" i="77"/>
  <c r="AC12031" i="77"/>
  <c r="AE12031" i="77"/>
  <c r="AG12031" i="77"/>
  <c r="AI12031" i="77"/>
  <c r="AK12031" i="77"/>
  <c r="AM12031" i="77"/>
  <c r="AO12031" i="77"/>
  <c r="AQ12031" i="77"/>
  <c r="AS12031" i="77"/>
  <c r="AU12031" i="77"/>
  <c r="AW12031" i="77"/>
  <c r="AY12031" i="77"/>
  <c r="BA12031" i="77"/>
  <c r="BC12031" i="77"/>
  <c r="BE12031" i="77"/>
  <c r="BG12031" i="77"/>
  <c r="BI12031" i="77"/>
  <c r="BK12031" i="77"/>
  <c r="BM12031" i="77"/>
  <c r="BO12031" i="77"/>
  <c r="BQ12031" i="77"/>
  <c r="BS12031" i="77"/>
  <c r="BU12031" i="77"/>
  <c r="BW12031" i="77"/>
  <c r="BY12031" i="77"/>
  <c r="A12032" i="77"/>
  <c r="C12032" i="77"/>
  <c r="E12032" i="77"/>
  <c r="G12032" i="77"/>
  <c r="I12032" i="77"/>
  <c r="K12032" i="77"/>
  <c r="M12032" i="77"/>
  <c r="O12032" i="77"/>
  <c r="Q12032" i="77"/>
  <c r="S12032" i="77"/>
  <c r="U12032" i="77"/>
  <c r="W12032" i="77"/>
  <c r="Y12032" i="77"/>
  <c r="AA12032" i="77"/>
  <c r="AC12032" i="77"/>
  <c r="AE12032" i="77"/>
  <c r="AG12032" i="77"/>
  <c r="AI12032" i="77"/>
  <c r="AK12032" i="77"/>
  <c r="AM12032" i="77"/>
  <c r="AO12032" i="77"/>
  <c r="AQ12032" i="77"/>
  <c r="AS12032" i="77"/>
  <c r="AU12032" i="77"/>
  <c r="AW12032" i="77"/>
  <c r="AY12032" i="77"/>
  <c r="BA12032" i="77"/>
  <c r="BC12032" i="77"/>
  <c r="BE12032" i="77"/>
  <c r="BG12032" i="77"/>
  <c r="BI12032" i="77"/>
  <c r="BK12032" i="77"/>
  <c r="BM12032" i="77"/>
  <c r="BO12032" i="77"/>
  <c r="BQ12032" i="77"/>
  <c r="BS12032" i="77"/>
  <c r="BU12032" i="77"/>
  <c r="BW12032" i="77"/>
  <c r="BY12032" i="77"/>
  <c r="A12033" i="77"/>
  <c r="C12033" i="77"/>
  <c r="E12033" i="77"/>
  <c r="G12033" i="77"/>
  <c r="I12033" i="77"/>
  <c r="K12033" i="77"/>
  <c r="M12033" i="77"/>
  <c r="O12033" i="77"/>
  <c r="Q12033" i="77"/>
  <c r="S12033" i="77"/>
  <c r="U12033" i="77"/>
  <c r="W12033" i="77"/>
  <c r="Y12033" i="77"/>
  <c r="AA12033" i="77"/>
  <c r="AC12033" i="77"/>
  <c r="AE12033" i="77"/>
  <c r="AG12033" i="77"/>
  <c r="AI12033" i="77"/>
  <c r="AK12033" i="77"/>
  <c r="AM12033" i="77"/>
  <c r="AO12033" i="77"/>
  <c r="AQ12033" i="77"/>
  <c r="AS12033" i="77"/>
  <c r="AU12033" i="77"/>
  <c r="AW12033" i="77"/>
  <c r="AY12033" i="77"/>
  <c r="BA12033" i="77"/>
  <c r="BC12033" i="77"/>
  <c r="BE12033" i="77"/>
  <c r="BG12033" i="77"/>
  <c r="BI12033" i="77"/>
  <c r="BK12033" i="77"/>
  <c r="BM12033" i="77"/>
  <c r="BO12033" i="77"/>
  <c r="BQ12033" i="77"/>
  <c r="BS12033" i="77"/>
  <c r="BU12033" i="77"/>
  <c r="BW12033" i="77"/>
  <c r="BY12033" i="77"/>
  <c r="A12034" i="77"/>
  <c r="C12034" i="77"/>
  <c r="E12034" i="77"/>
  <c r="G12034" i="77"/>
  <c r="I12034" i="77"/>
  <c r="K12034" i="77"/>
  <c r="M12034" i="77"/>
  <c r="O12034" i="77"/>
  <c r="Q12034" i="77"/>
  <c r="S12034" i="77"/>
  <c r="U12034" i="77"/>
  <c r="W12034" i="77"/>
  <c r="Y12034" i="77"/>
  <c r="AA12034" i="77"/>
  <c r="AC12034" i="77"/>
  <c r="AE12034" i="77"/>
  <c r="AG12034" i="77"/>
  <c r="AI12034" i="77"/>
  <c r="AK12034" i="77"/>
  <c r="AM12034" i="77"/>
  <c r="AO12034" i="77"/>
  <c r="AQ12034" i="77"/>
  <c r="AS12034" i="77"/>
  <c r="AU12034" i="77"/>
  <c r="AW12034" i="77"/>
  <c r="AY12034" i="77"/>
  <c r="BA12034" i="77"/>
  <c r="BC12034" i="77"/>
  <c r="BE12034" i="77"/>
  <c r="BG12034" i="77"/>
  <c r="BI12034" i="77"/>
  <c r="BK12034" i="77"/>
  <c r="BM12034" i="77"/>
  <c r="BO12034" i="77"/>
  <c r="BQ12034" i="77"/>
  <c r="BS12034" i="77"/>
  <c r="BU12034" i="77"/>
  <c r="BW12034" i="77"/>
  <c r="BY12034" i="77"/>
  <c r="A12035" i="77"/>
  <c r="C12035" i="77"/>
  <c r="E12035" i="77"/>
  <c r="G12035" i="77"/>
  <c r="I12035" i="77"/>
  <c r="K12035" i="77"/>
  <c r="M12035" i="77"/>
  <c r="O12035" i="77"/>
  <c r="Q12035" i="77"/>
  <c r="S12035" i="77"/>
  <c r="U12035" i="77"/>
  <c r="W12035" i="77"/>
  <c r="Y12035" i="77"/>
  <c r="AA12035" i="77"/>
  <c r="AC12035" i="77"/>
  <c r="AE12035" i="77"/>
  <c r="AG12035" i="77"/>
  <c r="AI12035" i="77"/>
  <c r="AK12035" i="77"/>
  <c r="AM12035" i="77"/>
  <c r="AO12035" i="77"/>
  <c r="AQ12035" i="77"/>
  <c r="AS12035" i="77"/>
  <c r="AU12035" i="77"/>
  <c r="AW12035" i="77"/>
  <c r="AY12035" i="77"/>
  <c r="BA12035" i="77"/>
  <c r="BC12035" i="77"/>
  <c r="BE12035" i="77"/>
  <c r="BG12035" i="77"/>
  <c r="BI12035" i="77"/>
  <c r="BK12035" i="77"/>
  <c r="BM12035" i="77"/>
  <c r="BO12035" i="77"/>
  <c r="BQ12035" i="77"/>
  <c r="BS12035" i="77"/>
  <c r="BU12035" i="77"/>
  <c r="BW12035" i="77"/>
  <c r="BY12035" i="77"/>
  <c r="A12036" i="77"/>
  <c r="C12036" i="77"/>
  <c r="E12036" i="77"/>
  <c r="G12036" i="77"/>
  <c r="I12036" i="77"/>
  <c r="K12036" i="77"/>
  <c r="M12036" i="77"/>
  <c r="O12036" i="77"/>
  <c r="Q12036" i="77"/>
  <c r="S12036" i="77"/>
  <c r="U12036" i="77"/>
  <c r="W12036" i="77"/>
  <c r="Y12036" i="77"/>
  <c r="AA12036" i="77"/>
  <c r="AC12036" i="77"/>
  <c r="AE12036" i="77"/>
  <c r="AG12036" i="77"/>
  <c r="AI12036" i="77"/>
  <c r="AK12036" i="77"/>
  <c r="AM12036" i="77"/>
  <c r="AO12036" i="77"/>
  <c r="AQ12036" i="77"/>
  <c r="AS12036" i="77"/>
  <c r="AU12036" i="77"/>
  <c r="AW12036" i="77"/>
  <c r="AY12036" i="77"/>
  <c r="BA12036" i="77"/>
  <c r="BC12036" i="77"/>
  <c r="BE12036" i="77"/>
  <c r="BG12036" i="77"/>
  <c r="BI12036" i="77"/>
  <c r="BK12036" i="77"/>
  <c r="BM12036" i="77"/>
  <c r="BO12036" i="77"/>
  <c r="BQ12036" i="77"/>
  <c r="BS12036" i="77"/>
  <c r="BU12036" i="77"/>
  <c r="BW12036" i="77"/>
  <c r="BY12036" i="77"/>
  <c r="A12037" i="77"/>
  <c r="C12037" i="77"/>
  <c r="E12037" i="77"/>
  <c r="G12037" i="77"/>
  <c r="I12037" i="77"/>
  <c r="K12037" i="77"/>
  <c r="M12037" i="77"/>
  <c r="O12037" i="77"/>
  <c r="Q12037" i="77"/>
  <c r="S12037" i="77"/>
  <c r="U12037" i="77"/>
  <c r="W12037" i="77"/>
  <c r="Y12037" i="77"/>
  <c r="AA12037" i="77"/>
  <c r="AC12037" i="77"/>
  <c r="AE12037" i="77"/>
  <c r="AG12037" i="77"/>
  <c r="AI12037" i="77"/>
  <c r="AK12037" i="77"/>
  <c r="AM12037" i="77"/>
  <c r="AO12037" i="77"/>
  <c r="AQ12037" i="77"/>
  <c r="AS12037" i="77"/>
  <c r="AU12037" i="77"/>
  <c r="AW12037" i="77"/>
  <c r="AY12037" i="77"/>
  <c r="BA12037" i="77"/>
  <c r="BC12037" i="77"/>
  <c r="BE12037" i="77"/>
  <c r="BG12037" i="77"/>
  <c r="BI12037" i="77"/>
  <c r="BK12037" i="77"/>
  <c r="BM12037" i="77"/>
  <c r="BO12037" i="77"/>
  <c r="BQ12037" i="77"/>
  <c r="BS12037" i="77"/>
  <c r="BU12037" i="77"/>
  <c r="BW12037" i="77"/>
  <c r="BY12037" i="77"/>
  <c r="A12038" i="77"/>
  <c r="C12038" i="77"/>
  <c r="E12038" i="77"/>
  <c r="G12038" i="77"/>
  <c r="I12038" i="77"/>
  <c r="K12038" i="77"/>
  <c r="M12038" i="77"/>
  <c r="O12038" i="77"/>
  <c r="Q12038" i="77"/>
  <c r="S12038" i="77"/>
  <c r="U12038" i="77"/>
  <c r="W12038" i="77"/>
  <c r="Y12038" i="77"/>
  <c r="AA12038" i="77"/>
  <c r="AC12038" i="77"/>
  <c r="AE12038" i="77"/>
  <c r="AG12038" i="77"/>
  <c r="AI12038" i="77"/>
  <c r="AK12038" i="77"/>
  <c r="AM12038" i="77"/>
  <c r="AO12038" i="77"/>
  <c r="AQ12038" i="77"/>
  <c r="AS12038" i="77"/>
  <c r="AU12038" i="77"/>
  <c r="AW12038" i="77"/>
  <c r="AY12038" i="77"/>
  <c r="BA12038" i="77"/>
  <c r="BC12038" i="77"/>
  <c r="BE12038" i="77"/>
  <c r="BG12038" i="77"/>
  <c r="BI12038" i="77"/>
  <c r="BK12038" i="77"/>
  <c r="BM12038" i="77"/>
  <c r="BO12038" i="77"/>
  <c r="BQ12038" i="77"/>
  <c r="BS12038" i="77"/>
  <c r="BU12038" i="77"/>
  <c r="BW12038" i="77"/>
  <c r="BY12038" i="77"/>
  <c r="A12039" i="77"/>
  <c r="C12039" i="77"/>
  <c r="E12039" i="77"/>
  <c r="G12039" i="77"/>
  <c r="I12039" i="77"/>
  <c r="K12039" i="77"/>
  <c r="M12039" i="77"/>
  <c r="O12039" i="77"/>
  <c r="Q12039" i="77"/>
  <c r="S12039" i="77"/>
  <c r="U12039" i="77"/>
  <c r="W12039" i="77"/>
  <c r="Y12039" i="77"/>
  <c r="AA12039" i="77"/>
  <c r="AC12039" i="77"/>
  <c r="AE12039" i="77"/>
  <c r="AG12039" i="77"/>
  <c r="AI12039" i="77"/>
  <c r="AK12039" i="77"/>
  <c r="AM12039" i="77"/>
  <c r="T12030" i="77"/>
  <c r="X12030" i="77"/>
  <c r="AB12030" i="77"/>
  <c r="AF12030" i="77"/>
  <c r="AJ12030" i="77"/>
  <c r="AN12030" i="77"/>
  <c r="AR12030" i="77"/>
  <c r="AV12030" i="77"/>
  <c r="AZ12030" i="77"/>
  <c r="BD12030" i="77"/>
  <c r="BH12030" i="77"/>
  <c r="BL12030" i="77"/>
  <c r="BP12030" i="77"/>
  <c r="BT12030" i="77"/>
  <c r="BX12030" i="77"/>
  <c r="B12031" i="77"/>
  <c r="F12031" i="77"/>
  <c r="J12031" i="77"/>
  <c r="N12031" i="77"/>
  <c r="R12031" i="77"/>
  <c r="V12031" i="77"/>
  <c r="Z12031" i="77"/>
  <c r="AB12031" i="77"/>
  <c r="AD12031" i="77"/>
  <c r="AF12031" i="77"/>
  <c r="AH12031" i="77"/>
  <c r="AJ12031" i="77"/>
  <c r="AL12031" i="77"/>
  <c r="AN12031" i="77"/>
  <c r="AP12031" i="77"/>
  <c r="AR12031" i="77"/>
  <c r="AT12031" i="77"/>
  <c r="AV12031" i="77"/>
  <c r="AX12031" i="77"/>
  <c r="AZ12031" i="77"/>
  <c r="BB12031" i="77"/>
  <c r="BD12031" i="77"/>
  <c r="BF12031" i="77"/>
  <c r="BH12031" i="77"/>
  <c r="BJ12031" i="77"/>
  <c r="BL12031" i="77"/>
  <c r="BN12031" i="77"/>
  <c r="BP12031" i="77"/>
  <c r="BR12031" i="77"/>
  <c r="BT12031" i="77"/>
  <c r="BV12031" i="77"/>
  <c r="BX12031" i="77"/>
  <c r="BZ12031" i="77"/>
  <c r="B12032" i="77"/>
  <c r="D12032" i="77"/>
  <c r="F12032" i="77"/>
  <c r="H12032" i="77"/>
  <c r="J12032" i="77"/>
  <c r="L12032" i="77"/>
  <c r="N12032" i="77"/>
  <c r="P12032" i="77"/>
  <c r="R12032" i="77"/>
  <c r="T12032" i="77"/>
  <c r="V12032" i="77"/>
  <c r="X12032" i="77"/>
  <c r="Z12032" i="77"/>
  <c r="AB12032" i="77"/>
  <c r="AD12032" i="77"/>
  <c r="AF12032" i="77"/>
  <c r="AH12032" i="77"/>
  <c r="AJ12032" i="77"/>
  <c r="AL12032" i="77"/>
  <c r="AN12032" i="77"/>
  <c r="AP12032" i="77"/>
  <c r="AR12032" i="77"/>
  <c r="AT12032" i="77"/>
  <c r="AV12032" i="77"/>
  <c r="AX12032" i="77"/>
  <c r="AZ12032" i="77"/>
  <c r="BB12032" i="77"/>
  <c r="BD12032" i="77"/>
  <c r="BF12032" i="77"/>
  <c r="BH12032" i="77"/>
  <c r="BJ12032" i="77"/>
  <c r="BL12032" i="77"/>
  <c r="BN12032" i="77"/>
  <c r="BP12032" i="77"/>
  <c r="BR12032" i="77"/>
  <c r="BT12032" i="77"/>
  <c r="BV12032" i="77"/>
  <c r="BX12032" i="77"/>
  <c r="BZ12032" i="77"/>
  <c r="B12033" i="77"/>
  <c r="D12033" i="77"/>
  <c r="F12033" i="77"/>
  <c r="H12033" i="77"/>
  <c r="J12033" i="77"/>
  <c r="L12033" i="77"/>
  <c r="N12033" i="77"/>
  <c r="P12033" i="77"/>
  <c r="R12033" i="77"/>
  <c r="T12033" i="77"/>
  <c r="V12033" i="77"/>
  <c r="X12033" i="77"/>
  <c r="Z12033" i="77"/>
  <c r="AB12033" i="77"/>
  <c r="AD12033" i="77"/>
  <c r="AF12033" i="77"/>
  <c r="AH12033" i="77"/>
  <c r="AJ12033" i="77"/>
  <c r="AL12033" i="77"/>
  <c r="AN12033" i="77"/>
  <c r="AP12033" i="77"/>
  <c r="AR12033" i="77"/>
  <c r="AT12033" i="77"/>
  <c r="AV12033" i="77"/>
  <c r="AX12033" i="77"/>
  <c r="AZ12033" i="77"/>
  <c r="BB12033" i="77"/>
  <c r="BD12033" i="77"/>
  <c r="BF12033" i="77"/>
  <c r="BH12033" i="77"/>
  <c r="BJ12033" i="77"/>
  <c r="BL12033" i="77"/>
  <c r="BN12033" i="77"/>
  <c r="BP12033" i="77"/>
  <c r="BR12033" i="77"/>
  <c r="BT12033" i="77"/>
  <c r="BV12033" i="77"/>
  <c r="BX12033" i="77"/>
  <c r="BZ12033" i="77"/>
  <c r="B12034" i="77"/>
  <c r="D12034" i="77"/>
  <c r="F12034" i="77"/>
  <c r="H12034" i="77"/>
  <c r="J12034" i="77"/>
  <c r="L12034" i="77"/>
  <c r="N12034" i="77"/>
  <c r="P12034" i="77"/>
  <c r="R12034" i="77"/>
  <c r="T12034" i="77"/>
  <c r="V12034" i="77"/>
  <c r="X12034" i="77"/>
  <c r="Z12034" i="77"/>
  <c r="AB12034" i="77"/>
  <c r="AD12034" i="77"/>
  <c r="AF12034" i="77"/>
  <c r="AH12034" i="77"/>
  <c r="AJ12034" i="77"/>
  <c r="AL12034" i="77"/>
  <c r="AN12034" i="77"/>
  <c r="AP12034" i="77"/>
  <c r="AR12034" i="77"/>
  <c r="AT12034" i="77"/>
  <c r="AV12034" i="77"/>
  <c r="AX12034" i="77"/>
  <c r="AZ12034" i="77"/>
  <c r="BB12034" i="77"/>
  <c r="BD12034" i="77"/>
  <c r="BF12034" i="77"/>
  <c r="BH12034" i="77"/>
  <c r="BJ12034" i="77"/>
  <c r="BL12034" i="77"/>
  <c r="BN12034" i="77"/>
  <c r="BP12034" i="77"/>
  <c r="BR12034" i="77"/>
  <c r="BT12034" i="77"/>
  <c r="BV12034" i="77"/>
  <c r="BX12034" i="77"/>
  <c r="BZ12034" i="77"/>
  <c r="B12035" i="77"/>
  <c r="D12035" i="77"/>
  <c r="F12035" i="77"/>
  <c r="H12035" i="77"/>
  <c r="J12035" i="77"/>
  <c r="L12035" i="77"/>
  <c r="N12035" i="77"/>
  <c r="P12035" i="77"/>
  <c r="R12035" i="77"/>
  <c r="T12035" i="77"/>
  <c r="V12035" i="77"/>
  <c r="X12035" i="77"/>
  <c r="Z12035" i="77"/>
  <c r="AB12035" i="77"/>
  <c r="AD12035" i="77"/>
  <c r="AF12035" i="77"/>
  <c r="AH12035" i="77"/>
  <c r="AJ12035" i="77"/>
  <c r="AL12035" i="77"/>
  <c r="AN12035" i="77"/>
  <c r="AP12035" i="77"/>
  <c r="AR12035" i="77"/>
  <c r="AT12035" i="77"/>
  <c r="AV12035" i="77"/>
  <c r="AX12035" i="77"/>
  <c r="AZ12035" i="77"/>
  <c r="BB12035" i="77"/>
  <c r="BD12035" i="77"/>
  <c r="BF12035" i="77"/>
  <c r="BH12035" i="77"/>
  <c r="BJ12035" i="77"/>
  <c r="BL12035" i="77"/>
  <c r="BN12035" i="77"/>
  <c r="BP12035" i="77"/>
  <c r="BR12035" i="77"/>
  <c r="BT12035" i="77"/>
  <c r="BV12035" i="77"/>
  <c r="BX12035" i="77"/>
  <c r="BZ12035" i="77"/>
  <c r="B12036" i="77"/>
  <c r="D12036" i="77"/>
  <c r="F12036" i="77"/>
  <c r="H12036" i="77"/>
  <c r="J12036" i="77"/>
  <c r="L12036" i="77"/>
  <c r="N12036" i="77"/>
  <c r="P12036" i="77"/>
  <c r="R12036" i="77"/>
  <c r="T12036" i="77"/>
  <c r="V12036" i="77"/>
  <c r="X12036" i="77"/>
  <c r="Z12036" i="77"/>
  <c r="AB12036" i="77"/>
  <c r="AD12036" i="77"/>
  <c r="AF12036" i="77"/>
  <c r="AH12036" i="77"/>
  <c r="AJ12036" i="77"/>
  <c r="AL12036" i="77"/>
  <c r="AN12036" i="77"/>
  <c r="AP12036" i="77"/>
  <c r="AR12036" i="77"/>
  <c r="AT12036" i="77"/>
  <c r="AV12036" i="77"/>
  <c r="AX12036" i="77"/>
  <c r="AZ12036" i="77"/>
  <c r="BB12036" i="77"/>
  <c r="BD12036" i="77"/>
  <c r="BF12036" i="77"/>
  <c r="BH12036" i="77"/>
  <c r="BJ12036" i="77"/>
  <c r="BL12036" i="77"/>
  <c r="BN12036" i="77"/>
  <c r="BP12036" i="77"/>
  <c r="BR12036" i="77"/>
  <c r="BT12036" i="77"/>
  <c r="BV12036" i="77"/>
  <c r="BX12036" i="77"/>
  <c r="BZ12036" i="77"/>
  <c r="B12037" i="77"/>
  <c r="D12037" i="77"/>
  <c r="F12037" i="77"/>
  <c r="H12037" i="77"/>
  <c r="J12037" i="77"/>
  <c r="L12037" i="77"/>
  <c r="N12037" i="77"/>
  <c r="P12037" i="77"/>
  <c r="R12037" i="77"/>
  <c r="T12037" i="77"/>
  <c r="V12037" i="77"/>
  <c r="X12037" i="77"/>
  <c r="Z12037" i="77"/>
  <c r="AB12037" i="77"/>
  <c r="AD12037" i="77"/>
  <c r="AF12037" i="77"/>
  <c r="AH12037" i="77"/>
  <c r="AJ12037" i="77"/>
  <c r="AL12037" i="77"/>
  <c r="AN12037" i="77"/>
  <c r="AP12037" i="77"/>
  <c r="AR12037" i="77"/>
  <c r="AT12037" i="77"/>
  <c r="AV12037" i="77"/>
  <c r="AX12037" i="77"/>
  <c r="AZ12037" i="77"/>
  <c r="BB12037" i="77"/>
  <c r="BD12037" i="77"/>
  <c r="BF12037" i="77"/>
  <c r="BH12037" i="77"/>
  <c r="BJ12037" i="77"/>
  <c r="BL12037" i="77"/>
  <c r="BN12037" i="77"/>
  <c r="BP12037" i="77"/>
  <c r="BR12037" i="77"/>
  <c r="BT12037" i="77"/>
  <c r="BV12037" i="77"/>
  <c r="BX12037" i="77"/>
  <c r="BZ12037" i="77"/>
  <c r="B12038" i="77"/>
  <c r="D12038" i="77"/>
  <c r="F12038" i="77"/>
  <c r="H12038" i="77"/>
  <c r="J12038" i="77"/>
  <c r="L12038" i="77"/>
  <c r="N12038" i="77"/>
  <c r="P12038" i="77"/>
  <c r="R12038" i="77"/>
  <c r="T12038" i="77"/>
  <c r="V12038" i="77"/>
  <c r="X12038" i="77"/>
  <c r="Z12038" i="77"/>
  <c r="AB12038" i="77"/>
  <c r="AD12038" i="77"/>
  <c r="AF12038" i="77"/>
  <c r="AH12038" i="77"/>
  <c r="AJ12038" i="77"/>
  <c r="AL12038" i="77"/>
  <c r="AN12038" i="77"/>
  <c r="AP12038" i="77"/>
  <c r="AR12038" i="77"/>
  <c r="AT12038" i="77"/>
  <c r="AV12038" i="77"/>
  <c r="AX12038" i="77"/>
  <c r="AZ12038" i="77"/>
  <c r="BB12038" i="77"/>
  <c r="BD12038" i="77"/>
  <c r="BF12038" i="77"/>
  <c r="BH12038" i="77"/>
  <c r="BJ12038" i="77"/>
  <c r="BL12038" i="77"/>
  <c r="BN12038" i="77"/>
  <c r="BP12038" i="77"/>
  <c r="BR12038" i="77"/>
  <c r="BT12038" i="77"/>
  <c r="BV12038" i="77"/>
  <c r="BX12038" i="77"/>
  <c r="BZ12038" i="77"/>
  <c r="B12039" i="77"/>
  <c r="D12039" i="77"/>
  <c r="F12039" i="77"/>
  <c r="H12039" i="77"/>
  <c r="J12039" i="77"/>
  <c r="L12039" i="77"/>
  <c r="N12039" i="77"/>
  <c r="P12039" i="77"/>
  <c r="R12039" i="77"/>
  <c r="T12039" i="77"/>
  <c r="V12039" i="77"/>
  <c r="X12039" i="77"/>
  <c r="Z12039" i="77"/>
  <c r="AB12039" i="77"/>
  <c r="AD12039" i="77"/>
  <c r="AF12039" i="77"/>
  <c r="AH12039" i="77"/>
  <c r="AJ12039" i="77"/>
  <c r="AL12039" i="77"/>
  <c r="AN12039" i="77"/>
  <c r="AP12039" i="77"/>
  <c r="AR12039" i="77"/>
  <c r="AT12039" i="77"/>
  <c r="AV12039" i="77"/>
  <c r="AX12039" i="77"/>
  <c r="AZ12039" i="77"/>
  <c r="BB12039" i="77"/>
  <c r="BD12039" i="77"/>
  <c r="BF12039" i="77"/>
  <c r="BH12039" i="77"/>
  <c r="BJ12039" i="77"/>
  <c r="BL12039" i="77"/>
  <c r="BN12039" i="77"/>
  <c r="BP12039" i="77"/>
  <c r="BR12039" i="77"/>
  <c r="BT12039" i="77"/>
  <c r="BV12039" i="77"/>
  <c r="BX12039" i="77"/>
  <c r="BZ12039" i="77"/>
  <c r="B12040" i="77"/>
  <c r="D12040" i="77"/>
  <c r="F12040" i="77"/>
  <c r="H12040" i="77"/>
  <c r="J12040" i="77"/>
  <c r="L12040" i="77"/>
  <c r="N12040" i="77"/>
  <c r="P12040" i="77"/>
  <c r="R12040" i="77"/>
  <c r="T12040" i="77"/>
  <c r="V12040" i="77"/>
  <c r="X12040" i="77"/>
  <c r="Z12040" i="77"/>
  <c r="AB12040" i="77"/>
  <c r="AD12040" i="77"/>
  <c r="AF12040" i="77"/>
  <c r="AH12040" i="77"/>
  <c r="AJ12040" i="77"/>
  <c r="AL12040" i="77"/>
  <c r="AO12039" i="77"/>
  <c r="AS12039" i="77"/>
  <c r="AW12039" i="77"/>
  <c r="BA12039" i="77"/>
  <c r="BE12039" i="77"/>
  <c r="BI12039" i="77"/>
  <c r="BM12039" i="77"/>
  <c r="BQ12039" i="77"/>
  <c r="BU12039" i="77"/>
  <c r="BY12039" i="77"/>
  <c r="C12040" i="77"/>
  <c r="G12040" i="77"/>
  <c r="K12040" i="77"/>
  <c r="O12040" i="77"/>
  <c r="S12040" i="77"/>
  <c r="W12040" i="77"/>
  <c r="AA12040" i="77"/>
  <c r="AE12040" i="77"/>
  <c r="AI12040" i="77"/>
  <c r="AM12040" i="77"/>
  <c r="AO12040" i="77"/>
  <c r="AQ12040" i="77"/>
  <c r="AS12040" i="77"/>
  <c r="AU12040" i="77"/>
  <c r="AW12040" i="77"/>
  <c r="AY12040" i="77"/>
  <c r="BA12040" i="77"/>
  <c r="BC12040" i="77"/>
  <c r="BE12040" i="77"/>
  <c r="BG12040" i="77"/>
  <c r="BI12040" i="77"/>
  <c r="BK12040" i="77"/>
  <c r="BM12040" i="77"/>
  <c r="BO12040" i="77"/>
  <c r="BQ12040" i="77"/>
  <c r="BS12040" i="77"/>
  <c r="BU12040" i="77"/>
  <c r="BW12040" i="77"/>
  <c r="BY12040" i="77"/>
  <c r="A12041" i="77"/>
  <c r="C12041" i="77"/>
  <c r="E12041" i="77"/>
  <c r="G12041" i="77"/>
  <c r="I12041" i="77"/>
  <c r="K12041" i="77"/>
  <c r="M12041" i="77"/>
  <c r="O12041" i="77"/>
  <c r="Q12041" i="77"/>
  <c r="S12041" i="77"/>
  <c r="U12041" i="77"/>
  <c r="W12041" i="77"/>
  <c r="Y12041" i="77"/>
  <c r="AA12041" i="77"/>
  <c r="AC12041" i="77"/>
  <c r="AE12041" i="77"/>
  <c r="AG12041" i="77"/>
  <c r="AI12041" i="77"/>
  <c r="AK12041" i="77"/>
  <c r="AM12041" i="77"/>
  <c r="AO12041" i="77"/>
  <c r="AQ12041" i="77"/>
  <c r="AS12041" i="77"/>
  <c r="AU12041" i="77"/>
  <c r="AW12041" i="77"/>
  <c r="AY12041" i="77"/>
  <c r="BA12041" i="77"/>
  <c r="BC12041" i="77"/>
  <c r="BE12041" i="77"/>
  <c r="BG12041" i="77"/>
  <c r="BI12041" i="77"/>
  <c r="BK12041" i="77"/>
  <c r="BM12041" i="77"/>
  <c r="BO12041" i="77"/>
  <c r="BQ12041" i="77"/>
  <c r="BS12041" i="77"/>
  <c r="BU12041" i="77"/>
  <c r="BW12041" i="77"/>
  <c r="BY12041" i="77"/>
  <c r="A12042" i="77"/>
  <c r="C12042" i="77"/>
  <c r="E12042" i="77"/>
  <c r="G12042" i="77"/>
  <c r="I12042" i="77"/>
  <c r="K12042" i="77"/>
  <c r="M12042" i="77"/>
  <c r="O12042" i="77"/>
  <c r="Q12042" i="77"/>
  <c r="S12042" i="77"/>
  <c r="U12042" i="77"/>
  <c r="W12042" i="77"/>
  <c r="Y12042" i="77"/>
  <c r="AA12042" i="77"/>
  <c r="AC12042" i="77"/>
  <c r="AE12042" i="77"/>
  <c r="AG12042" i="77"/>
  <c r="AI12042" i="77"/>
  <c r="AK12042" i="77"/>
  <c r="AM12042" i="77"/>
  <c r="AO12042" i="77"/>
  <c r="AQ12042" i="77"/>
  <c r="AS12042" i="77"/>
  <c r="AU12042" i="77"/>
  <c r="AW12042" i="77"/>
  <c r="AY12042" i="77"/>
  <c r="BA12042" i="77"/>
  <c r="BC12042" i="77"/>
  <c r="BE12042" i="77"/>
  <c r="BG12042" i="77"/>
  <c r="BI12042" i="77"/>
  <c r="BK12042" i="77"/>
  <c r="BM12042" i="77"/>
  <c r="BO12042" i="77"/>
  <c r="BQ12042" i="77"/>
  <c r="BS12042" i="77"/>
  <c r="BU12042" i="77"/>
  <c r="BW12042" i="77"/>
  <c r="BY12042" i="77"/>
  <c r="A12043" i="77"/>
  <c r="C12043" i="77"/>
  <c r="E12043" i="77"/>
  <c r="G12043" i="77"/>
  <c r="I12043" i="77"/>
  <c r="K12043" i="77"/>
  <c r="M12043" i="77"/>
  <c r="O12043" i="77"/>
  <c r="Q12043" i="77"/>
  <c r="S12043" i="77"/>
  <c r="U12043" i="77"/>
  <c r="W12043" i="77"/>
  <c r="Y12043" i="77"/>
  <c r="AA12043" i="77"/>
  <c r="AC12043" i="77"/>
  <c r="AE12043" i="77"/>
  <c r="AG12043" i="77"/>
  <c r="AI12043" i="77"/>
  <c r="AK12043" i="77"/>
  <c r="AM12043" i="77"/>
  <c r="AO12043" i="77"/>
  <c r="AQ12043" i="77"/>
  <c r="AS12043" i="77"/>
  <c r="AU12043" i="77"/>
  <c r="AW12043" i="77"/>
  <c r="AY12043" i="77"/>
  <c r="BA12043" i="77"/>
  <c r="BC12043" i="77"/>
  <c r="BE12043" i="77"/>
  <c r="BG12043" i="77"/>
  <c r="BI12043" i="77"/>
  <c r="BK12043" i="77"/>
  <c r="BM12043" i="77"/>
  <c r="BO12043" i="77"/>
  <c r="BQ12043" i="77"/>
  <c r="BS12043" i="77"/>
  <c r="BU12043" i="77"/>
  <c r="BW12043" i="77"/>
  <c r="BY12043" i="77"/>
  <c r="A12044" i="77"/>
  <c r="C12044" i="77"/>
  <c r="E12044" i="77"/>
  <c r="G12044" i="77"/>
  <c r="I12044" i="77"/>
  <c r="K12044" i="77"/>
  <c r="M12044" i="77"/>
  <c r="O12044" i="77"/>
  <c r="Q12044" i="77"/>
  <c r="S12044" i="77"/>
  <c r="U12044" i="77"/>
  <c r="W12044" i="77"/>
  <c r="Y12044" i="77"/>
  <c r="AA12044" i="77"/>
  <c r="AC12044" i="77"/>
  <c r="AE12044" i="77"/>
  <c r="AG12044" i="77"/>
  <c r="AI12044" i="77"/>
  <c r="AK12044" i="77"/>
  <c r="AM12044" i="77"/>
  <c r="AO12044" i="77"/>
  <c r="AQ12044" i="77"/>
  <c r="AS12044" i="77"/>
  <c r="AU12044" i="77"/>
  <c r="AW12044" i="77"/>
  <c r="AY12044" i="77"/>
  <c r="BA12044" i="77"/>
  <c r="BC12044" i="77"/>
  <c r="BE12044" i="77"/>
  <c r="BG12044" i="77"/>
  <c r="BI12044" i="77"/>
  <c r="BK12044" i="77"/>
  <c r="BM12044" i="77"/>
  <c r="BO12044" i="77"/>
  <c r="BQ12044" i="77"/>
  <c r="BS12044" i="77"/>
  <c r="BU12044" i="77"/>
  <c r="BW12044" i="77"/>
  <c r="BY12044" i="77"/>
  <c r="A12045" i="77"/>
  <c r="C12045" i="77"/>
  <c r="E12045" i="77"/>
  <c r="G12045" i="77"/>
  <c r="I12045" i="77"/>
  <c r="K12045" i="77"/>
  <c r="M12045" i="77"/>
  <c r="O12045" i="77"/>
  <c r="Q12045" i="77"/>
  <c r="S12045" i="77"/>
  <c r="U12045" i="77"/>
  <c r="W12045" i="77"/>
  <c r="Y12045" i="77"/>
  <c r="AA12045" i="77"/>
  <c r="AC12045" i="77"/>
  <c r="AE12045" i="77"/>
  <c r="AG12045" i="77"/>
  <c r="AI12045" i="77"/>
  <c r="AK12045" i="77"/>
  <c r="AM12045" i="77"/>
  <c r="AO12045" i="77"/>
  <c r="AQ12045" i="77"/>
  <c r="AS12045" i="77"/>
  <c r="AU12045" i="77"/>
  <c r="AW12045" i="77"/>
  <c r="AY12045" i="77"/>
  <c r="BA12045" i="77"/>
  <c r="BC12045" i="77"/>
  <c r="BE12045" i="77"/>
  <c r="BG12045" i="77"/>
  <c r="BI12045" i="77"/>
  <c r="BK12045" i="77"/>
  <c r="BM12045" i="77"/>
  <c r="BO12045" i="77"/>
  <c r="BQ12045" i="77"/>
  <c r="BS12045" i="77"/>
  <c r="BU12045" i="77"/>
  <c r="BW12045" i="77"/>
  <c r="BY12045" i="77"/>
  <c r="A12046" i="77"/>
  <c r="C12046" i="77"/>
  <c r="E12046" i="77"/>
  <c r="G12046" i="77"/>
  <c r="I12046" i="77"/>
  <c r="K12046" i="77"/>
  <c r="M12046" i="77"/>
  <c r="O12046" i="77"/>
  <c r="Q12046" i="77"/>
  <c r="S12046" i="77"/>
  <c r="U12046" i="77"/>
  <c r="W12046" i="77"/>
  <c r="Y12046" i="77"/>
  <c r="AA12046" i="77"/>
  <c r="AC12046" i="77"/>
  <c r="AE12046" i="77"/>
  <c r="AG12046" i="77"/>
  <c r="AI12046" i="77"/>
  <c r="AK12046" i="77"/>
  <c r="AM12046" i="77"/>
  <c r="AO12046" i="77"/>
  <c r="AQ12046" i="77"/>
  <c r="AS12046" i="77"/>
  <c r="AU12046" i="77"/>
  <c r="AW12046" i="77"/>
  <c r="AY12046" i="77"/>
  <c r="BA12046" i="77"/>
  <c r="BC12046" i="77"/>
  <c r="BE12046" i="77"/>
  <c r="BG12046" i="77"/>
  <c r="BI12046" i="77"/>
  <c r="BK12046" i="77"/>
  <c r="BM12046" i="77"/>
  <c r="BO12046" i="77"/>
  <c r="BQ12046" i="77"/>
  <c r="BS12046" i="77"/>
  <c r="BU12046" i="77"/>
  <c r="BW12046" i="77"/>
  <c r="BY12046" i="77"/>
  <c r="A12047" i="77"/>
  <c r="C12047" i="77"/>
  <c r="E12047" i="77"/>
  <c r="G12047" i="77"/>
  <c r="I12047" i="77"/>
  <c r="K12047" i="77"/>
  <c r="M12047" i="77"/>
  <c r="O12047" i="77"/>
  <c r="Q12047" i="77"/>
  <c r="S12047" i="77"/>
  <c r="U12047" i="77"/>
  <c r="W12047" i="77"/>
  <c r="Y12047" i="77"/>
  <c r="AA12047" i="77"/>
  <c r="AC12047" i="77"/>
  <c r="AE12047" i="77"/>
  <c r="AG12047" i="77"/>
  <c r="AI12047" i="77"/>
  <c r="AK12047" i="77"/>
  <c r="AM12047" i="77"/>
  <c r="AO12047" i="77"/>
  <c r="AQ12047" i="77"/>
  <c r="AS12047" i="77"/>
  <c r="AU12047" i="77"/>
  <c r="AW12047" i="77"/>
  <c r="AY12047" i="77"/>
  <c r="BA12047" i="77"/>
  <c r="BC12047" i="77"/>
  <c r="BE12047" i="77"/>
  <c r="BG12047" i="77"/>
  <c r="BI12047" i="77"/>
  <c r="BK12047" i="77"/>
  <c r="BM12047" i="77"/>
  <c r="BO12047" i="77"/>
  <c r="BQ12047" i="77"/>
  <c r="BS12047" i="77"/>
  <c r="BU12047" i="77"/>
  <c r="BW12047" i="77"/>
  <c r="BY12047" i="77"/>
  <c r="A12048" i="77"/>
  <c r="C12048" i="77"/>
  <c r="E12048" i="77"/>
  <c r="G12048" i="77"/>
  <c r="I12048" i="77"/>
  <c r="K12048" i="77"/>
  <c r="M12048" i="77"/>
  <c r="O12048" i="77"/>
  <c r="Q12048" i="77"/>
  <c r="S12048" i="77"/>
  <c r="U12048" i="77"/>
  <c r="W12048" i="77"/>
  <c r="Y12048" i="77"/>
  <c r="AA12048" i="77"/>
  <c r="AC12048" i="77"/>
  <c r="AE12048" i="77"/>
  <c r="AG12048" i="77"/>
  <c r="AI12048" i="77"/>
  <c r="AK12048" i="77"/>
  <c r="AM12048" i="77"/>
  <c r="AO12048" i="77"/>
  <c r="AQ12048" i="77"/>
  <c r="AS12048" i="77"/>
  <c r="AU12048" i="77"/>
  <c r="AW12048" i="77"/>
  <c r="AY12048" i="77"/>
  <c r="BA12048" i="77"/>
  <c r="BC12048" i="77"/>
  <c r="BE12048" i="77"/>
  <c r="BG12048" i="77"/>
  <c r="BI12048" i="77"/>
  <c r="BK12048" i="77"/>
  <c r="BM12048" i="77"/>
  <c r="BO12048" i="77"/>
  <c r="BQ12048" i="77"/>
  <c r="BS12048" i="77"/>
  <c r="BU12048" i="77"/>
  <c r="BW12048" i="77"/>
  <c r="BY12048" i="77"/>
  <c r="A12049" i="77"/>
  <c r="C12049" i="77"/>
  <c r="E12049" i="77"/>
  <c r="G12049" i="77"/>
  <c r="I12049" i="77"/>
  <c r="K12049" i="77"/>
  <c r="M12049" i="77"/>
  <c r="O12049" i="77"/>
  <c r="Q12049" i="77"/>
  <c r="S12049" i="77"/>
  <c r="U12049" i="77"/>
  <c r="W12049" i="77"/>
  <c r="Y12049" i="77"/>
  <c r="AA12049" i="77"/>
  <c r="AC12049" i="77"/>
  <c r="AE12049" i="77"/>
  <c r="AG12049" i="77"/>
  <c r="AI12049" i="77"/>
  <c r="AK12049" i="77"/>
  <c r="AM12049" i="77"/>
  <c r="AO12049" i="77"/>
  <c r="AQ12049" i="77"/>
  <c r="AS12049" i="77"/>
  <c r="AU12049" i="77"/>
  <c r="AW12049" i="77"/>
  <c r="AY12049" i="77"/>
  <c r="BA12049" i="77"/>
  <c r="BC12049" i="77"/>
  <c r="BE12049" i="77"/>
  <c r="BG12049" i="77"/>
  <c r="BI12049" i="77"/>
  <c r="BK12049" i="77"/>
  <c r="BM12049" i="77"/>
  <c r="BO12049" i="77"/>
  <c r="BQ12049" i="77"/>
  <c r="BS12049" i="77"/>
  <c r="BU12049" i="77"/>
  <c r="BW12049" i="77"/>
  <c r="BY12049" i="77"/>
  <c r="A12050" i="77"/>
  <c r="C12050" i="77"/>
  <c r="E12050" i="77"/>
  <c r="G12050" i="77"/>
  <c r="I12050" i="77"/>
  <c r="K12050" i="77"/>
  <c r="M12050" i="77"/>
  <c r="O12050" i="77"/>
  <c r="Q12050" i="77"/>
  <c r="S12050" i="77"/>
  <c r="U12050" i="77"/>
  <c r="W12050" i="77"/>
  <c r="Y12050" i="77"/>
  <c r="AA12050" i="77"/>
  <c r="AC12050" i="77"/>
  <c r="AE12050" i="77"/>
  <c r="AG12050" i="77"/>
  <c r="AI12050" i="77"/>
  <c r="AK12050" i="77"/>
  <c r="AM12050" i="77"/>
  <c r="AO12050" i="77"/>
  <c r="AQ12050" i="77"/>
  <c r="AS12050" i="77"/>
  <c r="AU12050" i="77"/>
  <c r="AW12050" i="77"/>
  <c r="AY12050" i="77"/>
  <c r="BA12050" i="77"/>
  <c r="BC12050" i="77"/>
  <c r="BE12050" i="77"/>
  <c r="BG12050" i="77"/>
  <c r="BI12050" i="77"/>
  <c r="BK12050" i="77"/>
  <c r="BM12050" i="77"/>
  <c r="BO12050" i="77"/>
  <c r="BQ12050" i="77"/>
  <c r="BS12050" i="77"/>
  <c r="BU12050" i="77"/>
  <c r="BW12050" i="77"/>
  <c r="BY12050" i="77"/>
  <c r="A12051" i="77"/>
  <c r="C12051" i="77"/>
  <c r="E12051" i="77"/>
  <c r="G12051" i="77"/>
  <c r="I12051" i="77"/>
  <c r="K12051" i="77"/>
  <c r="M12051" i="77"/>
  <c r="O12051" i="77"/>
  <c r="Q12051" i="77"/>
  <c r="S12051" i="77"/>
  <c r="U12051" i="77"/>
  <c r="W12051" i="77"/>
  <c r="Y12051" i="77"/>
  <c r="AA12051" i="77"/>
  <c r="AC12051" i="77"/>
  <c r="AE12051" i="77"/>
  <c r="AG12051" i="77"/>
  <c r="AI12051" i="77"/>
  <c r="AK12051" i="77"/>
  <c r="AM12051" i="77"/>
  <c r="AO12051" i="77"/>
  <c r="AQ12051" i="77"/>
  <c r="AS12051" i="77"/>
  <c r="AU12051" i="77"/>
  <c r="AW12051" i="77"/>
  <c r="AY12051" i="77"/>
  <c r="BA12051" i="77"/>
  <c r="BC12051" i="77"/>
  <c r="BE12051" i="77"/>
  <c r="BG12051" i="77"/>
  <c r="BI12051" i="77"/>
  <c r="BK12051" i="77"/>
  <c r="BM12051" i="77"/>
  <c r="BO12051" i="77"/>
  <c r="BQ12051" i="77"/>
  <c r="BS12051" i="77"/>
  <c r="BU12051" i="77"/>
  <c r="BW12051" i="77"/>
  <c r="BY12051" i="77"/>
  <c r="A12052" i="77"/>
  <c r="C12052" i="77"/>
  <c r="E12052" i="77"/>
  <c r="G12052" i="77"/>
  <c r="I12052" i="77"/>
  <c r="K12052" i="77"/>
  <c r="M12052" i="77"/>
  <c r="O12052" i="77"/>
  <c r="Q12052" i="77"/>
  <c r="S12052" i="77"/>
  <c r="U12052" i="77"/>
  <c r="W12052" i="77"/>
  <c r="Y12052" i="77"/>
  <c r="AA12052" i="77"/>
  <c r="AC12052" i="77"/>
  <c r="AE12052" i="77"/>
  <c r="AG12052" i="77"/>
  <c r="AI12052" i="77"/>
  <c r="AK12052" i="77"/>
  <c r="AM12052" i="77"/>
  <c r="AO12052" i="77"/>
  <c r="AQ12052" i="77"/>
  <c r="AS12052" i="77"/>
  <c r="AU12052" i="77"/>
  <c r="AW12052" i="77"/>
  <c r="AY12052" i="77"/>
  <c r="BA12052" i="77"/>
  <c r="BC12052" i="77"/>
  <c r="BE12052" i="77"/>
  <c r="BG12052" i="77"/>
  <c r="BI12052" i="77"/>
  <c r="BK12052" i="77"/>
  <c r="BM12052" i="77"/>
  <c r="BO12052" i="77"/>
  <c r="BQ12052" i="77"/>
  <c r="BS12052" i="77"/>
  <c r="BU12052" i="77"/>
  <c r="BW12052" i="77"/>
  <c r="BY12052" i="77"/>
  <c r="A12053" i="77"/>
  <c r="C12053" i="77"/>
  <c r="E12053" i="77"/>
  <c r="G12053" i="77"/>
  <c r="I12053" i="77"/>
  <c r="K12053" i="77"/>
  <c r="M12053" i="77"/>
  <c r="O12053" i="77"/>
  <c r="Q12053" i="77"/>
  <c r="S12053" i="77"/>
  <c r="U12053" i="77"/>
  <c r="W12053" i="77"/>
  <c r="Y12053" i="77"/>
  <c r="AA12053" i="77"/>
  <c r="AC12053" i="77"/>
  <c r="AE12053" i="77"/>
  <c r="AG12053" i="77"/>
  <c r="AI12053" i="77"/>
  <c r="AK12053" i="77"/>
  <c r="AM12053" i="77"/>
  <c r="AO12053" i="77"/>
  <c r="AQ12053" i="77"/>
  <c r="AS12053" i="77"/>
  <c r="AU12053" i="77"/>
  <c r="AW12053" i="77"/>
  <c r="AY12053" i="77"/>
  <c r="BA12053" i="77"/>
  <c r="BC12053" i="77"/>
  <c r="BE12053" i="77"/>
  <c r="BG12053" i="77"/>
  <c r="BI12053" i="77"/>
  <c r="BK12053" i="77"/>
  <c r="BM12053" i="77"/>
  <c r="BO12053" i="77"/>
  <c r="BQ12053" i="77"/>
  <c r="BS12053" i="77"/>
  <c r="BU12053" i="77"/>
  <c r="BW12053" i="77"/>
  <c r="BY12053" i="77"/>
  <c r="A12054" i="77"/>
  <c r="C12054" i="77"/>
  <c r="E12054" i="77"/>
  <c r="G12054" i="77"/>
  <c r="I12054" i="77"/>
  <c r="K12054" i="77"/>
  <c r="M12054" i="77"/>
  <c r="O12054" i="77"/>
  <c r="Q12054" i="77"/>
  <c r="S12054" i="77"/>
  <c r="U12054" i="77"/>
  <c r="W12054" i="77"/>
  <c r="Y12054" i="77"/>
  <c r="AA12054" i="77"/>
  <c r="AC12054" i="77"/>
  <c r="AE12054" i="77"/>
  <c r="AG12054" i="77"/>
  <c r="AI12054" i="77"/>
  <c r="AK12054" i="77"/>
  <c r="AM12054" i="77"/>
  <c r="AO12054" i="77"/>
  <c r="AQ12054" i="77"/>
  <c r="AS12054" i="77"/>
  <c r="AU12054" i="77"/>
  <c r="AW12054" i="77"/>
  <c r="AY12054" i="77"/>
  <c r="BA12054" i="77"/>
  <c r="BC12054" i="77"/>
  <c r="BE12054" i="77"/>
  <c r="BG12054" i="77"/>
  <c r="BI12054" i="77"/>
  <c r="BK12054" i="77"/>
  <c r="BM12054" i="77"/>
  <c r="BO12054" i="77"/>
  <c r="BQ12054" i="77"/>
  <c r="BS12054" i="77"/>
  <c r="BU12054" i="77"/>
  <c r="BW12054" i="77"/>
  <c r="BY12054" i="77"/>
  <c r="AQ12039" i="77"/>
  <c r="AU12039" i="77"/>
  <c r="AY12039" i="77"/>
  <c r="BC12039" i="77"/>
  <c r="BG12039" i="77"/>
  <c r="BK12039" i="77"/>
  <c r="BO12039" i="77"/>
  <c r="BS12039" i="77"/>
  <c r="BW12039" i="77"/>
  <c r="A12040" i="77"/>
  <c r="E12040" i="77"/>
  <c r="I12040" i="77"/>
  <c r="M12040" i="77"/>
  <c r="Q12040" i="77"/>
  <c r="U12040" i="77"/>
  <c r="Y12040" i="77"/>
  <c r="AC12040" i="77"/>
  <c r="AG12040" i="77"/>
  <c r="AK12040" i="77"/>
  <c r="AN12040" i="77"/>
  <c r="AP12040" i="77"/>
  <c r="AR12040" i="77"/>
  <c r="AT12040" i="77"/>
  <c r="AV12040" i="77"/>
  <c r="AX12040" i="77"/>
  <c r="AZ12040" i="77"/>
  <c r="BB12040" i="77"/>
  <c r="BD12040" i="77"/>
  <c r="BF12040" i="77"/>
  <c r="BH12040" i="77"/>
  <c r="BJ12040" i="77"/>
  <c r="BL12040" i="77"/>
  <c r="BN12040" i="77"/>
  <c r="BP12040" i="77"/>
  <c r="BR12040" i="77"/>
  <c r="BT12040" i="77"/>
  <c r="BV12040" i="77"/>
  <c r="BX12040" i="77"/>
  <c r="BZ12040" i="77"/>
  <c r="B12041" i="77"/>
  <c r="D12041" i="77"/>
  <c r="F12041" i="77"/>
  <c r="H12041" i="77"/>
  <c r="J12041" i="77"/>
  <c r="L12041" i="77"/>
  <c r="N12041" i="77"/>
  <c r="P12041" i="77"/>
  <c r="R12041" i="77"/>
  <c r="T12041" i="77"/>
  <c r="V12041" i="77"/>
  <c r="X12041" i="77"/>
  <c r="Z12041" i="77"/>
  <c r="AB12041" i="77"/>
  <c r="AD12041" i="77"/>
  <c r="AF12041" i="77"/>
  <c r="AH12041" i="77"/>
  <c r="AJ12041" i="77"/>
  <c r="AL12041" i="77"/>
  <c r="AN12041" i="77"/>
  <c r="AP12041" i="77"/>
  <c r="AR12041" i="77"/>
  <c r="AT12041" i="77"/>
  <c r="AV12041" i="77"/>
  <c r="AX12041" i="77"/>
  <c r="AZ12041" i="77"/>
  <c r="BB12041" i="77"/>
  <c r="BD12041" i="77"/>
  <c r="BF12041" i="77"/>
  <c r="BH12041" i="77"/>
  <c r="BJ12041" i="77"/>
  <c r="BL12041" i="77"/>
  <c r="BN12041" i="77"/>
  <c r="BP12041" i="77"/>
  <c r="BR12041" i="77"/>
  <c r="BT12041" i="77"/>
  <c r="BV12041" i="77"/>
  <c r="BX12041" i="77"/>
  <c r="BZ12041" i="77"/>
  <c r="B12042" i="77"/>
  <c r="D12042" i="77"/>
  <c r="F12042" i="77"/>
  <c r="H12042" i="77"/>
  <c r="J12042" i="77"/>
  <c r="L12042" i="77"/>
  <c r="N12042" i="77"/>
  <c r="P12042" i="77"/>
  <c r="R12042" i="77"/>
  <c r="T12042" i="77"/>
  <c r="V12042" i="77"/>
  <c r="X12042" i="77"/>
  <c r="Z12042" i="77"/>
  <c r="AB12042" i="77"/>
  <c r="AD12042" i="77"/>
  <c r="AF12042" i="77"/>
  <c r="AH12042" i="77"/>
  <c r="AJ12042" i="77"/>
  <c r="AL12042" i="77"/>
  <c r="AN12042" i="77"/>
  <c r="AP12042" i="77"/>
  <c r="AR12042" i="77"/>
  <c r="AT12042" i="77"/>
  <c r="AV12042" i="77"/>
  <c r="AX12042" i="77"/>
  <c r="AZ12042" i="77"/>
  <c r="BB12042" i="77"/>
  <c r="BD12042" i="77"/>
  <c r="BF12042" i="77"/>
  <c r="BH12042" i="77"/>
  <c r="BJ12042" i="77"/>
  <c r="BL12042" i="77"/>
  <c r="BN12042" i="77"/>
  <c r="BP12042" i="77"/>
  <c r="BR12042" i="77"/>
  <c r="BT12042" i="77"/>
  <c r="BV12042" i="77"/>
  <c r="BX12042" i="77"/>
  <c r="BZ12042" i="77"/>
  <c r="B12043" i="77"/>
  <c r="D12043" i="77"/>
  <c r="F12043" i="77"/>
  <c r="H12043" i="77"/>
  <c r="J12043" i="77"/>
  <c r="L12043" i="77"/>
  <c r="N12043" i="77"/>
  <c r="P12043" i="77"/>
  <c r="R12043" i="77"/>
  <c r="T12043" i="77"/>
  <c r="V12043" i="77"/>
  <c r="X12043" i="77"/>
  <c r="Z12043" i="77"/>
  <c r="AB12043" i="77"/>
  <c r="AD12043" i="77"/>
  <c r="AF12043" i="77"/>
  <c r="AH12043" i="77"/>
  <c r="AJ12043" i="77"/>
  <c r="AL12043" i="77"/>
  <c r="AN12043" i="77"/>
  <c r="AP12043" i="77"/>
  <c r="AR12043" i="77"/>
  <c r="AT12043" i="77"/>
  <c r="AV12043" i="77"/>
  <c r="AX12043" i="77"/>
  <c r="AZ12043" i="77"/>
  <c r="BB12043" i="77"/>
  <c r="BD12043" i="77"/>
  <c r="BF12043" i="77"/>
  <c r="BH12043" i="77"/>
  <c r="BJ12043" i="77"/>
  <c r="BL12043" i="77"/>
  <c r="BN12043" i="77"/>
  <c r="BP12043" i="77"/>
  <c r="BR12043" i="77"/>
  <c r="BT12043" i="77"/>
  <c r="BV12043" i="77"/>
  <c r="BX12043" i="77"/>
  <c r="BZ12043" i="77"/>
  <c r="B12044" i="77"/>
  <c r="D12044" i="77"/>
  <c r="F12044" i="77"/>
  <c r="H12044" i="77"/>
  <c r="J12044" i="77"/>
  <c r="L12044" i="77"/>
  <c r="N12044" i="77"/>
  <c r="P12044" i="77"/>
  <c r="R12044" i="77"/>
  <c r="T12044" i="77"/>
  <c r="V12044" i="77"/>
  <c r="X12044" i="77"/>
  <c r="Z12044" i="77"/>
  <c r="AB12044" i="77"/>
  <c r="AD12044" i="77"/>
  <c r="AF12044" i="77"/>
  <c r="AH12044" i="77"/>
  <c r="AJ12044" i="77"/>
  <c r="AL12044" i="77"/>
  <c r="AN12044" i="77"/>
  <c r="AP12044" i="77"/>
  <c r="AR12044" i="77"/>
  <c r="AT12044" i="77"/>
  <c r="AV12044" i="77"/>
  <c r="AX12044" i="77"/>
  <c r="AZ12044" i="77"/>
  <c r="BB12044" i="77"/>
  <c r="BD12044" i="77"/>
  <c r="BF12044" i="77"/>
  <c r="BH12044" i="77"/>
  <c r="BJ12044" i="77"/>
  <c r="BL12044" i="77"/>
  <c r="BN12044" i="77"/>
  <c r="BP12044" i="77"/>
  <c r="BR12044" i="77"/>
  <c r="BT12044" i="77"/>
  <c r="BV12044" i="77"/>
  <c r="BX12044" i="77"/>
  <c r="BZ12044" i="77"/>
  <c r="B12045" i="77"/>
  <c r="D12045" i="77"/>
  <c r="F12045" i="77"/>
  <c r="H12045" i="77"/>
  <c r="J12045" i="77"/>
  <c r="L12045" i="77"/>
  <c r="N12045" i="77"/>
  <c r="P12045" i="77"/>
  <c r="R12045" i="77"/>
  <c r="T12045" i="77"/>
  <c r="V12045" i="77"/>
  <c r="X12045" i="77"/>
  <c r="Z12045" i="77"/>
  <c r="AB12045" i="77"/>
  <c r="AD12045" i="77"/>
  <c r="AF12045" i="77"/>
  <c r="AH12045" i="77"/>
  <c r="AJ12045" i="77"/>
  <c r="AL12045" i="77"/>
  <c r="AN12045" i="77"/>
  <c r="AP12045" i="77"/>
  <c r="AR12045" i="77"/>
  <c r="AT12045" i="77"/>
  <c r="AV12045" i="77"/>
  <c r="AX12045" i="77"/>
  <c r="AZ12045" i="77"/>
  <c r="BB12045" i="77"/>
  <c r="BD12045" i="77"/>
  <c r="BF12045" i="77"/>
  <c r="BH12045" i="77"/>
  <c r="BJ12045" i="77"/>
  <c r="BL12045" i="77"/>
  <c r="BN12045" i="77"/>
  <c r="BP12045" i="77"/>
  <c r="BR12045" i="77"/>
  <c r="BT12045" i="77"/>
  <c r="BV12045" i="77"/>
  <c r="BX12045" i="77"/>
  <c r="BZ12045" i="77"/>
  <c r="B12046" i="77"/>
  <c r="D12046" i="77"/>
  <c r="F12046" i="77"/>
  <c r="H12046" i="77"/>
  <c r="J12046" i="77"/>
  <c r="L12046" i="77"/>
  <c r="N12046" i="77"/>
  <c r="P12046" i="77"/>
  <c r="R12046" i="77"/>
  <c r="T12046" i="77"/>
  <c r="V12046" i="77"/>
  <c r="X12046" i="77"/>
  <c r="Z12046" i="77"/>
  <c r="AB12046" i="77"/>
  <c r="AD12046" i="77"/>
  <c r="AF12046" i="77"/>
  <c r="AH12046" i="77"/>
  <c r="AJ12046" i="77"/>
  <c r="AL12046" i="77"/>
  <c r="AN12046" i="77"/>
  <c r="AP12046" i="77"/>
  <c r="AR12046" i="77"/>
  <c r="AT12046" i="77"/>
  <c r="AV12046" i="77"/>
  <c r="AX12046" i="77"/>
  <c r="AZ12046" i="77"/>
  <c r="BB12046" i="77"/>
  <c r="BD12046" i="77"/>
  <c r="BF12046" i="77"/>
  <c r="BH12046" i="77"/>
  <c r="BJ12046" i="77"/>
  <c r="BL12046" i="77"/>
  <c r="BN12046" i="77"/>
  <c r="BP12046" i="77"/>
  <c r="BR12046" i="77"/>
  <c r="BT12046" i="77"/>
  <c r="BV12046" i="77"/>
  <c r="BX12046" i="77"/>
  <c r="BZ12046" i="77"/>
  <c r="B12047" i="77"/>
  <c r="D12047" i="77"/>
  <c r="F12047" i="77"/>
  <c r="H12047" i="77"/>
  <c r="J12047" i="77"/>
  <c r="L12047" i="77"/>
  <c r="N12047" i="77"/>
  <c r="P12047" i="77"/>
  <c r="R12047" i="77"/>
  <c r="T12047" i="77"/>
  <c r="V12047" i="77"/>
  <c r="X12047" i="77"/>
  <c r="Z12047" i="77"/>
  <c r="AB12047" i="77"/>
  <c r="AD12047" i="77"/>
  <c r="AF12047" i="77"/>
  <c r="AH12047" i="77"/>
  <c r="AJ12047" i="77"/>
  <c r="AL12047" i="77"/>
  <c r="AN12047" i="77"/>
  <c r="AP12047" i="77"/>
  <c r="AR12047" i="77"/>
  <c r="AT12047" i="77"/>
  <c r="AV12047" i="77"/>
  <c r="AX12047" i="77"/>
  <c r="AZ12047" i="77"/>
  <c r="BB12047" i="77"/>
  <c r="BD12047" i="77"/>
  <c r="BF12047" i="77"/>
  <c r="BH12047" i="77"/>
  <c r="BJ12047" i="77"/>
  <c r="BL12047" i="77"/>
  <c r="BN12047" i="77"/>
  <c r="BP12047" i="77"/>
  <c r="BR12047" i="77"/>
  <c r="BT12047" i="77"/>
  <c r="BV12047" i="77"/>
  <c r="BX12047" i="77"/>
  <c r="BZ12047" i="77"/>
  <c r="B12048" i="77"/>
  <c r="D12048" i="77"/>
  <c r="F12048" i="77"/>
  <c r="H12048" i="77"/>
  <c r="J12048" i="77"/>
  <c r="L12048" i="77"/>
  <c r="N12048" i="77"/>
  <c r="P12048" i="77"/>
  <c r="R12048" i="77"/>
  <c r="T12048" i="77"/>
  <c r="V12048" i="77"/>
  <c r="X12048" i="77"/>
  <c r="Z12048" i="77"/>
  <c r="AB12048" i="77"/>
  <c r="AD12048" i="77"/>
  <c r="AF12048" i="77"/>
  <c r="AH12048" i="77"/>
  <c r="AJ12048" i="77"/>
  <c r="AL12048" i="77"/>
  <c r="AN12048" i="77"/>
  <c r="AP12048" i="77"/>
  <c r="AR12048" i="77"/>
  <c r="AT12048" i="77"/>
  <c r="AV12048" i="77"/>
  <c r="AX12048" i="77"/>
  <c r="AZ12048" i="77"/>
  <c r="BB12048" i="77"/>
  <c r="BD12048" i="77"/>
  <c r="BF12048" i="77"/>
  <c r="BH12048" i="77"/>
  <c r="BJ12048" i="77"/>
  <c r="BL12048" i="77"/>
  <c r="BN12048" i="77"/>
  <c r="BP12048" i="77"/>
  <c r="BR12048" i="77"/>
  <c r="BT12048" i="77"/>
  <c r="BV12048" i="77"/>
  <c r="BX12048" i="77"/>
  <c r="BZ12048" i="77"/>
  <c r="B12049" i="77"/>
  <c r="D12049" i="77"/>
  <c r="F12049" i="77"/>
  <c r="H12049" i="77"/>
  <c r="J12049" i="77"/>
  <c r="L12049" i="77"/>
  <c r="N12049" i="77"/>
  <c r="P12049" i="77"/>
  <c r="R12049" i="77"/>
  <c r="T12049" i="77"/>
  <c r="V12049" i="77"/>
  <c r="X12049" i="77"/>
  <c r="Z12049" i="77"/>
  <c r="AB12049" i="77"/>
  <c r="AD12049" i="77"/>
  <c r="AF12049" i="77"/>
  <c r="AH12049" i="77"/>
  <c r="AJ12049" i="77"/>
  <c r="AL12049" i="77"/>
  <c r="AN12049" i="77"/>
  <c r="AP12049" i="77"/>
  <c r="AR12049" i="77"/>
  <c r="AT12049" i="77"/>
  <c r="AV12049" i="77"/>
  <c r="AX12049" i="77"/>
  <c r="AZ12049" i="77"/>
  <c r="BB12049" i="77"/>
  <c r="BD12049" i="77"/>
  <c r="BF12049" i="77"/>
  <c r="BH12049" i="77"/>
  <c r="BJ12049" i="77"/>
  <c r="BL12049" i="77"/>
  <c r="BN12049" i="77"/>
  <c r="BP12049" i="77"/>
  <c r="BR12049" i="77"/>
  <c r="BT12049" i="77"/>
  <c r="BV12049" i="77"/>
  <c r="BX12049" i="77"/>
  <c r="BZ12049" i="77"/>
  <c r="B12050" i="77"/>
  <c r="D12050" i="77"/>
  <c r="F12050" i="77"/>
  <c r="H12050" i="77"/>
  <c r="J12050" i="77"/>
  <c r="L12050" i="77"/>
  <c r="N12050" i="77"/>
  <c r="P12050" i="77"/>
  <c r="R12050" i="77"/>
  <c r="T12050" i="77"/>
  <c r="V12050" i="77"/>
  <c r="X12050" i="77"/>
  <c r="Z12050" i="77"/>
  <c r="AB12050" i="77"/>
  <c r="AD12050" i="77"/>
  <c r="AF12050" i="77"/>
  <c r="AH12050" i="77"/>
  <c r="AJ12050" i="77"/>
  <c r="AL12050" i="77"/>
  <c r="AN12050" i="77"/>
  <c r="AP12050" i="77"/>
  <c r="AR12050" i="77"/>
  <c r="AT12050" i="77"/>
  <c r="AV12050" i="77"/>
  <c r="AX12050" i="77"/>
  <c r="AZ12050" i="77"/>
  <c r="BB12050" i="77"/>
  <c r="BD12050" i="77"/>
  <c r="BF12050" i="77"/>
  <c r="BH12050" i="77"/>
  <c r="BJ12050" i="77"/>
  <c r="BL12050" i="77"/>
  <c r="BN12050" i="77"/>
  <c r="BP12050" i="77"/>
  <c r="BR12050" i="77"/>
  <c r="BT12050" i="77"/>
  <c r="BV12050" i="77"/>
  <c r="BX12050" i="77"/>
  <c r="BZ12050" i="77"/>
  <c r="B12051" i="77"/>
  <c r="D12051" i="77"/>
  <c r="F12051" i="77"/>
  <c r="H12051" i="77"/>
  <c r="J12051" i="77"/>
  <c r="L12051" i="77"/>
  <c r="N12051" i="77"/>
  <c r="P12051" i="77"/>
  <c r="R12051" i="77"/>
  <c r="T12051" i="77"/>
  <c r="V12051" i="77"/>
  <c r="X12051" i="77"/>
  <c r="Z12051" i="77"/>
  <c r="AB12051" i="77"/>
  <c r="AD12051" i="77"/>
  <c r="AF12051" i="77"/>
  <c r="AH12051" i="77"/>
  <c r="AJ12051" i="77"/>
  <c r="AL12051" i="77"/>
  <c r="AN12051" i="77"/>
  <c r="AP12051" i="77"/>
  <c r="AR12051" i="77"/>
  <c r="AT12051" i="77"/>
  <c r="AV12051" i="77"/>
  <c r="AX12051" i="77"/>
  <c r="AZ12051" i="77"/>
  <c r="BB12051" i="77"/>
  <c r="BD12051" i="77"/>
  <c r="BF12051" i="77"/>
  <c r="BH12051" i="77"/>
  <c r="BJ12051" i="77"/>
  <c r="BL12051" i="77"/>
  <c r="BN12051" i="77"/>
  <c r="BP12051" i="77"/>
  <c r="BR12051" i="77"/>
  <c r="BT12051" i="77"/>
  <c r="BV12051" i="77"/>
  <c r="BX12051" i="77"/>
  <c r="BZ12051" i="77"/>
  <c r="B12052" i="77"/>
  <c r="D12052" i="77"/>
  <c r="F12052" i="77"/>
  <c r="H12052" i="77"/>
  <c r="J12052" i="77"/>
  <c r="L12052" i="77"/>
  <c r="N12052" i="77"/>
  <c r="P12052" i="77"/>
  <c r="R12052" i="77"/>
  <c r="T12052" i="77"/>
  <c r="V12052" i="77"/>
  <c r="X12052" i="77"/>
  <c r="Z12052" i="77"/>
  <c r="AB12052" i="77"/>
  <c r="AD12052" i="77"/>
  <c r="AF12052" i="77"/>
  <c r="AH12052" i="77"/>
  <c r="AJ12052" i="77"/>
  <c r="AL12052" i="77"/>
  <c r="AN12052" i="77"/>
  <c r="AP12052" i="77"/>
  <c r="AR12052" i="77"/>
  <c r="AT12052" i="77"/>
  <c r="AV12052" i="77"/>
  <c r="AX12052" i="77"/>
  <c r="AZ12052" i="77"/>
  <c r="BB12052" i="77"/>
  <c r="BD12052" i="77"/>
  <c r="BF12052" i="77"/>
  <c r="BH12052" i="77"/>
  <c r="BJ12052" i="77"/>
  <c r="BL12052" i="77"/>
  <c r="BN12052" i="77"/>
  <c r="BP12052" i="77"/>
  <c r="BR12052" i="77"/>
  <c r="BT12052" i="77"/>
  <c r="BV12052" i="77"/>
  <c r="BX12052" i="77"/>
  <c r="BZ12052" i="77"/>
  <c r="B12053" i="77"/>
  <c r="D12053" i="77"/>
  <c r="F12053" i="77"/>
  <c r="H12053" i="77"/>
  <c r="J12053" i="77"/>
  <c r="L12053" i="77"/>
  <c r="N12053" i="77"/>
  <c r="P12053" i="77"/>
  <c r="R12053" i="77"/>
  <c r="T12053" i="77"/>
  <c r="V12053" i="77"/>
  <c r="X12053" i="77"/>
  <c r="Z12053" i="77"/>
  <c r="AB12053" i="77"/>
  <c r="AD12053" i="77"/>
  <c r="AF12053" i="77"/>
  <c r="AH12053" i="77"/>
  <c r="AJ12053" i="77"/>
  <c r="AL12053" i="77"/>
  <c r="AN12053" i="77"/>
  <c r="AP12053" i="77"/>
  <c r="AR12053" i="77"/>
  <c r="AT12053" i="77"/>
  <c r="AV12053" i="77"/>
  <c r="AX12053" i="77"/>
  <c r="AZ12053" i="77"/>
  <c r="BB12053" i="77"/>
  <c r="BD12053" i="77"/>
  <c r="BF12053" i="77"/>
  <c r="BH12053" i="77"/>
  <c r="BJ12053" i="77"/>
  <c r="BL12053" i="77"/>
  <c r="BN12053" i="77"/>
  <c r="BP12053" i="77"/>
  <c r="BR12053" i="77"/>
  <c r="BT12053" i="77"/>
  <c r="BV12053" i="77"/>
  <c r="BX12053" i="77"/>
  <c r="BZ12053" i="77"/>
  <c r="B12054" i="77"/>
  <c r="D12054" i="77"/>
  <c r="F12054" i="77"/>
  <c r="H12054" i="77"/>
  <c r="J12054" i="77"/>
  <c r="L12054" i="77"/>
  <c r="N12054" i="77"/>
  <c r="P12054" i="77"/>
  <c r="R12054" i="77"/>
  <c r="T12054" i="77"/>
  <c r="V12054" i="77"/>
  <c r="X12054" i="77"/>
  <c r="Z12054" i="77"/>
  <c r="AB12054" i="77"/>
  <c r="AD12054" i="77"/>
  <c r="AF12054" i="77"/>
  <c r="AH12054" i="77"/>
  <c r="AJ12054" i="77"/>
  <c r="AL12054" i="77"/>
  <c r="AN12054" i="77"/>
  <c r="AP12054" i="77"/>
  <c r="AR12054" i="77"/>
  <c r="AT12054" i="77"/>
  <c r="AV12054" i="77"/>
  <c r="AX12054" i="77"/>
  <c r="AZ12054" i="77"/>
  <c r="BB12054" i="77"/>
  <c r="BD12054" i="77"/>
  <c r="BF12054" i="77"/>
  <c r="BH12054" i="77"/>
  <c r="BJ12054" i="77"/>
  <c r="BL12054" i="77"/>
  <c r="BN12054" i="77"/>
  <c r="BP12054" i="77"/>
  <c r="BR12054" i="77"/>
  <c r="BT12054" i="77"/>
  <c r="BV12054" i="77"/>
  <c r="BX12054" i="77"/>
  <c r="BZ12054" i="77"/>
  <c r="C62" i="78"/>
  <c r="C8" i="78"/>
  <c r="FR5" i="2"/>
  <c r="AS5" i="155" s="1"/>
  <c r="FQ5" i="2"/>
  <c r="AQ5" i="155" s="1"/>
  <c r="FP5" i="2"/>
  <c r="AO5" i="155" s="1"/>
  <c r="FO5" i="2"/>
  <c r="AM5" i="155" s="1"/>
  <c r="FN5" i="2"/>
  <c r="AK5" i="155" s="1"/>
  <c r="FM5" i="2"/>
  <c r="FL5" i="2"/>
  <c r="AI5" i="155" s="1"/>
  <c r="FK5" i="2"/>
  <c r="AG5" i="155" s="1"/>
  <c r="FJ5" i="2"/>
  <c r="M12" i="155" s="1"/>
  <c r="EO138" i="2" s="1"/>
  <c r="FI5" i="2"/>
  <c r="L12" i="155" s="1"/>
  <c r="EN138" i="2" s="1"/>
  <c r="FH5" i="2"/>
  <c r="AC5" i="155" s="1"/>
  <c r="FG5" i="2"/>
  <c r="FF5" i="2"/>
  <c r="FE5" i="2"/>
  <c r="Y5" i="155" s="1"/>
  <c r="FD5" i="2"/>
  <c r="M10" i="155" s="1"/>
  <c r="EO136" i="2" s="1"/>
  <c r="FC5" i="2"/>
  <c r="L10" i="155" s="1"/>
  <c r="EN136" i="2" s="1"/>
  <c r="FB5" i="2"/>
  <c r="U5" i="155" s="1"/>
  <c r="FA5" i="2"/>
  <c r="EZ5" i="2"/>
  <c r="EY5" i="2"/>
  <c r="EX5" i="2"/>
  <c r="EW5" i="2"/>
  <c r="AR5" i="155" s="1"/>
  <c r="EV5" i="2"/>
  <c r="S5" i="154" s="1"/>
  <c r="EU5" i="2"/>
  <c r="P5" i="155" s="1"/>
  <c r="ET5" i="2"/>
  <c r="S5" i="155" s="1"/>
  <c r="ES5" i="2"/>
  <c r="P5" i="154" s="1"/>
  <c r="ER5" i="2"/>
  <c r="O5" i="154" s="1"/>
  <c r="EQ5" i="2"/>
  <c r="EP5" i="2"/>
  <c r="M5" i="154" s="1"/>
  <c r="EO5" i="2"/>
  <c r="Q8" i="155" s="1"/>
  <c r="EZ134" i="2" s="1"/>
  <c r="EN5" i="2"/>
  <c r="W10" i="155" s="1"/>
  <c r="FC136" i="2" s="1"/>
  <c r="EM5" i="2"/>
  <c r="E11" i="154" s="1"/>
  <c r="EL5" i="2"/>
  <c r="EK5" i="2"/>
  <c r="H5" i="155" s="1"/>
  <c r="EJ5" i="2"/>
  <c r="F5" i="154" s="1"/>
  <c r="EI5" i="2"/>
  <c r="AK5" i="145" s="1"/>
  <c r="EH5" i="2"/>
  <c r="AI5" i="145" s="1"/>
  <c r="EG5" i="2"/>
  <c r="AG5" i="145" s="1"/>
  <c r="EF5" i="2"/>
  <c r="AE5" i="145" s="1"/>
  <c r="EE5" i="2"/>
  <c r="AC5" i="145" s="1"/>
  <c r="ED5" i="2"/>
  <c r="AA5" i="145" s="1"/>
  <c r="EC5" i="2"/>
  <c r="Y5" i="145" s="1"/>
  <c r="EB5" i="2"/>
  <c r="M10" i="145" s="1"/>
  <c r="DL118" i="2" s="1"/>
  <c r="EA5" i="2"/>
  <c r="W5" i="145" s="1"/>
  <c r="DZ5" i="2"/>
  <c r="U5" i="145" s="1"/>
  <c r="DY5" i="2"/>
  <c r="DX5" i="2"/>
  <c r="DW5" i="2"/>
  <c r="DV5" i="2"/>
  <c r="N5" i="145" s="1"/>
  <c r="DU5" i="2"/>
  <c r="DT5" i="2"/>
  <c r="AF5" i="145" s="1"/>
  <c r="DS5" i="2"/>
  <c r="E15" i="144" s="1"/>
  <c r="DR5" i="2"/>
  <c r="DQ5" i="2"/>
  <c r="L8" i="145" s="1"/>
  <c r="DK116" i="2" s="1"/>
  <c r="DP5" i="2"/>
  <c r="P5" i="144" s="1"/>
  <c r="DO5" i="2"/>
  <c r="O5" i="144" s="1"/>
  <c r="DN5" i="2"/>
  <c r="N5" i="144" s="1"/>
  <c r="DM5" i="2"/>
  <c r="DL5" i="2"/>
  <c r="X10" i="145" s="1"/>
  <c r="EB118" i="2" s="1"/>
  <c r="DK5" i="2"/>
  <c r="L12" i="145" s="1"/>
  <c r="DK120" i="2" s="1"/>
  <c r="DJ5" i="2"/>
  <c r="I5" i="144" s="1"/>
  <c r="DI5" i="2"/>
  <c r="DH5" i="2"/>
  <c r="DG5" i="2"/>
  <c r="DF5" i="2"/>
  <c r="DE5" i="2"/>
  <c r="DD5" i="2"/>
  <c r="AL5" i="140" s="1"/>
  <c r="DC5" i="2"/>
  <c r="DB5" i="2"/>
  <c r="DA5" i="2"/>
  <c r="CZ5" i="2"/>
  <c r="AH5" i="140" s="1"/>
  <c r="CY5" i="2"/>
  <c r="CX5" i="2"/>
  <c r="X5" i="140" s="1"/>
  <c r="CW5" i="2"/>
  <c r="CV5" i="2"/>
  <c r="M17" i="140" s="1"/>
  <c r="CE98" i="2" s="1"/>
  <c r="CU5" i="2"/>
  <c r="CT5" i="2"/>
  <c r="AW5" i="140" s="1"/>
  <c r="CS5" i="2"/>
  <c r="CR5" i="2"/>
  <c r="CQ5" i="2"/>
  <c r="X5" i="139" s="1"/>
  <c r="CP5" i="2"/>
  <c r="E18" i="139" s="1"/>
  <c r="CO5" i="2"/>
  <c r="CN5" i="2"/>
  <c r="CM5" i="2"/>
  <c r="CL5" i="2"/>
  <c r="E14" i="139" s="1"/>
  <c r="CK5" i="2"/>
  <c r="CJ5" i="2"/>
  <c r="O5" i="155" s="1"/>
  <c r="CI5" i="2"/>
  <c r="CH5" i="2"/>
  <c r="O5" i="139" s="1"/>
  <c r="CG5" i="2"/>
  <c r="K5" i="139" s="1"/>
  <c r="CF5" i="2"/>
  <c r="CE5" i="2"/>
  <c r="M5" i="140" s="1"/>
  <c r="CD5" i="2"/>
  <c r="H5" i="139" s="1"/>
  <c r="CC5" i="2"/>
  <c r="K5" i="140" s="1"/>
  <c r="CB5" i="2"/>
  <c r="AS16" i="140" s="1"/>
  <c r="CI97" i="2" s="1"/>
  <c r="CA5" i="2"/>
  <c r="L5" i="144" s="1"/>
  <c r="BZ5" i="2"/>
  <c r="L5" i="139" s="1"/>
  <c r="BY5" i="2"/>
  <c r="BN5" i="134" s="1"/>
  <c r="BX5" i="2"/>
  <c r="BM5" i="134" s="1"/>
  <c r="BW5" i="2"/>
  <c r="BI5" i="134" s="1"/>
  <c r="BV5" i="2"/>
  <c r="BH5" i="134" s="1"/>
  <c r="BU5" i="2"/>
  <c r="BT5" i="2"/>
  <c r="BS5" i="2"/>
  <c r="BB5" i="134" s="1"/>
  <c r="BR5" i="2"/>
  <c r="BQ5" i="2"/>
  <c r="AZ5" i="134" s="1"/>
  <c r="BP5" i="2"/>
  <c r="AX5" i="134" s="1"/>
  <c r="BO5" i="2"/>
  <c r="AV5" i="134" s="1"/>
  <c r="BN5" i="2"/>
  <c r="AT5" i="134" s="1"/>
  <c r="BM5" i="2"/>
  <c r="BL5" i="2"/>
  <c r="AO5" i="140" s="1"/>
  <c r="BK5" i="2"/>
  <c r="BJ5" i="2"/>
  <c r="BI5" i="2"/>
  <c r="BH5" i="2"/>
  <c r="AI5" i="134" s="1"/>
  <c r="BG5" i="2"/>
  <c r="BF5" i="2"/>
  <c r="BE5" i="2"/>
  <c r="BD5" i="2"/>
  <c r="AE5" i="134" s="1"/>
  <c r="BC5" i="2"/>
  <c r="BB5" i="2"/>
  <c r="BA5" i="2"/>
  <c r="AZ5" i="2"/>
  <c r="AA5" i="134" s="1"/>
  <c r="AY5" i="2"/>
  <c r="Z5" i="134" s="1"/>
  <c r="AX5" i="2"/>
  <c r="Y5" i="134" s="1"/>
  <c r="AW5" i="2"/>
  <c r="X5" i="134" s="1"/>
  <c r="AV5" i="2"/>
  <c r="W5" i="134" s="1"/>
  <c r="AU5" i="2"/>
  <c r="V5" i="134" s="1"/>
  <c r="AT5" i="2"/>
  <c r="U5" i="134" s="1"/>
  <c r="AS5" i="2"/>
  <c r="T5" i="134" s="1"/>
  <c r="AR5" i="2"/>
  <c r="S5" i="134" s="1"/>
  <c r="AQ5" i="2"/>
  <c r="AP5" i="2"/>
  <c r="Q5" i="134" s="1"/>
  <c r="AO5" i="2"/>
  <c r="P5" i="134" s="1"/>
  <c r="AN5" i="2"/>
  <c r="O5" i="134" s="1"/>
  <c r="AM5" i="2"/>
  <c r="M8" i="134" s="1"/>
  <c r="R34" i="2" s="1"/>
  <c r="AL5" i="2"/>
  <c r="AL5" i="133" s="1"/>
  <c r="AK5" i="2"/>
  <c r="AJ5" i="2"/>
  <c r="C26" i="132" s="1"/>
  <c r="F21" i="59" s="1"/>
  <c r="AI5" i="2"/>
  <c r="AH5" i="2"/>
  <c r="H5" i="140" s="1"/>
  <c r="AG5" i="2"/>
  <c r="AF5" i="2"/>
  <c r="AZ5" i="140" s="1"/>
  <c r="AE5" i="2"/>
  <c r="AD5" i="2"/>
  <c r="B24" i="132" s="1"/>
  <c r="F15" i="59" s="1"/>
  <c r="AC5" i="2"/>
  <c r="AB5" i="2"/>
  <c r="AN5" i="134" s="1"/>
  <c r="AA5" i="2"/>
  <c r="Z5" i="2"/>
  <c r="Z5" i="133" s="1"/>
  <c r="Y5" i="2"/>
  <c r="X5" i="2"/>
  <c r="X5" i="133" s="1"/>
  <c r="W5" i="2"/>
  <c r="V5" i="2"/>
  <c r="P5" i="140" s="1"/>
  <c r="U5" i="2"/>
  <c r="T5" i="2"/>
  <c r="J5" i="134" s="1"/>
  <c r="S5" i="2"/>
  <c r="BQ5" i="134" s="1"/>
  <c r="R5" i="2"/>
  <c r="G8" i="134" s="1"/>
  <c r="AM34" i="2" s="1"/>
  <c r="Q5" i="2"/>
  <c r="G7" i="134" s="1"/>
  <c r="AM33" i="2" s="1"/>
  <c r="P5" i="2"/>
  <c r="H5" i="134" s="1"/>
  <c r="O5" i="2"/>
  <c r="BP5" i="134" s="1"/>
  <c r="N5" i="2"/>
  <c r="J6" i="134" s="1"/>
  <c r="T32" i="2" s="1"/>
  <c r="M5" i="2"/>
  <c r="E11" i="133" s="1"/>
  <c r="L5" i="2"/>
  <c r="L5" i="133" s="1"/>
  <c r="K5" i="2"/>
  <c r="M5" i="139" s="1"/>
  <c r="J5" i="2"/>
  <c r="E8" i="133" s="1"/>
  <c r="I5" i="2"/>
  <c r="E7" i="133" s="1"/>
  <c r="H5" i="2"/>
  <c r="G5" i="2"/>
  <c r="G5" i="133" s="1"/>
  <c r="F5" i="2"/>
  <c r="F5" i="133" s="1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FR2" i="2"/>
  <c r="FR4" i="2"/>
  <c r="FR3" i="2"/>
  <c r="EW141" i="2"/>
  <c r="FQ2" i="2"/>
  <c r="FQ4" i="2"/>
  <c r="FQ3" i="2"/>
  <c r="FP2" i="2"/>
  <c r="FP4" i="2"/>
  <c r="FP3" i="2"/>
  <c r="EV140" i="2"/>
  <c r="FO2" i="2"/>
  <c r="FO4" i="2"/>
  <c r="FO3" i="2"/>
  <c r="FN2" i="2"/>
  <c r="FN4" i="2"/>
  <c r="FN3" i="2"/>
  <c r="FM2" i="2"/>
  <c r="FM4" i="2"/>
  <c r="FM3" i="2"/>
  <c r="FL2" i="2"/>
  <c r="FL4" i="2"/>
  <c r="FL3" i="2"/>
  <c r="FK2" i="2"/>
  <c r="FK4" i="2"/>
  <c r="FK3" i="2"/>
  <c r="FJ2" i="2"/>
  <c r="FJ4" i="2"/>
  <c r="FJ3" i="2"/>
  <c r="FI2" i="2"/>
  <c r="FI4" i="2"/>
  <c r="FI3" i="2"/>
  <c r="FH2" i="2"/>
  <c r="FH4" i="2"/>
  <c r="FH3" i="2"/>
  <c r="FG2" i="2"/>
  <c r="FG4" i="2"/>
  <c r="FG3" i="2"/>
  <c r="FF2" i="2"/>
  <c r="FF4" i="2"/>
  <c r="FF3" i="2"/>
  <c r="FE2" i="2"/>
  <c r="FE4" i="2"/>
  <c r="FE3" i="2"/>
  <c r="FD2" i="2"/>
  <c r="FD4" i="2"/>
  <c r="FD3" i="2"/>
  <c r="FC2" i="2"/>
  <c r="FC4" i="2"/>
  <c r="FC3" i="2"/>
  <c r="FB2" i="2"/>
  <c r="FB4" i="2"/>
  <c r="FB3" i="2"/>
  <c r="FA2" i="2"/>
  <c r="FA4" i="2"/>
  <c r="FA3" i="2"/>
  <c r="EZ2" i="2"/>
  <c r="EZ4" i="2"/>
  <c r="EZ3" i="2"/>
  <c r="EY133" i="2"/>
  <c r="EY2" i="2"/>
  <c r="EY4" i="2"/>
  <c r="EY3" i="2"/>
  <c r="EO133" i="2"/>
  <c r="EN133" i="2"/>
  <c r="EX2" i="2"/>
  <c r="EX4" i="2"/>
  <c r="EX3" i="2"/>
  <c r="B141" i="2"/>
  <c r="D141" i="2"/>
  <c r="C141" i="2"/>
  <c r="B140" i="2"/>
  <c r="D140" i="2"/>
  <c r="C140" i="2"/>
  <c r="B139" i="2"/>
  <c r="D139" i="2"/>
  <c r="C139" i="2"/>
  <c r="B138" i="2"/>
  <c r="D138" i="2"/>
  <c r="C138" i="2"/>
  <c r="B137" i="2"/>
  <c r="D137" i="2"/>
  <c r="C137" i="2"/>
  <c r="B136" i="2"/>
  <c r="D136" i="2"/>
  <c r="C136" i="2"/>
  <c r="B135" i="2"/>
  <c r="D135" i="2"/>
  <c r="C135" i="2"/>
  <c r="B134" i="2"/>
  <c r="D134" i="2"/>
  <c r="C134" i="2"/>
  <c r="EJ133" i="2"/>
  <c r="B133" i="2"/>
  <c r="D133" i="2"/>
  <c r="C133" i="2"/>
  <c r="B132" i="2"/>
  <c r="D132" i="2"/>
  <c r="C132" i="2"/>
  <c r="EW131" i="2"/>
  <c r="EW2" i="2"/>
  <c r="EW4" i="2"/>
  <c r="EW3" i="2"/>
  <c r="EV130" i="2"/>
  <c r="EV2" i="2"/>
  <c r="EV4" i="2"/>
  <c r="EV3" i="2"/>
  <c r="EU129" i="2"/>
  <c r="EU2" i="2"/>
  <c r="EU4" i="2"/>
  <c r="EU3" i="2"/>
  <c r="ET128" i="2"/>
  <c r="ET2" i="2"/>
  <c r="ET4" i="2"/>
  <c r="ET3" i="2"/>
  <c r="ES125" i="2"/>
  <c r="ES2" i="2"/>
  <c r="ES4" i="2"/>
  <c r="ES3" i="2"/>
  <c r="ER124" i="2"/>
  <c r="ER2" i="2"/>
  <c r="ER4" i="2"/>
  <c r="ER3" i="2"/>
  <c r="EQ122" i="2"/>
  <c r="EQ2" i="2"/>
  <c r="EQ4" i="2"/>
  <c r="EQ3" i="2"/>
  <c r="EP123" i="2"/>
  <c r="EP2" i="2"/>
  <c r="EP4" i="2"/>
  <c r="EP3" i="2"/>
  <c r="CG126" i="2"/>
  <c r="EO125" i="2"/>
  <c r="EO2" i="2"/>
  <c r="EO4" i="2"/>
  <c r="EO3" i="2"/>
  <c r="EN124" i="2"/>
  <c r="EN2" i="2"/>
  <c r="EN4" i="2"/>
  <c r="EN3" i="2"/>
  <c r="EM127" i="2"/>
  <c r="EM2" i="2"/>
  <c r="EM4" i="2"/>
  <c r="EM3" i="2"/>
  <c r="EL122" i="2"/>
  <c r="EL2" i="2"/>
  <c r="EL4" i="2"/>
  <c r="EL3" i="2"/>
  <c r="EK123" i="2"/>
  <c r="EK2" i="2"/>
  <c r="EK4" i="2"/>
  <c r="EK3" i="2"/>
  <c r="B131" i="2"/>
  <c r="D131" i="2"/>
  <c r="C131" i="2"/>
  <c r="B130" i="2"/>
  <c r="D130" i="2"/>
  <c r="C130" i="2"/>
  <c r="B129" i="2"/>
  <c r="D129" i="2"/>
  <c r="C129" i="2"/>
  <c r="B128" i="2"/>
  <c r="D128" i="2"/>
  <c r="C128" i="2"/>
  <c r="B127" i="2"/>
  <c r="D127" i="2"/>
  <c r="C127" i="2"/>
  <c r="EJ126" i="2"/>
  <c r="B126" i="2"/>
  <c r="D126" i="2"/>
  <c r="C126" i="2"/>
  <c r="B125" i="2"/>
  <c r="D125" i="2"/>
  <c r="C125" i="2"/>
  <c r="B124" i="2"/>
  <c r="D124" i="2"/>
  <c r="C124" i="2"/>
  <c r="B123" i="2"/>
  <c r="D123" i="2"/>
  <c r="C123" i="2"/>
  <c r="B122" i="2"/>
  <c r="D122" i="2"/>
  <c r="C122" i="2"/>
  <c r="EJ2" i="2"/>
  <c r="EJ4" i="2"/>
  <c r="EJ3" i="2"/>
  <c r="EI2" i="2"/>
  <c r="EI4" i="2"/>
  <c r="EI3" i="2"/>
  <c r="DS121" i="2"/>
  <c r="EH2" i="2"/>
  <c r="EH4" i="2"/>
  <c r="EH3" i="2"/>
  <c r="EG2" i="2"/>
  <c r="EG4" i="2"/>
  <c r="EG3" i="2"/>
  <c r="DT120" i="2"/>
  <c r="EF2" i="2"/>
  <c r="EF4" i="2"/>
  <c r="EF3" i="2"/>
  <c r="EE2" i="2"/>
  <c r="EE4" i="2"/>
  <c r="EE3" i="2"/>
  <c r="DR119" i="2"/>
  <c r="ED2" i="2"/>
  <c r="ED4" i="2"/>
  <c r="ED3" i="2"/>
  <c r="EC2" i="2"/>
  <c r="EC4" i="2"/>
  <c r="EC3" i="2"/>
  <c r="EB2" i="2"/>
  <c r="EB4" i="2"/>
  <c r="EB3" i="2"/>
  <c r="EA2" i="2"/>
  <c r="EA4" i="2"/>
  <c r="EA3" i="2"/>
  <c r="DZ2" i="2"/>
  <c r="DZ4" i="2"/>
  <c r="DZ3" i="2"/>
  <c r="DY2" i="2"/>
  <c r="DY4" i="2"/>
  <c r="DY3" i="2"/>
  <c r="DX2" i="2"/>
  <c r="DX4" i="2"/>
  <c r="DX3" i="2"/>
  <c r="DW2" i="2"/>
  <c r="DW4" i="2"/>
  <c r="DW3" i="2"/>
  <c r="DV115" i="2"/>
  <c r="DV2" i="2"/>
  <c r="DV4" i="2"/>
  <c r="DV3" i="2"/>
  <c r="DL115" i="2"/>
  <c r="DK115" i="2"/>
  <c r="DU2" i="2"/>
  <c r="DU4" i="2"/>
  <c r="DU3" i="2"/>
  <c r="B121" i="2"/>
  <c r="D121" i="2"/>
  <c r="C121" i="2"/>
  <c r="B120" i="2"/>
  <c r="D120" i="2"/>
  <c r="C120" i="2"/>
  <c r="B119" i="2"/>
  <c r="D119" i="2"/>
  <c r="C119" i="2"/>
  <c r="B118" i="2"/>
  <c r="D118" i="2"/>
  <c r="C118" i="2"/>
  <c r="B117" i="2"/>
  <c r="D117" i="2"/>
  <c r="C117" i="2"/>
  <c r="B116" i="2"/>
  <c r="D116" i="2"/>
  <c r="C116" i="2"/>
  <c r="DG115" i="2"/>
  <c r="B115" i="2"/>
  <c r="D115" i="2"/>
  <c r="C115" i="2"/>
  <c r="B114" i="2"/>
  <c r="D114" i="2"/>
  <c r="C114" i="2"/>
  <c r="DT112" i="2"/>
  <c r="DT2" i="2"/>
  <c r="DT4" i="2"/>
  <c r="DT3" i="2"/>
  <c r="DS113" i="2"/>
  <c r="DS2" i="2"/>
  <c r="DS4" i="2"/>
  <c r="DS3" i="2"/>
  <c r="DR111" i="2"/>
  <c r="DR2" i="2"/>
  <c r="DR4" i="2"/>
  <c r="DR3" i="2"/>
  <c r="DQ110" i="2"/>
  <c r="DQ2" i="2"/>
  <c r="DQ4" i="2"/>
  <c r="DQ3" i="2"/>
  <c r="DP107" i="2"/>
  <c r="DP2" i="2"/>
  <c r="DP4" i="2"/>
  <c r="DP3" i="2"/>
  <c r="DO106" i="2"/>
  <c r="DO2" i="2"/>
  <c r="DO4" i="2"/>
  <c r="DO3" i="2"/>
  <c r="DN104" i="2"/>
  <c r="DN2" i="2"/>
  <c r="DN4" i="2"/>
  <c r="DN3" i="2"/>
  <c r="DM105" i="2"/>
  <c r="DM2" i="2"/>
  <c r="DM4" i="2"/>
  <c r="DM3" i="2"/>
  <c r="CA108" i="2"/>
  <c r="DL107" i="2"/>
  <c r="DL2" i="2"/>
  <c r="DL4" i="2"/>
  <c r="DL3" i="2"/>
  <c r="DK106" i="2"/>
  <c r="DK2" i="2"/>
  <c r="DK4" i="2"/>
  <c r="DK3" i="2"/>
  <c r="DJ109" i="2"/>
  <c r="DJ2" i="2"/>
  <c r="DJ4" i="2"/>
  <c r="DJ3" i="2"/>
  <c r="DI104" i="2"/>
  <c r="DI2" i="2"/>
  <c r="DI4" i="2"/>
  <c r="DI3" i="2"/>
  <c r="DH105" i="2"/>
  <c r="DH2" i="2"/>
  <c r="DH4" i="2"/>
  <c r="DH3" i="2"/>
  <c r="B113" i="2"/>
  <c r="D113" i="2"/>
  <c r="C113" i="2"/>
  <c r="B112" i="2"/>
  <c r="D112" i="2"/>
  <c r="C112" i="2"/>
  <c r="B111" i="2"/>
  <c r="D111" i="2"/>
  <c r="C111" i="2"/>
  <c r="B110" i="2"/>
  <c r="D110" i="2"/>
  <c r="C110" i="2"/>
  <c r="B109" i="2"/>
  <c r="D109" i="2"/>
  <c r="C109" i="2"/>
  <c r="DG108" i="2"/>
  <c r="B108" i="2"/>
  <c r="D108" i="2"/>
  <c r="C108" i="2"/>
  <c r="B107" i="2"/>
  <c r="D107" i="2"/>
  <c r="C107" i="2"/>
  <c r="B106" i="2"/>
  <c r="D106" i="2"/>
  <c r="C106" i="2"/>
  <c r="B105" i="2"/>
  <c r="D105" i="2"/>
  <c r="C105" i="2"/>
  <c r="B104" i="2"/>
  <c r="D104" i="2"/>
  <c r="C104" i="2"/>
  <c r="DG2" i="2"/>
  <c r="DG4" i="2"/>
  <c r="DG3" i="2"/>
  <c r="CL94" i="2"/>
  <c r="DF2" i="2"/>
  <c r="DF4" i="2"/>
  <c r="DF3" i="2"/>
  <c r="DE2" i="2"/>
  <c r="DE4" i="2"/>
  <c r="DE3" i="2"/>
  <c r="DD2" i="2"/>
  <c r="DD4" i="2"/>
  <c r="DD3" i="2"/>
  <c r="DC2" i="2"/>
  <c r="DC4" i="2"/>
  <c r="DC3" i="2"/>
  <c r="DB102" i="2"/>
  <c r="DB2" i="2"/>
  <c r="DB4" i="2"/>
  <c r="DB3" i="2"/>
  <c r="DA101" i="2"/>
  <c r="DA2" i="2"/>
  <c r="DA4" i="2"/>
  <c r="DA3" i="2"/>
  <c r="CZ100" i="2"/>
  <c r="CZ2" i="2"/>
  <c r="CZ4" i="2"/>
  <c r="CZ3" i="2"/>
  <c r="CY99" i="2"/>
  <c r="CY2" i="2"/>
  <c r="CY4" i="2"/>
  <c r="CY3" i="2"/>
  <c r="CX2" i="2"/>
  <c r="CX4" i="2"/>
  <c r="CX3" i="2"/>
  <c r="CW103" i="2"/>
  <c r="CW2" i="2"/>
  <c r="CW4" i="2"/>
  <c r="CW3" i="2"/>
  <c r="CF98" i="2"/>
  <c r="B103" i="2"/>
  <c r="D103" i="2"/>
  <c r="C103" i="2"/>
  <c r="B102" i="2"/>
  <c r="D102" i="2"/>
  <c r="C102" i="2"/>
  <c r="B101" i="2"/>
  <c r="D101" i="2"/>
  <c r="C101" i="2"/>
  <c r="B100" i="2"/>
  <c r="D100" i="2"/>
  <c r="C100" i="2"/>
  <c r="B99" i="2"/>
  <c r="D99" i="2"/>
  <c r="C99" i="2"/>
  <c r="B98" i="2"/>
  <c r="D98" i="2"/>
  <c r="C98" i="2"/>
  <c r="B97" i="2"/>
  <c r="D97" i="2"/>
  <c r="C97" i="2"/>
  <c r="B96" i="2"/>
  <c r="D96" i="2"/>
  <c r="C96" i="2"/>
  <c r="B95" i="2"/>
  <c r="D95" i="2"/>
  <c r="C95" i="2"/>
  <c r="B94" i="2"/>
  <c r="D94" i="2"/>
  <c r="C94" i="2"/>
  <c r="B93" i="2"/>
  <c r="D93" i="2"/>
  <c r="C93" i="2"/>
  <c r="B92" i="2"/>
  <c r="D92" i="2"/>
  <c r="C92" i="2"/>
  <c r="B91" i="2"/>
  <c r="D91" i="2"/>
  <c r="C91" i="2"/>
  <c r="B90" i="2"/>
  <c r="D90" i="2"/>
  <c r="C90" i="2"/>
  <c r="B89" i="2"/>
  <c r="D89" i="2"/>
  <c r="C89" i="2"/>
  <c r="B88" i="2"/>
  <c r="D88" i="2"/>
  <c r="C88" i="2"/>
  <c r="B87" i="2"/>
  <c r="D87" i="2"/>
  <c r="C87" i="2"/>
  <c r="CV72" i="2"/>
  <c r="CV71" i="2"/>
  <c r="CV70" i="2"/>
  <c r="CV2" i="2"/>
  <c r="CV4" i="2"/>
  <c r="CV3" i="2"/>
  <c r="CU86" i="2"/>
  <c r="CU2" i="2"/>
  <c r="CU4" i="2"/>
  <c r="CU3" i="2"/>
  <c r="CT85" i="2"/>
  <c r="CT2" i="2"/>
  <c r="CT4" i="2"/>
  <c r="CT3" i="2"/>
  <c r="CS84" i="2"/>
  <c r="CS2" i="2"/>
  <c r="CS4" i="2"/>
  <c r="CS3" i="2"/>
  <c r="CR83" i="2"/>
  <c r="CR2" i="2"/>
  <c r="CR4" i="2"/>
  <c r="CR3" i="2"/>
  <c r="CQ82" i="2"/>
  <c r="CQ2" i="2"/>
  <c r="CQ4" i="2"/>
  <c r="CQ3" i="2"/>
  <c r="CP81" i="2"/>
  <c r="CP2" i="2"/>
  <c r="CP4" i="2"/>
  <c r="CP3" i="2"/>
  <c r="CO80" i="2"/>
  <c r="CO2" i="2"/>
  <c r="CO4" i="2"/>
  <c r="CO3" i="2"/>
  <c r="CN79" i="2"/>
  <c r="CN2" i="2"/>
  <c r="CN4" i="2"/>
  <c r="CN3" i="2"/>
  <c r="CM78" i="2"/>
  <c r="CM2" i="2"/>
  <c r="CM4" i="2"/>
  <c r="CM3" i="2"/>
  <c r="CL77" i="2"/>
  <c r="CL2" i="2"/>
  <c r="CL4" i="2"/>
  <c r="CL3" i="2"/>
  <c r="CK76" i="2"/>
  <c r="CK2" i="2"/>
  <c r="CK4" i="2"/>
  <c r="CK3" i="2"/>
  <c r="CJ75" i="2"/>
  <c r="CJ2" i="2"/>
  <c r="CJ4" i="2"/>
  <c r="CJ3" i="2"/>
  <c r="CI74" i="2"/>
  <c r="CI2" i="2"/>
  <c r="CI4" i="2"/>
  <c r="CI3" i="2"/>
  <c r="CH73" i="2"/>
  <c r="CH2" i="2"/>
  <c r="CH4" i="2"/>
  <c r="CH3" i="2"/>
  <c r="L72" i="2"/>
  <c r="K71" i="2"/>
  <c r="BZ70" i="2"/>
  <c r="CG69" i="2"/>
  <c r="CG2" i="2"/>
  <c r="CG4" i="2"/>
  <c r="CG3" i="2"/>
  <c r="CF73" i="2"/>
  <c r="CF2" i="2"/>
  <c r="CF4" i="2"/>
  <c r="CF3" i="2"/>
  <c r="CE72" i="2"/>
  <c r="CE2" i="2"/>
  <c r="CE4" i="2"/>
  <c r="CE3" i="2"/>
  <c r="CD71" i="2"/>
  <c r="CD2" i="2"/>
  <c r="CD4" i="2"/>
  <c r="CD3" i="2"/>
  <c r="CC70" i="2"/>
  <c r="CC2" i="2"/>
  <c r="CC4" i="2"/>
  <c r="CC3" i="2"/>
  <c r="B86" i="2"/>
  <c r="D86" i="2"/>
  <c r="C86" i="2"/>
  <c r="B85" i="2"/>
  <c r="D85" i="2"/>
  <c r="C85" i="2"/>
  <c r="B84" i="2"/>
  <c r="D84" i="2"/>
  <c r="C84" i="2"/>
  <c r="B83" i="2"/>
  <c r="D83" i="2"/>
  <c r="C83" i="2"/>
  <c r="B82" i="2"/>
  <c r="D82" i="2"/>
  <c r="C82" i="2"/>
  <c r="B81" i="2"/>
  <c r="D81" i="2"/>
  <c r="C81" i="2"/>
  <c r="B80" i="2"/>
  <c r="D80" i="2"/>
  <c r="C80" i="2"/>
  <c r="B79" i="2"/>
  <c r="D79" i="2"/>
  <c r="C79" i="2"/>
  <c r="B78" i="2"/>
  <c r="D78" i="2"/>
  <c r="C78" i="2"/>
  <c r="B77" i="2"/>
  <c r="D77" i="2"/>
  <c r="C77" i="2"/>
  <c r="B76" i="2"/>
  <c r="D76" i="2"/>
  <c r="C76" i="2"/>
  <c r="B75" i="2"/>
  <c r="D75" i="2"/>
  <c r="C75" i="2"/>
  <c r="B74" i="2"/>
  <c r="D74" i="2"/>
  <c r="C74" i="2"/>
  <c r="B73" i="2"/>
  <c r="D73" i="2"/>
  <c r="C73" i="2"/>
  <c r="B72" i="2"/>
  <c r="D72" i="2"/>
  <c r="C72" i="2"/>
  <c r="B71" i="2"/>
  <c r="D71" i="2"/>
  <c r="C71" i="2"/>
  <c r="B70" i="2"/>
  <c r="D70" i="2"/>
  <c r="C70" i="2"/>
  <c r="CB69" i="2"/>
  <c r="B69" i="2"/>
  <c r="D69" i="2"/>
  <c r="C69" i="2"/>
  <c r="CB2" i="2"/>
  <c r="CB4" i="2"/>
  <c r="CB3" i="2"/>
  <c r="CA68" i="2"/>
  <c r="CA2" i="2"/>
  <c r="CA4" i="2"/>
  <c r="CA3" i="2"/>
  <c r="BZ68" i="2"/>
  <c r="BZ2" i="2"/>
  <c r="BZ4" i="2"/>
  <c r="BZ3" i="2"/>
  <c r="J68" i="2"/>
  <c r="B68" i="2"/>
  <c r="D68" i="2"/>
  <c r="C68" i="2"/>
  <c r="S67" i="2"/>
  <c r="O67" i="2"/>
  <c r="O66" i="2"/>
  <c r="Z65" i="2"/>
  <c r="BY65" i="2"/>
  <c r="BY2" i="2"/>
  <c r="BY4" i="2"/>
  <c r="BY3" i="2"/>
  <c r="BX2" i="2"/>
  <c r="BX4" i="2"/>
  <c r="BX3" i="2"/>
  <c r="AK64" i="2"/>
  <c r="AE63" i="2"/>
  <c r="X62" i="2"/>
  <c r="BW64" i="2"/>
  <c r="BW63" i="2"/>
  <c r="BW62" i="2"/>
  <c r="BW2" i="2"/>
  <c r="BW4" i="2"/>
  <c r="BW3" i="2"/>
  <c r="BV2" i="2"/>
  <c r="BV4" i="2"/>
  <c r="BV3" i="2"/>
  <c r="BU61" i="2"/>
  <c r="BU2" i="2"/>
  <c r="BU4" i="2"/>
  <c r="BU3" i="2"/>
  <c r="BT60" i="2"/>
  <c r="BT2" i="2"/>
  <c r="BT4" i="2"/>
  <c r="BT3" i="2"/>
  <c r="AI59" i="2"/>
  <c r="AC58" i="2"/>
  <c r="V57" i="2"/>
  <c r="BS59" i="2"/>
  <c r="BS58" i="2"/>
  <c r="BS57" i="2"/>
  <c r="BS2" i="2"/>
  <c r="BS4" i="2"/>
  <c r="BS3" i="2"/>
  <c r="BR2" i="2"/>
  <c r="BR4" i="2"/>
  <c r="BR3" i="2"/>
  <c r="BQ56" i="2"/>
  <c r="BQ2" i="2"/>
  <c r="BQ4" i="2"/>
  <c r="BQ3" i="2"/>
  <c r="AL56" i="2"/>
  <c r="BP55" i="2"/>
  <c r="BP2" i="2"/>
  <c r="BP4" i="2"/>
  <c r="BP3" i="2"/>
  <c r="AF55" i="2"/>
  <c r="BO54" i="2"/>
  <c r="BO2" i="2"/>
  <c r="BO4" i="2"/>
  <c r="BO3" i="2"/>
  <c r="Y54" i="2"/>
  <c r="BN2" i="2"/>
  <c r="BN4" i="2"/>
  <c r="BN3" i="2"/>
  <c r="BM2" i="2"/>
  <c r="BM4" i="2"/>
  <c r="BM3" i="2"/>
  <c r="AG53" i="2"/>
  <c r="AA52" i="2"/>
  <c r="BL51" i="2"/>
  <c r="BL2" i="2"/>
  <c r="BL4" i="2"/>
  <c r="BL3" i="2"/>
  <c r="AH50" i="2"/>
  <c r="AB49" i="2"/>
  <c r="U48" i="2"/>
  <c r="BK2" i="2"/>
  <c r="BK4" i="2"/>
  <c r="BK3" i="2"/>
  <c r="BJ47" i="2"/>
  <c r="BJ2" i="2"/>
  <c r="BJ4" i="2"/>
  <c r="BJ3" i="2"/>
  <c r="BI46" i="2"/>
  <c r="BI2" i="2"/>
  <c r="BI4" i="2"/>
  <c r="BI3" i="2"/>
  <c r="BH45" i="2"/>
  <c r="BH2" i="2"/>
  <c r="BH4" i="2"/>
  <c r="BH3" i="2"/>
  <c r="BG44" i="2"/>
  <c r="BG2" i="2"/>
  <c r="BG4" i="2"/>
  <c r="BG3" i="2"/>
  <c r="BF43" i="2"/>
  <c r="BF2" i="2"/>
  <c r="BF4" i="2"/>
  <c r="BF3" i="2"/>
  <c r="BE42" i="2"/>
  <c r="BE2" i="2"/>
  <c r="BE4" i="2"/>
  <c r="BE3" i="2"/>
  <c r="BD41" i="2"/>
  <c r="BD2" i="2"/>
  <c r="BD4" i="2"/>
  <c r="BD3" i="2"/>
  <c r="BC40" i="2"/>
  <c r="BC2" i="2"/>
  <c r="BC4" i="2"/>
  <c r="BC3" i="2"/>
  <c r="BB39" i="2"/>
  <c r="BB2" i="2"/>
  <c r="BB4" i="2"/>
  <c r="BB3" i="2"/>
  <c r="BA38" i="2"/>
  <c r="BA2" i="2"/>
  <c r="BA4" i="2"/>
  <c r="BA3" i="2"/>
  <c r="AZ37" i="2"/>
  <c r="AZ2" i="2"/>
  <c r="AZ4" i="2"/>
  <c r="AZ3" i="2"/>
  <c r="AY37" i="2"/>
  <c r="AY2" i="2"/>
  <c r="AY4" i="2"/>
  <c r="AY3" i="2"/>
  <c r="AX37" i="2"/>
  <c r="AX2" i="2"/>
  <c r="AX4" i="2"/>
  <c r="AX3" i="2"/>
  <c r="AW37" i="2"/>
  <c r="AW2" i="2"/>
  <c r="AW4" i="2"/>
  <c r="AW3" i="2"/>
  <c r="AV37" i="2"/>
  <c r="AV2" i="2"/>
  <c r="AV4" i="2"/>
  <c r="AV3" i="2"/>
  <c r="AU36" i="2"/>
  <c r="AU2" i="2"/>
  <c r="AU4" i="2"/>
  <c r="AU3" i="2"/>
  <c r="AT36" i="2"/>
  <c r="AT2" i="2"/>
  <c r="AT4" i="2"/>
  <c r="AT3" i="2"/>
  <c r="AS36" i="2"/>
  <c r="AS2" i="2"/>
  <c r="AS4" i="2"/>
  <c r="AS3" i="2"/>
  <c r="AR36" i="2"/>
  <c r="AR2" i="2"/>
  <c r="AR4" i="2"/>
  <c r="AR3" i="2"/>
  <c r="AQ36" i="2"/>
  <c r="AQ2" i="2"/>
  <c r="AQ4" i="2"/>
  <c r="AQ3" i="2"/>
  <c r="AP35" i="2"/>
  <c r="AP2" i="2"/>
  <c r="AP4" i="2"/>
  <c r="AP3" i="2"/>
  <c r="AO35" i="2"/>
  <c r="AO2" i="2"/>
  <c r="AO4" i="2"/>
  <c r="AO3" i="2"/>
  <c r="AN35" i="2"/>
  <c r="AN2" i="2"/>
  <c r="AN4" i="2"/>
  <c r="AN3" i="2"/>
  <c r="AJ37" i="2"/>
  <c r="R67" i="2"/>
  <c r="AD36" i="2"/>
  <c r="Q67" i="2"/>
  <c r="W35" i="2"/>
  <c r="P67" i="2"/>
  <c r="AM2" i="2"/>
  <c r="AM4" i="2"/>
  <c r="AM3" i="2"/>
  <c r="N67" i="2"/>
  <c r="B67" i="2"/>
  <c r="D67" i="2"/>
  <c r="C67" i="2"/>
  <c r="B66" i="2"/>
  <c r="D66" i="2"/>
  <c r="C66" i="2"/>
  <c r="B65" i="2"/>
  <c r="D65" i="2"/>
  <c r="C65" i="2"/>
  <c r="B64" i="2"/>
  <c r="D64" i="2"/>
  <c r="C64" i="2"/>
  <c r="B63" i="2"/>
  <c r="D63" i="2"/>
  <c r="C63" i="2"/>
  <c r="B62" i="2"/>
  <c r="D62" i="2"/>
  <c r="C62" i="2"/>
  <c r="B61" i="2"/>
  <c r="D61" i="2"/>
  <c r="C61" i="2"/>
  <c r="B60" i="2"/>
  <c r="D60" i="2"/>
  <c r="C60" i="2"/>
  <c r="B59" i="2"/>
  <c r="D59" i="2"/>
  <c r="C59" i="2"/>
  <c r="B58" i="2"/>
  <c r="D58" i="2"/>
  <c r="C58" i="2"/>
  <c r="B57" i="2"/>
  <c r="D57" i="2"/>
  <c r="C57" i="2"/>
  <c r="B56" i="2"/>
  <c r="D56" i="2"/>
  <c r="C56" i="2"/>
  <c r="B55" i="2"/>
  <c r="D55" i="2"/>
  <c r="C55" i="2"/>
  <c r="B54" i="2"/>
  <c r="D54" i="2"/>
  <c r="C54" i="2"/>
  <c r="B53" i="2"/>
  <c r="D53" i="2"/>
  <c r="C53" i="2"/>
  <c r="B52" i="2"/>
  <c r="D52" i="2"/>
  <c r="C52" i="2"/>
  <c r="B51" i="2"/>
  <c r="D51" i="2"/>
  <c r="C51" i="2"/>
  <c r="B50" i="2"/>
  <c r="D50" i="2"/>
  <c r="C50" i="2"/>
  <c r="B49" i="2"/>
  <c r="D49" i="2"/>
  <c r="C49" i="2"/>
  <c r="B48" i="2"/>
  <c r="D48" i="2"/>
  <c r="C48" i="2"/>
  <c r="B47" i="2"/>
  <c r="D47" i="2"/>
  <c r="C47" i="2"/>
  <c r="B46" i="2"/>
  <c r="D46" i="2"/>
  <c r="C46" i="2"/>
  <c r="B45" i="2"/>
  <c r="D45" i="2"/>
  <c r="C45" i="2"/>
  <c r="B44" i="2"/>
  <c r="D44" i="2"/>
  <c r="C44" i="2"/>
  <c r="B43" i="2"/>
  <c r="D43" i="2"/>
  <c r="C43" i="2"/>
  <c r="B42" i="2"/>
  <c r="D42" i="2"/>
  <c r="C42" i="2"/>
  <c r="B41" i="2"/>
  <c r="D41" i="2"/>
  <c r="C41" i="2"/>
  <c r="B40" i="2"/>
  <c r="D40" i="2"/>
  <c r="C40" i="2"/>
  <c r="B39" i="2"/>
  <c r="D39" i="2"/>
  <c r="C39" i="2"/>
  <c r="B38" i="2"/>
  <c r="D38" i="2"/>
  <c r="C38" i="2"/>
  <c r="B37" i="2"/>
  <c r="D37" i="2"/>
  <c r="C37" i="2"/>
  <c r="B36" i="2"/>
  <c r="D36" i="2"/>
  <c r="C36" i="2"/>
  <c r="B35" i="2"/>
  <c r="D35" i="2"/>
  <c r="C35" i="2"/>
  <c r="B34" i="2"/>
  <c r="D34" i="2"/>
  <c r="C34" i="2"/>
  <c r="B33" i="2"/>
  <c r="D33" i="2"/>
  <c r="C33" i="2"/>
  <c r="B32" i="2"/>
  <c r="D32" i="2"/>
  <c r="C32" i="2"/>
  <c r="AL31" i="2"/>
  <c r="AL2" i="2"/>
  <c r="AL4" i="2"/>
  <c r="AL3" i="2"/>
  <c r="AK30" i="2"/>
  <c r="AK2" i="2"/>
  <c r="AK4" i="2"/>
  <c r="AK3" i="2"/>
  <c r="AJ29" i="2"/>
  <c r="AJ2" i="2"/>
  <c r="AJ4" i="2"/>
  <c r="AJ3" i="2"/>
  <c r="AI28" i="2"/>
  <c r="AI2" i="2"/>
  <c r="AI4" i="2"/>
  <c r="AI3" i="2"/>
  <c r="AH27" i="2"/>
  <c r="AH2" i="2"/>
  <c r="AH4" i="2"/>
  <c r="AH3" i="2"/>
  <c r="AG26" i="2"/>
  <c r="AG2" i="2"/>
  <c r="AG4" i="2"/>
  <c r="AG3" i="2"/>
  <c r="AF25" i="2"/>
  <c r="AF2" i="2"/>
  <c r="AF4" i="2"/>
  <c r="AF3" i="2"/>
  <c r="AE24" i="2"/>
  <c r="AE2" i="2"/>
  <c r="AE4" i="2"/>
  <c r="AE3" i="2"/>
  <c r="AD23" i="2"/>
  <c r="AD2" i="2"/>
  <c r="AD4" i="2"/>
  <c r="AD3" i="2"/>
  <c r="AC22" i="2"/>
  <c r="AC2" i="2"/>
  <c r="AC4" i="2"/>
  <c r="AC3" i="2"/>
  <c r="AB21" i="2"/>
  <c r="AB2" i="2"/>
  <c r="AB4" i="2"/>
  <c r="AB3" i="2"/>
  <c r="AA20" i="2"/>
  <c r="AA2" i="2"/>
  <c r="AA4" i="2"/>
  <c r="AA3" i="2"/>
  <c r="Z18" i="2"/>
  <c r="Z2" i="2"/>
  <c r="Z4" i="2"/>
  <c r="Z3" i="2"/>
  <c r="Y19" i="2"/>
  <c r="Y2" i="2"/>
  <c r="Y4" i="2"/>
  <c r="Y3" i="2"/>
  <c r="X17" i="2"/>
  <c r="X2" i="2"/>
  <c r="X4" i="2"/>
  <c r="X3" i="2"/>
  <c r="W16" i="2"/>
  <c r="W2" i="2"/>
  <c r="W4" i="2"/>
  <c r="W3" i="2"/>
  <c r="V15" i="2"/>
  <c r="V2" i="2"/>
  <c r="V4" i="2"/>
  <c r="V3" i="2"/>
  <c r="U14" i="2"/>
  <c r="U2" i="2"/>
  <c r="U4" i="2"/>
  <c r="U3" i="2"/>
  <c r="T13" i="2"/>
  <c r="T12" i="2"/>
  <c r="T2" i="2"/>
  <c r="T4" i="2"/>
  <c r="T3" i="2"/>
  <c r="S11" i="2"/>
  <c r="S2" i="2"/>
  <c r="S4" i="2"/>
  <c r="S3" i="2"/>
  <c r="R10" i="2"/>
  <c r="R2" i="2"/>
  <c r="R4" i="2"/>
  <c r="R3" i="2"/>
  <c r="Q9" i="2"/>
  <c r="Q2" i="2"/>
  <c r="Q4" i="2"/>
  <c r="Q3" i="2"/>
  <c r="P8" i="2"/>
  <c r="P2" i="2"/>
  <c r="P4" i="2"/>
  <c r="P3" i="2"/>
  <c r="O7" i="2"/>
  <c r="O2" i="2"/>
  <c r="O4" i="2"/>
  <c r="O3" i="2"/>
  <c r="N6" i="2"/>
  <c r="N2" i="2"/>
  <c r="N4" i="2"/>
  <c r="N3" i="2"/>
  <c r="M11" i="2"/>
  <c r="M2" i="2"/>
  <c r="M4" i="2"/>
  <c r="M3" i="2"/>
  <c r="L10" i="2"/>
  <c r="L2" i="2"/>
  <c r="L4" i="2"/>
  <c r="L3" i="2"/>
  <c r="K9" i="2"/>
  <c r="K2" i="2"/>
  <c r="K4" i="2"/>
  <c r="K3" i="2"/>
  <c r="J8" i="2"/>
  <c r="J2" i="2"/>
  <c r="J4" i="2"/>
  <c r="J3" i="2"/>
  <c r="I7" i="2"/>
  <c r="I2" i="2"/>
  <c r="I4" i="2"/>
  <c r="I3" i="2"/>
  <c r="H6" i="2"/>
  <c r="H2" i="2"/>
  <c r="H4" i="2"/>
  <c r="H3" i="2"/>
  <c r="G12" i="2"/>
  <c r="G2" i="2"/>
  <c r="G4" i="2"/>
  <c r="G3" i="2"/>
  <c r="B31" i="2"/>
  <c r="D31" i="2"/>
  <c r="C31" i="2"/>
  <c r="B30" i="2"/>
  <c r="D30" i="2"/>
  <c r="C30" i="2"/>
  <c r="B29" i="2"/>
  <c r="D29" i="2"/>
  <c r="C29" i="2"/>
  <c r="B28" i="2"/>
  <c r="D28" i="2"/>
  <c r="C28" i="2"/>
  <c r="B27" i="2"/>
  <c r="D27" i="2"/>
  <c r="C27" i="2"/>
  <c r="B26" i="2"/>
  <c r="D26" i="2"/>
  <c r="C26" i="2"/>
  <c r="B25" i="2"/>
  <c r="D25" i="2"/>
  <c r="C25" i="2"/>
  <c r="B24" i="2"/>
  <c r="D24" i="2"/>
  <c r="C24" i="2"/>
  <c r="B23" i="2"/>
  <c r="D23" i="2"/>
  <c r="C23" i="2"/>
  <c r="B22" i="2"/>
  <c r="D22" i="2"/>
  <c r="C22" i="2"/>
  <c r="B21" i="2"/>
  <c r="D21" i="2"/>
  <c r="C21" i="2"/>
  <c r="B20" i="2"/>
  <c r="D20" i="2"/>
  <c r="C20" i="2"/>
  <c r="B19" i="2"/>
  <c r="D19" i="2"/>
  <c r="C19" i="2"/>
  <c r="B18" i="2"/>
  <c r="D18" i="2"/>
  <c r="C18" i="2"/>
  <c r="B17" i="2"/>
  <c r="D17" i="2"/>
  <c r="C17" i="2"/>
  <c r="B16" i="2"/>
  <c r="D16" i="2"/>
  <c r="C16" i="2"/>
  <c r="B15" i="2"/>
  <c r="D15" i="2"/>
  <c r="C15" i="2"/>
  <c r="B14" i="2"/>
  <c r="D14" i="2"/>
  <c r="C14" i="2"/>
  <c r="B13" i="2"/>
  <c r="D13" i="2"/>
  <c r="C13" i="2"/>
  <c r="F12" i="2"/>
  <c r="B12" i="2"/>
  <c r="D12" i="2"/>
  <c r="C12" i="2"/>
  <c r="B11" i="2"/>
  <c r="D11" i="2"/>
  <c r="C11" i="2"/>
  <c r="B10" i="2"/>
  <c r="D10" i="2"/>
  <c r="C10" i="2"/>
  <c r="B9" i="2"/>
  <c r="D9" i="2"/>
  <c r="C9" i="2"/>
  <c r="B8" i="2"/>
  <c r="D8" i="2"/>
  <c r="C8" i="2"/>
  <c r="B7" i="2"/>
  <c r="D7" i="2"/>
  <c r="C7" i="2"/>
  <c r="B6" i="2"/>
  <c r="D6" i="2"/>
  <c r="C6" i="2"/>
  <c r="F2" i="2"/>
  <c r="F4" i="2"/>
  <c r="F3" i="2"/>
  <c r="L14" i="155"/>
  <c r="EN140" i="2" s="1"/>
  <c r="BC15" i="140"/>
  <c r="CN96" i="2" s="1"/>
  <c r="N17" i="140"/>
  <c r="J17" i="140"/>
  <c r="CB98" i="2" s="1"/>
  <c r="AX14" i="140"/>
  <c r="CM95" i="2" s="1"/>
  <c r="F3" i="132"/>
  <c r="B3" i="132"/>
  <c r="H2" i="132"/>
  <c r="H3" i="132" s="1"/>
  <c r="G2" i="132"/>
  <c r="G3" i="132" s="1"/>
  <c r="F2" i="132"/>
  <c r="E2" i="132"/>
  <c r="E3" i="132" s="1"/>
  <c r="D2" i="132"/>
  <c r="D3" i="132" s="1"/>
  <c r="C2" i="132"/>
  <c r="C3" i="132" s="1"/>
  <c r="B2" i="132"/>
  <c r="A2" i="132"/>
  <c r="A3" i="132" s="1"/>
  <c r="E6" i="155"/>
  <c r="G6" i="155"/>
  <c r="I6" i="155"/>
  <c r="K6" i="155"/>
  <c r="F6" i="155"/>
  <c r="H6" i="155"/>
  <c r="J6" i="155"/>
  <c r="AL13" i="140"/>
  <c r="AN13" i="140"/>
  <c r="AK13" i="140"/>
  <c r="AM13" i="140"/>
  <c r="E21" i="140"/>
  <c r="E19" i="140"/>
  <c r="E13" i="140"/>
  <c r="I39" i="134"/>
  <c r="J39" i="134"/>
  <c r="BM39" i="134"/>
  <c r="I36" i="134"/>
  <c r="I37" i="134"/>
  <c r="L38" i="134"/>
  <c r="BH36" i="134"/>
  <c r="BH38" i="134"/>
  <c r="J36" i="134"/>
  <c r="L37" i="134"/>
  <c r="N38" i="134"/>
  <c r="BH37" i="134"/>
  <c r="I31" i="134"/>
  <c r="I32" i="134"/>
  <c r="L33" i="134"/>
  <c r="J31" i="134"/>
  <c r="L32" i="134"/>
  <c r="N33" i="134"/>
  <c r="E25" i="134"/>
  <c r="E15" i="134"/>
  <c r="L19" i="134"/>
  <c r="L21" i="134"/>
  <c r="L18" i="134"/>
  <c r="L20" i="134"/>
  <c r="BA33" i="134"/>
  <c r="E24" i="134"/>
  <c r="E29" i="134"/>
  <c r="I15" i="134"/>
  <c r="I17" i="134"/>
  <c r="I14" i="134"/>
  <c r="I16" i="134"/>
  <c r="BA32" i="134"/>
  <c r="E31" i="134"/>
  <c r="E6" i="145"/>
  <c r="G6" i="145"/>
  <c r="J6" i="145"/>
  <c r="F6" i="145"/>
  <c r="H6" i="145"/>
  <c r="K6" i="145"/>
  <c r="E13" i="145"/>
  <c r="E20" i="140"/>
  <c r="E18" i="140"/>
  <c r="BD18" i="140"/>
  <c r="BD19" i="140"/>
  <c r="BD20" i="140"/>
  <c r="BD21" i="140"/>
  <c r="BE18" i="140"/>
  <c r="BE19" i="140"/>
  <c r="BE20" i="140"/>
  <c r="BE21" i="140"/>
  <c r="I28" i="134"/>
  <c r="I29" i="134"/>
  <c r="L30" i="134"/>
  <c r="AT28" i="134"/>
  <c r="AT29" i="134"/>
  <c r="AT30" i="134"/>
  <c r="J28" i="134"/>
  <c r="L29" i="134"/>
  <c r="N30" i="134"/>
  <c r="AS28" i="134"/>
  <c r="AS29" i="134"/>
  <c r="AS30" i="134"/>
  <c r="J22" i="134"/>
  <c r="N24" i="134"/>
  <c r="L23" i="134"/>
  <c r="I22" i="134"/>
  <c r="I23" i="134"/>
  <c r="L24" i="134"/>
  <c r="I25" i="134"/>
  <c r="I26" i="134"/>
  <c r="L27" i="134"/>
  <c r="AL23" i="134"/>
  <c r="AL25" i="134"/>
  <c r="AL27" i="134"/>
  <c r="J25" i="134"/>
  <c r="L26" i="134"/>
  <c r="N27" i="134"/>
  <c r="AL22" i="134"/>
  <c r="AL24" i="134"/>
  <c r="AL26" i="134"/>
  <c r="E20" i="134"/>
  <c r="E18" i="134"/>
  <c r="E16" i="134"/>
  <c r="E14" i="134"/>
  <c r="E12" i="134"/>
  <c r="E38" i="134"/>
  <c r="E33" i="134"/>
  <c r="E27" i="134"/>
  <c r="E37" i="134"/>
  <c r="E32" i="134"/>
  <c r="E26" i="134"/>
  <c r="J13" i="134"/>
  <c r="J12" i="134"/>
  <c r="BA31" i="134"/>
  <c r="E22" i="134"/>
  <c r="E10" i="139" l="1"/>
  <c r="E73" i="61" s="1"/>
  <c r="E6" i="133"/>
  <c r="C2" i="78" s="1"/>
  <c r="G6" i="140"/>
  <c r="AB87" i="2" s="1"/>
  <c r="X5" i="145"/>
  <c r="E22" i="139"/>
  <c r="E85" i="61" s="1"/>
  <c r="AM11" i="140"/>
  <c r="DE92" i="2" s="1"/>
  <c r="E17" i="133"/>
  <c r="E17" i="61" s="1"/>
  <c r="J5" i="133"/>
  <c r="C24" i="132"/>
  <c r="F19" i="59" s="1"/>
  <c r="R5" i="133"/>
  <c r="AH5" i="133"/>
  <c r="B22" i="132"/>
  <c r="M5" i="134"/>
  <c r="AP5" i="134"/>
  <c r="L7" i="134"/>
  <c r="AD33" i="2" s="1"/>
  <c r="AA5" i="139"/>
  <c r="Z5" i="140"/>
  <c r="X8" i="140"/>
  <c r="CX89" i="2" s="1"/>
  <c r="J5" i="154"/>
  <c r="O8" i="155"/>
  <c r="CJ134" i="2" s="1"/>
  <c r="L10" i="145"/>
  <c r="DK118" i="2" s="1"/>
  <c r="M10" i="140"/>
  <c r="CE91" i="2" s="1"/>
  <c r="N5" i="133"/>
  <c r="V5" i="133"/>
  <c r="AD5" i="133"/>
  <c r="E25" i="133"/>
  <c r="E25" i="61" s="1"/>
  <c r="B26" i="132"/>
  <c r="F17" i="59" s="1"/>
  <c r="F5" i="134"/>
  <c r="AY5" i="134"/>
  <c r="G6" i="134"/>
  <c r="AM32" i="2" s="1"/>
  <c r="N8" i="134"/>
  <c r="AJ34" i="2" s="1"/>
  <c r="S5" i="139"/>
  <c r="L5" i="140"/>
  <c r="Q7" i="140"/>
  <c r="AC88" i="2" s="1"/>
  <c r="AN12" i="140"/>
  <c r="DF93" i="2" s="1"/>
  <c r="E9" i="144"/>
  <c r="E107" i="61" s="1"/>
  <c r="T9" i="145"/>
  <c r="DY117" i="2" s="1"/>
  <c r="E14" i="154"/>
  <c r="E130" i="61" s="1"/>
  <c r="AF5" i="155"/>
  <c r="AA11" i="155"/>
  <c r="FF137" i="2" s="1"/>
  <c r="M12" i="140"/>
  <c r="CE93" i="2" s="1"/>
  <c r="H5" i="133"/>
  <c r="P5" i="133"/>
  <c r="T5" i="133"/>
  <c r="AB5" i="133"/>
  <c r="AF5" i="133"/>
  <c r="E13" i="133"/>
  <c r="E13" i="61" s="1"/>
  <c r="E21" i="133"/>
  <c r="E21" i="61" s="1"/>
  <c r="E29" i="133"/>
  <c r="E29" i="61" s="1"/>
  <c r="C22" i="132"/>
  <c r="AW5" i="134"/>
  <c r="BC5" i="134"/>
  <c r="W5" i="139"/>
  <c r="M6" i="140"/>
  <c r="CE87" i="2" s="1"/>
  <c r="L8" i="140"/>
  <c r="CD89" i="2" s="1"/>
  <c r="AK9" i="140"/>
  <c r="DC90" i="2" s="1"/>
  <c r="AL10" i="140"/>
  <c r="DD91" i="2" s="1"/>
  <c r="M5" i="145"/>
  <c r="Q5" i="154"/>
  <c r="I5" i="155"/>
  <c r="X5" i="155"/>
  <c r="AN5" i="155"/>
  <c r="L13" i="155"/>
  <c r="EN139" i="2" s="1"/>
  <c r="G5" i="140"/>
  <c r="E31" i="133"/>
  <c r="E31" i="61" s="1"/>
  <c r="AC5" i="134"/>
  <c r="AG5" i="134"/>
  <c r="AD5" i="140"/>
  <c r="AK5" i="134"/>
  <c r="BA5" i="134"/>
  <c r="U9" i="155"/>
  <c r="FB135" i="2" s="1"/>
  <c r="K5" i="155"/>
  <c r="N5" i="139"/>
  <c r="E10" i="133"/>
  <c r="C6" i="78" s="1"/>
  <c r="L8" i="134"/>
  <c r="AD34" i="2" s="1"/>
  <c r="I7" i="134"/>
  <c r="W33" i="2" s="1"/>
  <c r="I6" i="134"/>
  <c r="W32" i="2" s="1"/>
  <c r="I5" i="145"/>
  <c r="E15" i="133"/>
  <c r="E15" i="61" s="1"/>
  <c r="AT5" i="140"/>
  <c r="BJ5" i="134"/>
  <c r="AD5" i="145"/>
  <c r="BO5" i="134"/>
  <c r="E18" i="133"/>
  <c r="E18" i="61" s="1"/>
  <c r="F8" i="134"/>
  <c r="N34" i="2" s="1"/>
  <c r="L5" i="134"/>
  <c r="B27" i="132"/>
  <c r="F22" i="59" s="1"/>
  <c r="B25" i="132"/>
  <c r="F16" i="59" s="1"/>
  <c r="B23" i="132"/>
  <c r="F14" i="59" s="1"/>
  <c r="E23" i="133"/>
  <c r="C19" i="78" s="1"/>
  <c r="AO5" i="134"/>
  <c r="E27" i="133"/>
  <c r="C23" i="78" s="1"/>
  <c r="N5" i="134"/>
  <c r="C27" i="132"/>
  <c r="F23" i="59" s="1"/>
  <c r="C25" i="132"/>
  <c r="F20" i="59" s="1"/>
  <c r="C23" i="132"/>
  <c r="F18" i="59" s="1"/>
  <c r="AJ5" i="133"/>
  <c r="U5" i="140"/>
  <c r="BF5" i="134"/>
  <c r="T7" i="140"/>
  <c r="CK88" i="2" s="1"/>
  <c r="O6" i="140"/>
  <c r="CJ87" i="2" s="1"/>
  <c r="J5" i="140"/>
  <c r="F5" i="139"/>
  <c r="N5" i="140"/>
  <c r="J5" i="139"/>
  <c r="J6" i="140"/>
  <c r="CB87" i="2" s="1"/>
  <c r="E12" i="139"/>
  <c r="C71" i="78" s="1"/>
  <c r="Q5" i="139"/>
  <c r="AP5" i="155"/>
  <c r="BC5" i="140"/>
  <c r="E16" i="139"/>
  <c r="C75" i="78" s="1"/>
  <c r="U5" i="139"/>
  <c r="BD5" i="140"/>
  <c r="E20" i="139"/>
  <c r="E83" i="61" s="1"/>
  <c r="Y5" i="139"/>
  <c r="K17" i="140"/>
  <c r="CC98" i="2" s="1"/>
  <c r="AP16" i="140"/>
  <c r="AA97" i="2" s="1"/>
  <c r="AB12" i="140"/>
  <c r="BF93" i="2" s="1"/>
  <c r="K12" i="140"/>
  <c r="CC93" i="2" s="1"/>
  <c r="AA11" i="140"/>
  <c r="BE92" i="2" s="1"/>
  <c r="Z10" i="140"/>
  <c r="BD91" i="2" s="1"/>
  <c r="K10" i="140"/>
  <c r="CC91" i="2" s="1"/>
  <c r="Y9" i="140"/>
  <c r="BC90" i="2" s="1"/>
  <c r="U8" i="140"/>
  <c r="BT89" i="2" s="1"/>
  <c r="AC5" i="139"/>
  <c r="AB5" i="145"/>
  <c r="E13" i="144"/>
  <c r="E111" i="61" s="1"/>
  <c r="R5" i="144"/>
  <c r="S5" i="145"/>
  <c r="L9" i="145"/>
  <c r="DK117" i="2" s="1"/>
  <c r="G5" i="155"/>
  <c r="H5" i="154"/>
  <c r="AI13" i="155"/>
  <c r="FL139" i="2" s="1"/>
  <c r="AE12" i="155"/>
  <c r="FI138" i="2" s="1"/>
  <c r="E8" i="154"/>
  <c r="E124" i="61" s="1"/>
  <c r="L11" i="155"/>
  <c r="EN137" i="2" s="1"/>
  <c r="AA5" i="155"/>
  <c r="O5" i="145"/>
  <c r="I5" i="134"/>
  <c r="E19" i="133"/>
  <c r="C15" i="78" s="1"/>
  <c r="AA5" i="133"/>
  <c r="BD5" i="134"/>
  <c r="BK5" i="134"/>
  <c r="AQ5" i="140"/>
  <c r="E35" i="134"/>
  <c r="C57" i="78" s="1"/>
  <c r="AV5" i="140"/>
  <c r="AB5" i="134"/>
  <c r="BD34" i="134"/>
  <c r="AC60" i="2" s="1"/>
  <c r="AF5" i="134"/>
  <c r="AH5" i="134"/>
  <c r="AJ5" i="134"/>
  <c r="AL5" i="134"/>
  <c r="AS5" i="134"/>
  <c r="Z5" i="139"/>
  <c r="N11" i="140"/>
  <c r="CF92" i="2" s="1"/>
  <c r="K5" i="145"/>
  <c r="Z5" i="145"/>
  <c r="BA5" i="140"/>
  <c r="AB5" i="140"/>
  <c r="AF5" i="140"/>
  <c r="BF5" i="140"/>
  <c r="N10" i="140"/>
  <c r="CF91" i="2" s="1"/>
  <c r="A23" i="132"/>
  <c r="F11" i="59" s="1"/>
  <c r="I5" i="133"/>
  <c r="K5" i="133"/>
  <c r="M5" i="133"/>
  <c r="O5" i="133"/>
  <c r="Q5" i="133"/>
  <c r="S5" i="133"/>
  <c r="U5" i="133"/>
  <c r="W5" i="133"/>
  <c r="Y5" i="133"/>
  <c r="AC5" i="133"/>
  <c r="AE5" i="133"/>
  <c r="AG5" i="133"/>
  <c r="AI5" i="133"/>
  <c r="AK5" i="133"/>
  <c r="E8" i="134"/>
  <c r="E34" i="61" s="1"/>
  <c r="J40" i="134"/>
  <c r="T66" i="2" s="1"/>
  <c r="G5" i="139"/>
  <c r="I5" i="139"/>
  <c r="E7" i="139"/>
  <c r="E70" i="61" s="1"/>
  <c r="Q5" i="140"/>
  <c r="E6" i="140"/>
  <c r="E87" i="61" s="1"/>
  <c r="L8" i="155"/>
  <c r="EN134" i="2" s="1"/>
  <c r="N9" i="155"/>
  <c r="EY135" i="2" s="1"/>
  <c r="I8" i="140"/>
  <c r="CP89" i="2" s="1"/>
  <c r="E13" i="155"/>
  <c r="C135" i="78" s="1"/>
  <c r="A25" i="132"/>
  <c r="F13" i="59" s="1"/>
  <c r="G5" i="134"/>
  <c r="AD5" i="134"/>
  <c r="AR5" i="134"/>
  <c r="BL5" i="134"/>
  <c r="K7" i="134"/>
  <c r="Q33" i="2" s="1"/>
  <c r="BE5" i="140"/>
  <c r="E8" i="145"/>
  <c r="C112" i="78" s="1"/>
  <c r="G5" i="154"/>
  <c r="I5" i="154"/>
  <c r="K5" i="154"/>
  <c r="J5" i="155"/>
  <c r="N9" i="145"/>
  <c r="DV117" i="2" s="1"/>
  <c r="N10" i="145"/>
  <c r="DV118" i="2" s="1"/>
  <c r="V5" i="145"/>
  <c r="J14" i="140"/>
  <c r="CB95" i="2" s="1"/>
  <c r="O8" i="140"/>
  <c r="CJ89" i="2" s="1"/>
  <c r="AR16" i="140"/>
  <c r="CO97" i="2" s="1"/>
  <c r="AJ12" i="140"/>
  <c r="DB93" i="2" s="1"/>
  <c r="AI11" i="140"/>
  <c r="DA92" i="2" s="1"/>
  <c r="AH10" i="140"/>
  <c r="CZ91" i="2" s="1"/>
  <c r="AG9" i="140"/>
  <c r="CY90" i="2" s="1"/>
  <c r="I7" i="140"/>
  <c r="CP88" i="2" s="1"/>
  <c r="I6" i="140"/>
  <c r="CP87" i="2" s="1"/>
  <c r="F8" i="155"/>
  <c r="EJ134" i="2" s="1"/>
  <c r="J8" i="140"/>
  <c r="CB89" i="2" s="1"/>
  <c r="O5" i="140"/>
  <c r="W8" i="140"/>
  <c r="CW89" i="2" s="1"/>
  <c r="S7" i="140"/>
  <c r="CQ88" i="2" s="1"/>
  <c r="N6" i="140"/>
  <c r="CF87" i="2" s="1"/>
  <c r="I5" i="140"/>
  <c r="L17" i="140"/>
  <c r="CD98" i="2" s="1"/>
  <c r="K16" i="140"/>
  <c r="CC97" i="2" s="1"/>
  <c r="L12" i="140"/>
  <c r="CD93" i="2" s="1"/>
  <c r="K11" i="140"/>
  <c r="CC92" i="2" s="1"/>
  <c r="L10" i="140"/>
  <c r="CD91" i="2" s="1"/>
  <c r="K9" i="140"/>
  <c r="CC90" i="2" s="1"/>
  <c r="G8" i="140"/>
  <c r="AB89" i="2" s="1"/>
  <c r="L6" i="140"/>
  <c r="CD87" i="2" s="1"/>
  <c r="E11" i="140"/>
  <c r="E92" i="61" s="1"/>
  <c r="N12" i="140"/>
  <c r="CF93" i="2" s="1"/>
  <c r="AJ5" i="140"/>
  <c r="N11" i="155"/>
  <c r="EY137" i="2" s="1"/>
  <c r="F11" i="155"/>
  <c r="EJ137" i="2" s="1"/>
  <c r="Z5" i="155"/>
  <c r="J10" i="140"/>
  <c r="CB91" i="2" s="1"/>
  <c r="N13" i="155"/>
  <c r="EY139" i="2" s="1"/>
  <c r="F13" i="155"/>
  <c r="EJ139" i="2" s="1"/>
  <c r="AH5" i="155"/>
  <c r="J12" i="140"/>
  <c r="CB93" i="2" s="1"/>
  <c r="AN5" i="140"/>
  <c r="H5" i="145"/>
  <c r="G5" i="144"/>
  <c r="J5" i="145"/>
  <c r="E11" i="144"/>
  <c r="C105" i="78" s="1"/>
  <c r="Q8" i="145"/>
  <c r="DW116" i="2" s="1"/>
  <c r="K5" i="144"/>
  <c r="E14" i="144"/>
  <c r="C108" i="78" s="1"/>
  <c r="T5" i="144"/>
  <c r="AK13" i="155"/>
  <c r="FN139" i="2" s="1"/>
  <c r="F5" i="155"/>
  <c r="S9" i="155"/>
  <c r="ET135" i="2" s="1"/>
  <c r="P8" i="155"/>
  <c r="EU134" i="2" s="1"/>
  <c r="L5" i="155"/>
  <c r="L9" i="155"/>
  <c r="EN135" i="2" s="1"/>
  <c r="E12" i="154"/>
  <c r="C124" i="78" s="1"/>
  <c r="M8" i="155"/>
  <c r="EO134" i="2" s="1"/>
  <c r="Q5" i="155"/>
  <c r="E8" i="139"/>
  <c r="E71" i="61" s="1"/>
  <c r="M16" i="140"/>
  <c r="CE97" i="2" s="1"/>
  <c r="L9" i="140"/>
  <c r="CD90" i="2" s="1"/>
  <c r="L11" i="140"/>
  <c r="CD92" i="2" s="1"/>
  <c r="M9" i="140"/>
  <c r="CE90" i="2" s="1"/>
  <c r="F40" i="134"/>
  <c r="N66" i="2" s="1"/>
  <c r="M11" i="140"/>
  <c r="CE92" i="2" s="1"/>
  <c r="N8" i="140"/>
  <c r="CF89" i="2" s="1"/>
  <c r="E7" i="154"/>
  <c r="E123" i="61" s="1"/>
  <c r="E41" i="134"/>
  <c r="C63" i="78" s="1"/>
  <c r="K5" i="134"/>
  <c r="K7" i="140"/>
  <c r="CC88" i="2" s="1"/>
  <c r="E7" i="140"/>
  <c r="E88" i="61" s="1"/>
  <c r="F5" i="140"/>
  <c r="AM5" i="134"/>
  <c r="F7" i="134"/>
  <c r="N33" i="2" s="1"/>
  <c r="E9" i="134"/>
  <c r="E35" i="61" s="1"/>
  <c r="E7" i="134"/>
  <c r="C29" i="78" s="1"/>
  <c r="AH5" i="145"/>
  <c r="AU5" i="134"/>
  <c r="AP5" i="140"/>
  <c r="AQ5" i="134"/>
  <c r="L7" i="140"/>
  <c r="CD88" i="2" s="1"/>
  <c r="G7" i="140"/>
  <c r="AB88" i="2" s="1"/>
  <c r="AD34" i="134"/>
  <c r="BC60" i="2" s="1"/>
  <c r="E34" i="134"/>
  <c r="C56" i="78" s="1"/>
  <c r="H7" i="140"/>
  <c r="AH88" i="2" s="1"/>
  <c r="R5" i="140"/>
  <c r="AH35" i="134"/>
  <c r="BG61" i="2" s="1"/>
  <c r="BE5" i="134"/>
  <c r="V5" i="140"/>
  <c r="BG5" i="134"/>
  <c r="E16" i="140"/>
  <c r="C93" i="78" s="1"/>
  <c r="E9" i="140"/>
  <c r="C86" i="78" s="1"/>
  <c r="AE11" i="140"/>
  <c r="BI92" i="2" s="1"/>
  <c r="AC9" i="140"/>
  <c r="BG90" i="2" s="1"/>
  <c r="L5" i="154"/>
  <c r="E10" i="154"/>
  <c r="C122" i="78" s="1"/>
  <c r="E6" i="139"/>
  <c r="E69" i="61" s="1"/>
  <c r="F9" i="155"/>
  <c r="EJ135" i="2" s="1"/>
  <c r="R5" i="155"/>
  <c r="P5" i="139"/>
  <c r="J7" i="140"/>
  <c r="CB88" i="2" s="1"/>
  <c r="O7" i="140"/>
  <c r="CJ88" i="2" s="1"/>
  <c r="T5" i="140"/>
  <c r="R5" i="139"/>
  <c r="AL5" i="155"/>
  <c r="AX5" i="140"/>
  <c r="T5" i="139"/>
  <c r="N16" i="140"/>
  <c r="CF97" i="2" s="1"/>
  <c r="AR5" i="140"/>
  <c r="V5" i="139"/>
  <c r="BB5" i="140"/>
  <c r="AB5" i="139"/>
  <c r="S22" i="140"/>
  <c r="CQ103" i="2" s="1"/>
  <c r="N9" i="140"/>
  <c r="CF90" i="2" s="1"/>
  <c r="F10" i="155"/>
  <c r="EJ136" i="2" s="1"/>
  <c r="N10" i="155"/>
  <c r="EY136" i="2" s="1"/>
  <c r="V5" i="155"/>
  <c r="F12" i="155"/>
  <c r="EJ138" i="2" s="1"/>
  <c r="N12" i="155"/>
  <c r="EY138" i="2" s="1"/>
  <c r="AD5" i="155"/>
  <c r="Y10" i="145"/>
  <c r="EC118" i="2" s="1"/>
  <c r="U9" i="145"/>
  <c r="DZ117" i="2" s="1"/>
  <c r="O8" i="145"/>
  <c r="U116" i="2" s="1"/>
  <c r="E6" i="144"/>
  <c r="C100" i="78" s="1"/>
  <c r="G5" i="145"/>
  <c r="W10" i="145"/>
  <c r="EA118" i="2" s="1"/>
  <c r="S9" i="145"/>
  <c r="DX117" i="2" s="1"/>
  <c r="E10" i="145"/>
  <c r="E118" i="61" s="1"/>
  <c r="M5" i="144"/>
  <c r="E7" i="144"/>
  <c r="C101" i="78" s="1"/>
  <c r="M8" i="145"/>
  <c r="DL116" i="2" s="1"/>
  <c r="Q5" i="145"/>
  <c r="E11" i="155"/>
  <c r="C133" i="78" s="1"/>
  <c r="E7" i="155"/>
  <c r="C129" i="78" s="1"/>
  <c r="N5" i="154"/>
  <c r="E6" i="154"/>
  <c r="C118" i="78" s="1"/>
  <c r="AG12" i="155"/>
  <c r="FK138" i="2" s="1"/>
  <c r="Y10" i="155"/>
  <c r="FE136" i="2" s="1"/>
  <c r="N5" i="155"/>
  <c r="M9" i="155"/>
  <c r="EO135" i="2" s="1"/>
  <c r="T5" i="155"/>
  <c r="M11" i="155"/>
  <c r="EO137" i="2" s="1"/>
  <c r="AB5" i="155"/>
  <c r="M13" i="155"/>
  <c r="EO139" i="2" s="1"/>
  <c r="AJ5" i="155"/>
  <c r="E9" i="133"/>
  <c r="E9" i="61" s="1"/>
  <c r="E14" i="133"/>
  <c r="E14" i="61" s="1"/>
  <c r="E16" i="133"/>
  <c r="C12" i="78" s="1"/>
  <c r="E20" i="133"/>
  <c r="E20" i="61" s="1"/>
  <c r="E22" i="133"/>
  <c r="C18" i="78" s="1"/>
  <c r="E24" i="133"/>
  <c r="E24" i="61" s="1"/>
  <c r="E26" i="133"/>
  <c r="C22" i="78" s="1"/>
  <c r="E28" i="133"/>
  <c r="E28" i="61" s="1"/>
  <c r="E30" i="133"/>
  <c r="C26" i="78" s="1"/>
  <c r="A22" i="132"/>
  <c r="A24" i="132"/>
  <c r="F12" i="59" s="1"/>
  <c r="E6" i="134"/>
  <c r="E32" i="61" s="1"/>
  <c r="E11" i="134"/>
  <c r="E37" i="61" s="1"/>
  <c r="F6" i="134"/>
  <c r="N32" i="2" s="1"/>
  <c r="H6" i="134"/>
  <c r="P32" i="2" s="1"/>
  <c r="BE35" i="134"/>
  <c r="AI61" i="2" s="1"/>
  <c r="E9" i="139"/>
  <c r="C68" i="78" s="1"/>
  <c r="E11" i="139"/>
  <c r="E74" i="61" s="1"/>
  <c r="E13" i="139"/>
  <c r="C72" i="78" s="1"/>
  <c r="E15" i="139"/>
  <c r="E78" i="61" s="1"/>
  <c r="E17" i="139"/>
  <c r="C76" i="78" s="1"/>
  <c r="E19" i="139"/>
  <c r="E82" i="61" s="1"/>
  <c r="E21" i="139"/>
  <c r="C80" i="78" s="1"/>
  <c r="E23" i="139"/>
  <c r="E86" i="61" s="1"/>
  <c r="S5" i="140"/>
  <c r="W5" i="140"/>
  <c r="Y5" i="140"/>
  <c r="AA5" i="140"/>
  <c r="AC5" i="140"/>
  <c r="AE5" i="140"/>
  <c r="AG5" i="140"/>
  <c r="AI5" i="140"/>
  <c r="AK5" i="140"/>
  <c r="AM5" i="140"/>
  <c r="AS5" i="140"/>
  <c r="AU5" i="140"/>
  <c r="AY5" i="140"/>
  <c r="E8" i="140"/>
  <c r="E89" i="61" s="1"/>
  <c r="E22" i="140"/>
  <c r="C99" i="78" s="1"/>
  <c r="K6" i="140"/>
  <c r="CC87" i="2" s="1"/>
  <c r="M7" i="140"/>
  <c r="CE88" i="2" s="1"/>
  <c r="J9" i="140"/>
  <c r="CB90" i="2" s="1"/>
  <c r="J11" i="140"/>
  <c r="CB92" i="2" s="1"/>
  <c r="J16" i="140"/>
  <c r="CB97" i="2" s="1"/>
  <c r="L16" i="140"/>
  <c r="CD97" i="2" s="1"/>
  <c r="F5" i="144"/>
  <c r="H5" i="144"/>
  <c r="J5" i="144"/>
  <c r="E9" i="155"/>
  <c r="C131" i="78" s="1"/>
  <c r="AC11" i="155"/>
  <c r="FH137" i="2" s="1"/>
  <c r="F10" i="145"/>
  <c r="DG118" i="2" s="1"/>
  <c r="F8" i="145"/>
  <c r="DG116" i="2" s="1"/>
  <c r="P7" i="140"/>
  <c r="V88" i="2" s="1"/>
  <c r="F9" i="145"/>
  <c r="DG117" i="2" s="1"/>
  <c r="R5" i="145"/>
  <c r="M8" i="140"/>
  <c r="CE89" i="2" s="1"/>
  <c r="H8" i="140"/>
  <c r="AH89" i="2" s="1"/>
  <c r="AO16" i="140"/>
  <c r="BL97" i="2" s="1"/>
  <c r="F7" i="140"/>
  <c r="U88" i="2" s="1"/>
  <c r="F6" i="140"/>
  <c r="U87" i="2" s="1"/>
  <c r="E17" i="140"/>
  <c r="C94" i="78" s="1"/>
  <c r="E12" i="140"/>
  <c r="C89" i="78" s="1"/>
  <c r="E10" i="140"/>
  <c r="C87" i="78" s="1"/>
  <c r="AQ16" i="140"/>
  <c r="AG97" i="2" s="1"/>
  <c r="AF12" i="140"/>
  <c r="BJ93" i="2" s="1"/>
  <c r="AD10" i="140"/>
  <c r="BH91" i="2" s="1"/>
  <c r="V8" i="140"/>
  <c r="BU89" i="2" s="1"/>
  <c r="R7" i="140"/>
  <c r="AI88" i="2" s="1"/>
  <c r="H6" i="140"/>
  <c r="AH87" i="2" s="1"/>
  <c r="AG22" i="140"/>
  <c r="CY103" i="2" s="1"/>
  <c r="N7" i="140"/>
  <c r="CF88" i="2" s="1"/>
  <c r="V10" i="145"/>
  <c r="BB118" i="2" s="1"/>
  <c r="R9" i="145"/>
  <c r="BA117" i="2" s="1"/>
  <c r="F5" i="145"/>
  <c r="E10" i="144"/>
  <c r="C104" i="78" s="1"/>
  <c r="L11" i="145"/>
  <c r="DK119" i="2" s="1"/>
  <c r="P8" i="145"/>
  <c r="DQ116" i="2" s="1"/>
  <c r="E9" i="145"/>
  <c r="E117" i="61" s="1"/>
  <c r="E7" i="145"/>
  <c r="C111" i="78" s="1"/>
  <c r="L5" i="145"/>
  <c r="E8" i="144"/>
  <c r="C102" i="78" s="1"/>
  <c r="P5" i="145"/>
  <c r="E12" i="144"/>
  <c r="E110" i="61" s="1"/>
  <c r="Q5" i="144"/>
  <c r="AJ5" i="145"/>
  <c r="S5" i="144"/>
  <c r="M9" i="145"/>
  <c r="DL117" i="2" s="1"/>
  <c r="T5" i="145"/>
  <c r="AJ13" i="155"/>
  <c r="FM139" i="2" s="1"/>
  <c r="AF12" i="155"/>
  <c r="FJ138" i="2" s="1"/>
  <c r="AB11" i="155"/>
  <c r="FG137" i="2" s="1"/>
  <c r="X10" i="155"/>
  <c r="FD136" i="2" s="1"/>
  <c r="T9" i="155"/>
  <c r="FA135" i="2" s="1"/>
  <c r="M5" i="155"/>
  <c r="E9" i="154"/>
  <c r="C121" i="78" s="1"/>
  <c r="E8" i="155"/>
  <c r="E134" i="61" s="1"/>
  <c r="E13" i="154"/>
  <c r="C125" i="78" s="1"/>
  <c r="R5" i="154"/>
  <c r="E15" i="154"/>
  <c r="C127" i="78" s="1"/>
  <c r="T5" i="154"/>
  <c r="AH13" i="155"/>
  <c r="DF139" i="2" s="1"/>
  <c r="AD12" i="155"/>
  <c r="DE138" i="2" s="1"/>
  <c r="Z11" i="155"/>
  <c r="DD137" i="2" s="1"/>
  <c r="V10" i="155"/>
  <c r="DC136" i="2" s="1"/>
  <c r="R9" i="155"/>
  <c r="CI135" i="2" s="1"/>
  <c r="E10" i="155"/>
  <c r="E136" i="61" s="1"/>
  <c r="W5" i="155"/>
  <c r="E12" i="155"/>
  <c r="E138" i="61" s="1"/>
  <c r="AE5" i="155"/>
  <c r="C3" i="78"/>
  <c r="E7" i="61"/>
  <c r="C7" i="78"/>
  <c r="E11" i="61"/>
  <c r="C10" i="78"/>
  <c r="C14" i="78"/>
  <c r="C20" i="78"/>
  <c r="C123" i="78"/>
  <c r="E127" i="61"/>
  <c r="E10" i="134"/>
  <c r="C32" i="78" s="1"/>
  <c r="C4" i="78"/>
  <c r="E8" i="61"/>
  <c r="C69" i="78"/>
  <c r="C73" i="78"/>
  <c r="E77" i="61"/>
  <c r="C77" i="78"/>
  <c r="E81" i="61"/>
  <c r="C109" i="78"/>
  <c r="E113" i="61"/>
  <c r="R5" i="134"/>
  <c r="J127" i="61"/>
  <c r="J113" i="61"/>
  <c r="J77" i="61"/>
  <c r="Q12" i="134"/>
  <c r="P12" i="134"/>
  <c r="AH13" i="145"/>
  <c r="F13" i="145"/>
  <c r="N13" i="145"/>
  <c r="E28" i="134"/>
  <c r="M14" i="155"/>
  <c r="AO14" i="155"/>
  <c r="N14" i="155"/>
  <c r="AC11" i="145"/>
  <c r="N11" i="145"/>
  <c r="AA11" i="145"/>
  <c r="E11" i="145"/>
  <c r="AE12" i="145"/>
  <c r="F12" i="145"/>
  <c r="AD12" i="145"/>
  <c r="E12" i="145"/>
  <c r="V16" i="134"/>
  <c r="T15" i="134"/>
  <c r="S14" i="134"/>
  <c r="U16" i="134"/>
  <c r="V14" i="134"/>
  <c r="AA20" i="134"/>
  <c r="Y19" i="134"/>
  <c r="X18" i="134"/>
  <c r="Z20" i="134"/>
  <c r="AA18" i="134"/>
  <c r="AP15" i="155"/>
  <c r="L15" i="155"/>
  <c r="M15" i="155"/>
  <c r="BB15" i="140"/>
  <c r="AW14" i="140"/>
  <c r="N15" i="140"/>
  <c r="J15" i="140"/>
  <c r="K14" i="140"/>
  <c r="BA15" i="140"/>
  <c r="AV14" i="140"/>
  <c r="M15" i="140"/>
  <c r="N14" i="140"/>
  <c r="E15" i="140"/>
  <c r="E15" i="155"/>
  <c r="Q13" i="134"/>
  <c r="AK13" i="145"/>
  <c r="M13" i="145"/>
  <c r="AI13" i="145"/>
  <c r="L13" i="145"/>
  <c r="AM14" i="155"/>
  <c r="E14" i="155"/>
  <c r="AL14" i="155"/>
  <c r="F14" i="155"/>
  <c r="Z11" i="145"/>
  <c r="F11" i="145"/>
  <c r="M11" i="145"/>
  <c r="E36" i="134"/>
  <c r="N12" i="145"/>
  <c r="AG12" i="145"/>
  <c r="M12" i="145"/>
  <c r="E39" i="134"/>
  <c r="E23" i="134"/>
  <c r="V15" i="134"/>
  <c r="U14" i="134"/>
  <c r="V17" i="134"/>
  <c r="U15" i="134"/>
  <c r="T14" i="134"/>
  <c r="AA19" i="134"/>
  <c r="Z18" i="134"/>
  <c r="AA21" i="134"/>
  <c r="Z19" i="134"/>
  <c r="Y18" i="134"/>
  <c r="E30" i="134"/>
  <c r="E13" i="134"/>
  <c r="E17" i="134"/>
  <c r="E19" i="134"/>
  <c r="E21" i="134"/>
  <c r="AS15" i="155"/>
  <c r="N15" i="155"/>
  <c r="AQ15" i="155"/>
  <c r="F15" i="155"/>
  <c r="AZ15" i="140"/>
  <c r="AU14" i="140"/>
  <c r="L15" i="140"/>
  <c r="M14" i="140"/>
  <c r="E14" i="140"/>
  <c r="AY15" i="140"/>
  <c r="AT14" i="140"/>
  <c r="K15" i="140"/>
  <c r="L14" i="140"/>
  <c r="E6" i="61" l="1"/>
  <c r="C13" i="78"/>
  <c r="J17" i="61"/>
  <c r="C81" i="78"/>
  <c r="C103" i="78"/>
  <c r="C126" i="78"/>
  <c r="C21" i="78"/>
  <c r="J25" i="61"/>
  <c r="J130" i="61"/>
  <c r="E10" i="61"/>
  <c r="E79" i="61"/>
  <c r="C25" i="78"/>
  <c r="J15" i="61"/>
  <c r="J24" i="61"/>
  <c r="J29" i="61"/>
  <c r="C120" i="78"/>
  <c r="C65" i="78"/>
  <c r="C9" i="78"/>
  <c r="J75" i="61"/>
  <c r="J79" i="61"/>
  <c r="C107" i="78"/>
  <c r="E75" i="61"/>
  <c r="C27" i="78"/>
  <c r="C11" i="78"/>
  <c r="C70" i="78"/>
  <c r="J13" i="61"/>
  <c r="J31" i="61"/>
  <c r="J111" i="61"/>
  <c r="E61" i="61"/>
  <c r="C84" i="78"/>
  <c r="C119" i="78"/>
  <c r="C28" i="78"/>
  <c r="J21" i="61"/>
  <c r="E23" i="61"/>
  <c r="C17" i="78"/>
  <c r="J18" i="61"/>
  <c r="J27" i="61"/>
  <c r="E139" i="61"/>
  <c r="C79" i="78"/>
  <c r="E27" i="61"/>
  <c r="E19" i="61"/>
  <c r="C83" i="78"/>
  <c r="C30" i="78"/>
  <c r="J19" i="61"/>
  <c r="J23" i="61"/>
  <c r="E128" i="61"/>
  <c r="J14" i="61"/>
  <c r="J74" i="61"/>
  <c r="E97" i="61"/>
  <c r="C31" i="78"/>
  <c r="E137" i="61"/>
  <c r="E109" i="61"/>
  <c r="C67" i="78"/>
  <c r="C24" i="78"/>
  <c r="C16" i="78"/>
  <c r="C85" i="78"/>
  <c r="C78" i="78"/>
  <c r="C66" i="78"/>
  <c r="E116" i="61"/>
  <c r="C88" i="78"/>
  <c r="E112" i="61"/>
  <c r="J20" i="61"/>
  <c r="J28" i="61"/>
  <c r="J78" i="61"/>
  <c r="J109" i="61"/>
  <c r="C82" i="78"/>
  <c r="C74" i="78"/>
  <c r="E93" i="61"/>
  <c r="J128" i="61"/>
  <c r="E60" i="61"/>
  <c r="C33" i="78"/>
  <c r="E126" i="61"/>
  <c r="E67" i="61"/>
  <c r="E105" i="61"/>
  <c r="E104" i="61"/>
  <c r="E30" i="61"/>
  <c r="J112" i="61"/>
  <c r="E133" i="61"/>
  <c r="E122" i="61"/>
  <c r="E90" i="61"/>
  <c r="E33" i="61"/>
  <c r="E22" i="61"/>
  <c r="E76" i="61"/>
  <c r="C130" i="78"/>
  <c r="C113" i="78"/>
  <c r="C134" i="78"/>
  <c r="C132" i="78"/>
  <c r="E103" i="61"/>
  <c r="E84" i="61"/>
  <c r="E72" i="61"/>
  <c r="E26" i="61"/>
  <c r="E16" i="61"/>
  <c r="E135" i="61"/>
  <c r="E80" i="61"/>
  <c r="E98" i="61"/>
  <c r="J16" i="61"/>
  <c r="J22" i="61"/>
  <c r="J26" i="61"/>
  <c r="J30" i="61"/>
  <c r="J76" i="61"/>
  <c r="C114" i="78"/>
  <c r="C5" i="78"/>
  <c r="E115" i="61"/>
  <c r="J110" i="61"/>
  <c r="E129" i="61"/>
  <c r="E106" i="61"/>
  <c r="C106" i="78"/>
  <c r="E131" i="61"/>
  <c r="E125" i="61"/>
  <c r="E108" i="61"/>
  <c r="E91" i="61"/>
  <c r="J129" i="61"/>
  <c r="J131" i="61"/>
  <c r="E36" i="61"/>
  <c r="J86" i="61"/>
  <c r="J85" i="61"/>
  <c r="J84" i="61"/>
  <c r="J83" i="61"/>
  <c r="J81" i="61"/>
  <c r="J80" i="61"/>
  <c r="C18" i="132"/>
  <c r="F18" i="132"/>
  <c r="A18" i="132"/>
  <c r="D18" i="132" s="1"/>
  <c r="G18" i="132"/>
  <c r="H18" i="132"/>
  <c r="B18" i="132"/>
  <c r="E18" i="132"/>
  <c r="B9" i="132"/>
  <c r="B15" i="132"/>
  <c r="B6" i="132"/>
  <c r="H6" i="132"/>
  <c r="F6" i="132"/>
  <c r="D6" i="132"/>
  <c r="D9" i="132"/>
  <c r="D15" i="132"/>
  <c r="B12" i="132"/>
  <c r="D12" i="132"/>
  <c r="AT40" i="2" l="1"/>
  <c r="AY44" i="2"/>
  <c r="BN54" i="2"/>
  <c r="E101" i="61"/>
  <c r="C97" i="78"/>
  <c r="E119" i="61"/>
  <c r="C115" i="78"/>
  <c r="EJ132" i="2"/>
  <c r="E49" i="61"/>
  <c r="C45" i="78"/>
  <c r="W43" i="2"/>
  <c r="AJ53" i="2"/>
  <c r="E54" i="61"/>
  <c r="C50" i="78"/>
  <c r="T48" i="2"/>
  <c r="W58" i="2"/>
  <c r="CD96" i="2"/>
  <c r="X119" i="2"/>
  <c r="FP140" i="2"/>
  <c r="E63" i="61"/>
  <c r="C59" i="78"/>
  <c r="AY46" i="2"/>
  <c r="BM55" i="2"/>
  <c r="T62" i="2"/>
  <c r="E100" i="61"/>
  <c r="C96" i="78"/>
  <c r="CE96" i="2"/>
  <c r="E40" i="61"/>
  <c r="C36" i="78"/>
  <c r="E64" i="61"/>
  <c r="C60" i="78"/>
  <c r="BK49" i="2"/>
  <c r="AJ59" i="2"/>
  <c r="AF96" i="2"/>
  <c r="DV120" i="2"/>
  <c r="EY141" i="2"/>
  <c r="AO38" i="2"/>
  <c r="W48" i="2"/>
  <c r="T38" i="2"/>
  <c r="AU43" i="2"/>
  <c r="BK53" i="2"/>
  <c r="T65" i="2"/>
  <c r="DC94" i="2"/>
  <c r="E132" i="61"/>
  <c r="C128" i="78"/>
  <c r="E45" i="61"/>
  <c r="C41" i="78"/>
  <c r="AU41" i="2"/>
  <c r="W52" i="2"/>
  <c r="BR57" i="2"/>
  <c r="W65" i="2"/>
  <c r="CF95" i="2"/>
  <c r="CS100" i="2"/>
  <c r="DF94" i="2"/>
  <c r="DK121" i="2"/>
  <c r="FO140" i="2"/>
  <c r="E52" i="61"/>
  <c r="C48" i="78"/>
  <c r="E42" i="61"/>
  <c r="C38" i="78"/>
  <c r="AW44" i="2"/>
  <c r="W49" i="2"/>
  <c r="T54" i="2"/>
  <c r="BR58" i="2"/>
  <c r="X95" i="2"/>
  <c r="DE94" i="2"/>
  <c r="EE119" i="2"/>
  <c r="E140" i="61"/>
  <c r="C136" i="78"/>
  <c r="EJ140" i="2"/>
  <c r="E55" i="61"/>
  <c r="C51" i="78"/>
  <c r="AS40" i="2"/>
  <c r="AZ44" i="2"/>
  <c r="AD47" i="2"/>
  <c r="BK52" i="2"/>
  <c r="W55" i="2"/>
  <c r="W57" i="2"/>
  <c r="BR59" i="2"/>
  <c r="AJ64" i="2"/>
  <c r="E96" i="61"/>
  <c r="C92" i="78"/>
  <c r="CD95" i="2"/>
  <c r="CC96" i="2"/>
  <c r="CS99" i="2"/>
  <c r="DD94" i="2"/>
  <c r="DG114" i="2"/>
  <c r="ED119" i="2"/>
  <c r="EG120" i="2"/>
  <c r="E141" i="61"/>
  <c r="C137" i="78"/>
  <c r="EY140" i="2"/>
  <c r="CN141" i="2"/>
  <c r="DH114" i="2"/>
  <c r="DG120" i="2"/>
  <c r="EL132" i="2"/>
  <c r="FR141" i="2"/>
  <c r="AP39" i="2"/>
  <c r="E58" i="61"/>
  <c r="C54" i="78"/>
  <c r="W41" i="2"/>
  <c r="AD46" i="2"/>
  <c r="BK51" i="2"/>
  <c r="AJ56" i="2"/>
  <c r="AD63" i="2"/>
  <c r="E99" i="61"/>
  <c r="C95" i="78"/>
  <c r="CF96" i="2"/>
  <c r="CR100" i="2"/>
  <c r="DJ114" i="2"/>
  <c r="DL121" i="2"/>
  <c r="EN141" i="2"/>
  <c r="E39" i="61"/>
  <c r="C35" i="78"/>
  <c r="E47" i="61"/>
  <c r="C43" i="78"/>
  <c r="E65" i="61"/>
  <c r="C61" i="78"/>
  <c r="AT42" i="2"/>
  <c r="AD50" i="2"/>
  <c r="F8" i="59"/>
  <c r="C52" i="78"/>
  <c r="E56" i="61"/>
  <c r="E46" i="61"/>
  <c r="C42" i="78"/>
  <c r="W42" i="2"/>
  <c r="AZ46" i="2"/>
  <c r="AD52" i="2"/>
  <c r="BN56" i="2"/>
  <c r="AD64" i="2"/>
  <c r="AK95" i="2"/>
  <c r="CR101" i="2"/>
  <c r="DG119" i="2"/>
  <c r="Y121" i="2"/>
  <c r="EO140" i="2"/>
  <c r="E41" i="61"/>
  <c r="C37" i="78"/>
  <c r="E57" i="61"/>
  <c r="C53" i="78"/>
  <c r="AU40" i="2"/>
  <c r="AX45" i="2"/>
  <c r="BK50" i="2"/>
  <c r="E48" i="61"/>
  <c r="C44" i="78"/>
  <c r="C34" i="78"/>
  <c r="E38" i="61"/>
  <c r="AR40" i="2"/>
  <c r="AY45" i="2"/>
  <c r="W51" i="2"/>
  <c r="BN55" i="2"/>
  <c r="BV62" i="2"/>
  <c r="CE95" i="2"/>
  <c r="CR99" i="2"/>
  <c r="DI114" i="2"/>
  <c r="DG121" i="2"/>
  <c r="EM132" i="2"/>
  <c r="F10" i="59"/>
  <c r="C49" i="78"/>
  <c r="E53" i="61"/>
  <c r="W40" i="2"/>
  <c r="AX44" i="2"/>
  <c r="AD49" i="2"/>
  <c r="BM54" i="2"/>
  <c r="BM56" i="2"/>
  <c r="AD59" i="2"/>
  <c r="BV63" i="2"/>
  <c r="C91" i="78"/>
  <c r="E95" i="61"/>
  <c r="C90" i="78"/>
  <c r="E94" i="61"/>
  <c r="CT95" i="2"/>
  <c r="AL96" i="2"/>
  <c r="CS102" i="2"/>
  <c r="E120" i="61"/>
  <c r="C116" i="78"/>
  <c r="DV119" i="2"/>
  <c r="Z120" i="2"/>
  <c r="EH121" i="2"/>
  <c r="EX132" i="2"/>
  <c r="EO141" i="2"/>
  <c r="E44" i="61"/>
  <c r="C40" i="78"/>
  <c r="E62" i="61"/>
  <c r="C58" i="78"/>
  <c r="AT41" i="2"/>
  <c r="E50" i="61"/>
  <c r="C46" i="78"/>
  <c r="AP38" i="2"/>
  <c r="AU42" i="2"/>
  <c r="AD45" i="2"/>
  <c r="AZ47" i="2"/>
  <c r="AJ50" i="2"/>
  <c r="AD53" i="2"/>
  <c r="AD55" i="2"/>
  <c r="T57" i="2"/>
  <c r="W62" i="2"/>
  <c r="BV64" i="2"/>
  <c r="CC95" i="2"/>
  <c r="CB96" i="2"/>
  <c r="CU96" i="2"/>
  <c r="CR102" i="2"/>
  <c r="E121" i="61"/>
  <c r="C117" i="78"/>
  <c r="DL119" i="2"/>
  <c r="EF120" i="2"/>
  <c r="EI121" i="2"/>
  <c r="EK132" i="2"/>
  <c r="CM140" i="2"/>
  <c r="FQ141" i="2"/>
  <c r="E43" i="61"/>
  <c r="C39" i="78"/>
  <c r="E51" i="61"/>
  <c r="C47" i="78"/>
  <c r="E59" i="61"/>
  <c r="C55" i="78"/>
  <c r="T39" i="2"/>
  <c r="AS41" i="2"/>
  <c r="AD44" i="2"/>
  <c r="AZ45" i="2"/>
  <c r="BK48" i="2"/>
  <c r="T51" i="2"/>
  <c r="W54" i="2"/>
  <c r="AD56" i="2"/>
  <c r="AD58" i="2"/>
  <c r="W63" i="2"/>
  <c r="BX65" i="2"/>
  <c r="E102" i="61"/>
  <c r="C98" i="78"/>
  <c r="AE95" i="2"/>
  <c r="Y96" i="2"/>
  <c r="CS101" i="2"/>
  <c r="E114" i="61"/>
  <c r="C110" i="78"/>
  <c r="DU114" i="2"/>
  <c r="DL120" i="2"/>
  <c r="DV121" i="2"/>
  <c r="CX132" i="2"/>
  <c r="EJ141" i="2"/>
  <c r="J266" i="18"/>
  <c r="J82" i="61"/>
  <c r="J168" i="18"/>
  <c r="C15" i="77" a="1"/>
  <c r="C15" i="81" a="1"/>
  <c r="D15" i="81" l="1"/>
  <c r="D17" i="81"/>
  <c r="D19" i="81"/>
  <c r="D21" i="81"/>
  <c r="D23" i="81"/>
  <c r="C15" i="81"/>
  <c r="C17" i="81"/>
  <c r="C19" i="81"/>
  <c r="C21" i="81"/>
  <c r="C23" i="81"/>
  <c r="D16" i="81"/>
  <c r="D18" i="81"/>
  <c r="D20" i="81"/>
  <c r="D22" i="81"/>
  <c r="D24" i="81"/>
  <c r="C16" i="81"/>
  <c r="C18" i="81"/>
  <c r="C20" i="81"/>
  <c r="C22" i="81"/>
  <c r="C24" i="81"/>
  <c r="C15" i="77"/>
  <c r="C17" i="77"/>
  <c r="C19" i="77"/>
  <c r="C21" i="77"/>
  <c r="C23" i="77"/>
  <c r="D16" i="77"/>
  <c r="D18" i="77"/>
  <c r="D20" i="77"/>
  <c r="D22" i="77"/>
  <c r="D24" i="77"/>
  <c r="C16" i="77"/>
  <c r="C18" i="77"/>
  <c r="C20" i="77"/>
  <c r="C22" i="77"/>
  <c r="D15" i="77"/>
  <c r="D17" i="77"/>
  <c r="D19" i="77"/>
  <c r="D21" i="77"/>
  <c r="D23" i="77"/>
  <c r="C24" i="77"/>
  <c r="F6" i="59"/>
  <c r="F4" i="59"/>
  <c r="F3" i="59"/>
  <c r="F9" i="59"/>
  <c r="F5" i="59"/>
  <c r="F2" i="59"/>
  <c r="F7" i="59"/>
  <c r="J296" i="18"/>
  <c r="J295" i="18"/>
  <c r="J233" i="18"/>
  <c r="J247" i="18" l="1"/>
  <c r="J234" i="18"/>
  <c r="J246" i="18"/>
  <c r="J232" i="18"/>
  <c r="J304" i="18"/>
  <c r="J252" i="18"/>
  <c r="J297" i="18" l="1"/>
  <c r="J236" i="18"/>
  <c r="J235" i="18"/>
  <c r="J269" i="18"/>
  <c r="J268" i="18"/>
  <c r="J171" i="18"/>
  <c r="J267" i="18"/>
  <c r="J237" i="18"/>
  <c r="J298" i="18"/>
  <c r="J166" i="18"/>
  <c r="J288" i="18"/>
  <c r="J198" i="18"/>
  <c r="J169" i="18"/>
  <c r="J248" i="18"/>
  <c r="J170" i="18"/>
  <c r="J167" i="18"/>
  <c r="J196" i="18"/>
  <c r="A22" i="135" l="1"/>
  <c r="A21" i="135"/>
  <c r="C19" i="135"/>
  <c r="B19" i="135"/>
  <c r="A19" i="135"/>
  <c r="C18" i="135"/>
  <c r="B18" i="135"/>
  <c r="A18" i="135"/>
  <c r="C17" i="135"/>
  <c r="B17" i="135"/>
  <c r="A17" i="135"/>
  <c r="D16" i="135"/>
  <c r="C16" i="135"/>
  <c r="B16" i="135"/>
  <c r="A16" i="135"/>
  <c r="A15" i="135"/>
  <c r="A13" i="135"/>
  <c r="A12" i="135"/>
  <c r="A11" i="135"/>
  <c r="A10" i="135"/>
  <c r="A9" i="135"/>
  <c r="A8" i="135"/>
  <c r="A7" i="135"/>
  <c r="B6" i="135"/>
  <c r="A6" i="135"/>
  <c r="B5" i="135"/>
  <c r="A5" i="135"/>
  <c r="B4" i="135"/>
  <c r="A4" i="135"/>
  <c r="A3" i="135"/>
  <c r="H5" i="138" l="1"/>
  <c r="G5" i="138"/>
  <c r="E6" i="138" l="1"/>
  <c r="C64" i="78" s="1"/>
  <c r="F5" i="138"/>
  <c r="D5" i="18"/>
  <c r="A3" i="64" l="1"/>
  <c r="A4" i="64" s="1"/>
  <c r="A5" i="64" s="1"/>
  <c r="A6" i="64" s="1"/>
  <c r="A7" i="64" s="1"/>
  <c r="A8" i="64" s="1"/>
  <c r="A9" i="64" s="1"/>
  <c r="A10" i="64" s="1"/>
  <c r="A11" i="64" s="1"/>
  <c r="G10" i="18" l="1"/>
  <c r="G11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WimLiebregts</author>
  </authors>
  <commentList>
    <comment ref="AF3" authorId="0" shapeId="0" xr:uid="{00000000-0006-0000-2B00-000001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This is bitwise configuration.  If a variable is a measured IV, the Type is 4+8=12
</t>
        </r>
      </text>
    </comment>
    <comment ref="AN3" authorId="0" shapeId="0" xr:uid="{00000000-0006-0000-2B00-000002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Equations:
1: Piecewise Linear (9 sections, extrapolation outside)
2: b*Ln(x+a)+c
3: b*LnLn(x+a)+c
4: 100 * Xin ^ 2 / (alpha + (1 - alpha) * Xin ^ 4) ^ 0.5
5: 100 * Xin / (alpha + (1 - alpha) * Xin ^ 2) ^ 0.5
6: b*exp(ax)+c
</t>
        </r>
      </text>
    </comment>
    <comment ref="AO3" authorId="0" shapeId="0" xr:uid="{00000000-0006-0000-2B00-000003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Format:
0\1\2\3\4\5\6\7\8\9\10\11\12\13\14\15\16\17\18\19\21
1: x1\y1\x2\y2 etc
2: a\b\c\x\x\x\x\x etc x=don't care
3: a\b\c\x\x\x\x\x etc x=don't care
4: alpha\x\x\x\x\x\x\x etc x=don't care
5: alpha\x\x\x\x\x\x\x etc x=don't care
6: a\b\c\x\x\x\x\x\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WimLiebregts</author>
  </authors>
  <commentList>
    <comment ref="AF3" authorId="0" shapeId="0" xr:uid="{00000000-0006-0000-2C00-000001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This is bitwise configuration, so a Balance row that is to be handled as a normal CV has a Type 1+2=3
</t>
        </r>
      </text>
    </comment>
    <comment ref="AJ3" authorId="0" shapeId="0" xr:uid="{00000000-0006-0000-2C00-000002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Equations:
1: Piecewise Linear (9 sections, extrapolation outside)
2: b*Ln(x+a)+c
3: b*LnLn(x+a)+c
4: 100 * Xin ^ 2 / (alpha + (1 - alpha) * Xin ^ 4) ^ 0.5
5: 100 * Xin / (alpha + (1 - alpha) * Xin ^ 2) ^ 0.5
6: b*exp(ax)+c
</t>
        </r>
      </text>
    </comment>
    <comment ref="AK3" authorId="0" shapeId="0" xr:uid="{00000000-0006-0000-2C00-000003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Format:
0\1\2\3\4\5\6\7\8\9\10\11\12\13\14\15\16\17\18\19\21
1: x1\y1\x2\y2 etc
2: a\b\c\x\x\x\x\x etc x=don't care
3: a\b\c\x\x\x\x\x etc x=don't care
4: alpha\x\x\x\x\x\x\x etc x=don't care
5: alpha\x\x\x\x\x\x\x etc x=don't care
6: a\b\c\x\x\x\x\x\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WimLiebregts</author>
  </authors>
  <commentList>
    <comment ref="AF3" authorId="0" shapeId="0" xr:uid="{00000000-0006-0000-2D00-000001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This is bitwise configuration.  If a variable is a measured IV, the Type is 4+8=12
</t>
        </r>
      </text>
    </comment>
    <comment ref="AN3" authorId="0" shapeId="0" xr:uid="{00000000-0006-0000-2D00-000002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Equations:
1: Piecewise Linear (9 sections, extrapolation outside)
2: b*Ln(x+a)+c
3: b*LnLn(x+a)+c
4: 100 * Xin ^ 2 / (alpha + (1 - alpha) * Xin ^ 4) ^ 0.5
5: 100 * Xin / (alpha + (1 - alpha) * Xin ^ 2) ^ 0.5
6: b*exp(ax)+c
</t>
        </r>
      </text>
    </comment>
    <comment ref="AO3" authorId="0" shapeId="0" xr:uid="{00000000-0006-0000-2D00-000003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Format:
0\1\2\3\4\5\6\7\8\9\10\11\12\13\14\15\16\17\18\19\21
1: x1\y1\x2\y2 etc
2: a\b\c\x\x\x\x\x etc x=don't care
3: a\b\c\x\x\x\x\x etc x=don't care
4: alpha\x\x\x\x\x\x\x etc x=don't care
5: alpha\x\x\x\x\x\x\x etc x=don't care
6: a\b\c\x\x\x\x\x\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WimLiebregts</author>
  </authors>
  <commentList>
    <comment ref="AF3" authorId="0" shapeId="0" xr:uid="{00000000-0006-0000-2E00-000001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This is bitwise configuration, so a Balance row that is to be handled as a normal CV has a Type 1+2=3
</t>
        </r>
      </text>
    </comment>
    <comment ref="AJ3" authorId="0" shapeId="0" xr:uid="{00000000-0006-0000-2E00-000002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Equations:
1: Piecewise Linear (9 sections, extrapolation outside)
2: b*Ln(x+a)+c
3: b*LnLn(x+a)+c
4: 100 * Xin ^ 2 / (alpha + (1 - alpha) * Xin ^ 4) ^ 0.5
5: 100 * Xin / (alpha + (1 - alpha) * Xin ^ 2) ^ 0.5
6: b*exp(ax) + c
100: Differentiator PVn-PVn-1, ActiveHiLim=(HiLim-PV)/Horizon, ActiveLoLim=(LoLim-PV)/Horizon, CV only
</t>
        </r>
      </text>
    </comment>
    <comment ref="AK3" authorId="0" shapeId="0" xr:uid="{00000000-0006-0000-2E00-000003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Format:
0\1\2\3\4\5\6\7\8\9\10\11\12\13\14\15\16\17\18\19\21
1: x1\y1\x2\y2 etc
2: a\b\c\x\x\x\x\x etc x=don't care
3: a\b\c\x\x\x\x\x etc x=don't care
4: alpha\x\x\x\x\x\x\x etc x=don't care
5: alpha\x\x\x\x\x\x\x etc x=don't care
2: a\b\c\x\x\x\x\x etc x=don't care
100: x\x\x\x\x\x\x\x etc x=don't care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WimLiebregts</author>
  </authors>
  <commentList>
    <comment ref="D5" authorId="0" shapeId="0" xr:uid="{00000000-0006-0000-3000-000001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Can be changed manually</t>
        </r>
      </text>
    </comment>
    <comment ref="G10" authorId="0" shapeId="0" xr:uid="{00000000-0006-0000-3000-000002000000}">
      <text>
        <r>
          <rPr>
            <b/>
            <sz val="9"/>
            <color indexed="81"/>
            <rFont val="Tahoma"/>
            <family val="2"/>
          </rPr>
          <t>WimLiebregts:</t>
        </r>
        <r>
          <rPr>
            <sz val="9"/>
            <color indexed="81"/>
            <rFont val="Tahoma"/>
            <family val="2"/>
          </rPr>
          <t xml:space="preserve">
Can be changed manually</t>
        </r>
      </text>
    </comment>
  </commentList>
</comments>
</file>

<file path=xl/sharedStrings.xml><?xml version="1.0" encoding="utf-8"?>
<sst xmlns="http://schemas.openxmlformats.org/spreadsheetml/2006/main" count="9804" uniqueCount="2223">
  <si>
    <t>Optimiser Configuration</t>
  </si>
  <si>
    <t>QP Target</t>
  </si>
  <si>
    <t>Execution Interval</t>
  </si>
  <si>
    <t>Execution Offset</t>
  </si>
  <si>
    <t>Sec</t>
  </si>
  <si>
    <t>OFF</t>
  </si>
  <si>
    <t>CV Name</t>
  </si>
  <si>
    <t>MV Name</t>
  </si>
  <si>
    <t>Index</t>
  </si>
  <si>
    <t>Description</t>
  </si>
  <si>
    <t>Units</t>
  </si>
  <si>
    <t>Value</t>
  </si>
  <si>
    <t>Server</t>
  </si>
  <si>
    <t>OPC Connections</t>
  </si>
  <si>
    <t>Gain Update</t>
  </si>
  <si>
    <t>Node</t>
  </si>
  <si>
    <t>Critical</t>
  </si>
  <si>
    <t>Max Execs To Skip</t>
  </si>
  <si>
    <t>Gain Update Interval</t>
  </si>
  <si>
    <t>Checkpoint Interval</t>
  </si>
  <si>
    <t>Current Value</t>
  </si>
  <si>
    <t>Low Limit</t>
  </si>
  <si>
    <t>High Limit</t>
  </si>
  <si>
    <t>Status</t>
  </si>
  <si>
    <t>Mins/Exec</t>
  </si>
  <si>
    <t>Execs</t>
  </si>
  <si>
    <t>OPC Server</t>
  </si>
  <si>
    <t>OPC Node</t>
  </si>
  <si>
    <t>Configuration</t>
  </si>
  <si>
    <t>Status Information</t>
  </si>
  <si>
    <t>Item</t>
  </si>
  <si>
    <t>Quality</t>
  </si>
  <si>
    <t>Time Stamp</t>
  </si>
  <si>
    <t>Model File</t>
  </si>
  <si>
    <t>Entry</t>
  </si>
  <si>
    <t>Raw Value</t>
  </si>
  <si>
    <t>Message</t>
  </si>
  <si>
    <t>Last Good Value</t>
  </si>
  <si>
    <t>Prev Message</t>
  </si>
  <si>
    <t>Last Model Write</t>
  </si>
  <si>
    <t>Max # Pred</t>
  </si>
  <si>
    <t>MVC Status</t>
  </si>
  <si>
    <t>MVC Type</t>
  </si>
  <si>
    <t>Ignore When Off</t>
  </si>
  <si>
    <t>OPC Connection Allowed:</t>
  </si>
  <si>
    <t>Yes</t>
  </si>
  <si>
    <t>Optimiser Objective Function</t>
  </si>
  <si>
    <t>LP Cost</t>
  </si>
  <si>
    <t>QP Weight</t>
  </si>
  <si>
    <t>Ext Link 1</t>
  </si>
  <si>
    <t>Ext Link 2</t>
  </si>
  <si>
    <t>Ext Target</t>
  </si>
  <si>
    <t>No</t>
  </si>
  <si>
    <t>Ext Link 1 Val (On)</t>
  </si>
  <si>
    <t>Ext Link 2 Val (On)</t>
  </si>
  <si>
    <t>OPC external links to write Optimiser solution to</t>
  </si>
  <si>
    <t>Values to write to external links when Optimiser is On</t>
  </si>
  <si>
    <t>Orig Ext Link Vals from Cpt</t>
  </si>
  <si>
    <t>Model File Folder</t>
  </si>
  <si>
    <t>Gain Update Server Configuration</t>
  </si>
  <si>
    <t>Use MV Move Suppression</t>
  </si>
  <si>
    <t>Max Move</t>
  </si>
  <si>
    <t>OPC Item</t>
  </si>
  <si>
    <t>External Status Indicator Configuration</t>
  </si>
  <si>
    <t>External On/Off Request Configuration</t>
  </si>
  <si>
    <t>Status Override</t>
  </si>
  <si>
    <t>Store Original Ext Link Values</t>
  </si>
  <si>
    <t>Move Suppression</t>
  </si>
  <si>
    <t>View Filter</t>
  </si>
  <si>
    <t>Low Limit ECE</t>
  </si>
  <si>
    <t>High Limit ECE</t>
  </si>
  <si>
    <t>Prediction Bias Filter Time</t>
  </si>
  <si>
    <t>Continue When Bad</t>
  </si>
  <si>
    <t>Sim Filt Time</t>
  </si>
  <si>
    <t>Force Simulation</t>
  </si>
  <si>
    <t>NumCV</t>
  </si>
  <si>
    <t>NumMV</t>
  </si>
  <si>
    <t>ValLow</t>
  </si>
  <si>
    <t>ValHigh</t>
  </si>
  <si>
    <t>ID</t>
  </si>
  <si>
    <t>Aux Name</t>
  </si>
  <si>
    <t>Localhost</t>
  </si>
  <si>
    <t>Min Change</t>
  </si>
  <si>
    <t>High Limit Give-Up</t>
  </si>
  <si>
    <t>Low Limit Give-Up</t>
  </si>
  <si>
    <t>Low Valid Limit</t>
  </si>
  <si>
    <t>High Valid Limit</t>
  </si>
  <si>
    <t>NumAuxWrite</t>
  </si>
  <si>
    <t>Force BAD</t>
  </si>
  <si>
    <t>Folder Location</t>
  </si>
  <si>
    <t>C:</t>
  </si>
  <si>
    <t>Application Type</t>
  </si>
  <si>
    <t>Watchdog Signal Write Configuration</t>
  </si>
  <si>
    <t>Shed to Advisory</t>
  </si>
  <si>
    <t>OPCUpdateFreq</t>
  </si>
  <si>
    <t>Version</t>
  </si>
  <si>
    <t>xlsm</t>
  </si>
  <si>
    <t>Optimiser</t>
  </si>
  <si>
    <t>Data Reconciliation</t>
  </si>
  <si>
    <t>Data Reconciliation Configuration</t>
  </si>
  <si>
    <t>Type</t>
  </si>
  <si>
    <t>1/Execs</t>
  </si>
  <si>
    <t>OP</t>
  </si>
  <si>
    <t>ReadingLow</t>
  </si>
  <si>
    <t>ReadingHigh</t>
  </si>
  <si>
    <t>WindUpReading</t>
  </si>
  <si>
    <t>Lo Limit Offset</t>
  </si>
  <si>
    <t>Hi Limit Offset</t>
  </si>
  <si>
    <t>FileName</t>
  </si>
  <si>
    <t>Ext Link Trgt track when Off</t>
  </si>
  <si>
    <t>Default Current Value</t>
  </si>
  <si>
    <t>NumAUXRead</t>
  </si>
  <si>
    <t>ApplicationName</t>
  </si>
  <si>
    <t>Transformation</t>
  </si>
  <si>
    <t>Transformation Config</t>
  </si>
  <si>
    <t xml:space="preserve">Unforced Prediction in Simulation </t>
  </si>
  <si>
    <t>MV name</t>
  </si>
  <si>
    <t>MV Index</t>
  </si>
  <si>
    <t>ON(1)/OFF(0)</t>
  </si>
  <si>
    <t>CV name</t>
  </si>
  <si>
    <t>CV Index</t>
  </si>
  <si>
    <t>Full</t>
  </si>
  <si>
    <t>Size matrix (Dep x Indep)</t>
  </si>
  <si>
    <t>Size A matrix (Bal x IV)</t>
  </si>
  <si>
    <t>Size B matrix (Bal x MVs)</t>
  </si>
  <si>
    <t>Size C matrix (CVs x IV)</t>
  </si>
  <si>
    <t>Size D matrix (CVs x Mvs)</t>
  </si>
  <si>
    <t>Active</t>
  </si>
  <si>
    <t>Row-rank A-Matrix</t>
  </si>
  <si>
    <t>Column-rank A-Matrix</t>
  </si>
  <si>
    <t>Condition Number A-Matrix</t>
  </si>
  <si>
    <t>Active A-Matrix</t>
  </si>
  <si>
    <t>Green background is independent variable</t>
  </si>
  <si>
    <t>Horizon</t>
  </si>
  <si>
    <t>DirectReverse</t>
  </si>
  <si>
    <t>Periodic Saving</t>
  </si>
  <si>
    <t>SaveInterval</t>
  </si>
  <si>
    <t>Executions</t>
  </si>
  <si>
    <t>Copy of Checkpoint</t>
  </si>
  <si>
    <t>Convolution Gain CutOff</t>
  </si>
  <si>
    <t>Rank CutOff</t>
  </si>
  <si>
    <t>VariableDeadTime Deadband (%)</t>
  </si>
  <si>
    <t>Model</t>
  </si>
  <si>
    <t>Indep</t>
  </si>
  <si>
    <t>Dep</t>
  </si>
  <si>
    <t>DeadTime</t>
  </si>
  <si>
    <t>Lag</t>
  </si>
  <si>
    <t>Lead</t>
  </si>
  <si>
    <t>Lag*Lag</t>
  </si>
  <si>
    <t>IncludePredOnlyModels</t>
  </si>
  <si>
    <t>yes/no</t>
  </si>
  <si>
    <t>Direct/Reverse</t>
  </si>
  <si>
    <t>See Comments</t>
  </si>
  <si>
    <t>See comments</t>
  </si>
  <si>
    <t>WindUp  not implemented for DR</t>
  </si>
  <si>
    <t>One backup copy only</t>
  </si>
  <si>
    <t>Function Value</t>
  </si>
  <si>
    <t>default values</t>
  </si>
  <si>
    <t>&lt;NONE&gt;</t>
  </si>
  <si>
    <t>""</t>
  </si>
  <si>
    <t>default</t>
  </si>
  <si>
    <t>Off</t>
  </si>
  <si>
    <t>0=CV,1=Bal Row, 2=Bal Row "Dmatrix"</t>
  </si>
  <si>
    <t>0=C 1=I 2=B 4=IV 8=Measured IV</t>
  </si>
  <si>
    <t>MaxIteration Infeasibility</t>
  </si>
  <si>
    <t>IBP</t>
  </si>
  <si>
    <t>FBP</t>
  </si>
  <si>
    <t>Freeze</t>
  </si>
  <si>
    <t>Cloud</t>
  </si>
  <si>
    <t>SG</t>
  </si>
  <si>
    <t>SUL</t>
  </si>
  <si>
    <t>CUT1</t>
  </si>
  <si>
    <t>CUT2</t>
  </si>
  <si>
    <t>CUT3</t>
  </si>
  <si>
    <t>CUT4</t>
  </si>
  <si>
    <t>Engineering units (0 = English, 1 = metric)</t>
  </si>
  <si>
    <t>IUNITS</t>
  </si>
  <si>
    <t>Freeze and Cloud Point calculation factors</t>
  </si>
  <si>
    <t>CBN BASE</t>
  </si>
  <si>
    <t>FBN BASE</t>
  </si>
  <si>
    <t>Cutpoint boundaries (e.g. NAP_EVAP_T1, KER_EVAP_T1, DSL…, AGO…)</t>
  </si>
  <si>
    <t>KER_EVAP_T1</t>
  </si>
  <si>
    <t>KER_EVAP_T2</t>
  </si>
  <si>
    <t>DSL_EVAP_T1</t>
  </si>
  <si>
    <t>DSL_EVAP_T2</t>
  </si>
  <si>
    <t>DSL_EVAP_T3</t>
  </si>
  <si>
    <t>TYPE</t>
  </si>
  <si>
    <t>MEAS1.NAME</t>
  </si>
  <si>
    <t>MEAS1.TYPE</t>
  </si>
  <si>
    <t>MEAS2.NAME</t>
  </si>
  <si>
    <t>MEAS2.TYPE</t>
  </si>
  <si>
    <t>MEAS3.NAME</t>
  </si>
  <si>
    <t>MEAS3.TYPE</t>
  </si>
  <si>
    <t>MEAS4.NAME</t>
  </si>
  <si>
    <t>MEAS4.TYPE</t>
  </si>
  <si>
    <t>MEAS5.NAME</t>
  </si>
  <si>
    <t>MEAS5.TYPE</t>
  </si>
  <si>
    <t>MEAS6.NAME</t>
  </si>
  <si>
    <t>MEAS6.TYPE</t>
  </si>
  <si>
    <t>MEAS7.NAME</t>
  </si>
  <si>
    <t>MEAS7.TYPE</t>
  </si>
  <si>
    <t>MEAS8.NAME</t>
  </si>
  <si>
    <t>MEAS8.TYPE</t>
  </si>
  <si>
    <t>MEAS9.NAME</t>
  </si>
  <si>
    <t>MEAS9.TYPE</t>
  </si>
  <si>
    <t>MEAS10.NAME</t>
  </si>
  <si>
    <t>MEAS10.TYPE</t>
  </si>
  <si>
    <t>CDU1.TTOP</t>
  </si>
  <si>
    <t>TTOP</t>
  </si>
  <si>
    <t>CDU1.PTOP</t>
  </si>
  <si>
    <t>PTOP</t>
  </si>
  <si>
    <t>CDU1.FEED</t>
  </si>
  <si>
    <t>CRD</t>
  </si>
  <si>
    <t>CDU1.OVH</t>
  </si>
  <si>
    <t>NAP</t>
  </si>
  <si>
    <t>CDU1.SC1</t>
  </si>
  <si>
    <t>KER</t>
  </si>
  <si>
    <t>CDU1.SC2</t>
  </si>
  <si>
    <t>DSL</t>
  </si>
  <si>
    <t>CDU1.RES</t>
  </si>
  <si>
    <t>RES</t>
  </si>
  <si>
    <t>MEAS11.NAME</t>
  </si>
  <si>
    <t>MEAS11.TYPE</t>
  </si>
  <si>
    <t>MEAS12.NAME</t>
  </si>
  <si>
    <t>MEAS12.TYPE</t>
  </si>
  <si>
    <t>MEAS13.NAME</t>
  </si>
  <si>
    <t>MEAS13.TYPE</t>
  </si>
  <si>
    <t>MEAS14.NAME</t>
  </si>
  <si>
    <t>MEAS14.TYPE</t>
  </si>
  <si>
    <t>MEAS15.NAME</t>
  </si>
  <si>
    <t>MEAS15.TYPE</t>
  </si>
  <si>
    <t>MEAS16.NAME</t>
  </si>
  <si>
    <t>MEAS16.TYPE</t>
  </si>
  <si>
    <t>AGO</t>
  </si>
  <si>
    <t>F</t>
  </si>
  <si>
    <t>P</t>
  </si>
  <si>
    <t>T</t>
  </si>
  <si>
    <t>T95</t>
  </si>
  <si>
    <t>TCL</t>
  </si>
  <si>
    <t>TFZ</t>
  </si>
  <si>
    <t>Unit Name</t>
  </si>
  <si>
    <t>Unit Kind</t>
  </si>
  <si>
    <t>Envelope Kind</t>
  </si>
  <si>
    <t>SOURCE</t>
  </si>
  <si>
    <t>BLND1.PROD</t>
  </si>
  <si>
    <t>BLND1.FD1</t>
  </si>
  <si>
    <t>BLND1.FD2</t>
  </si>
  <si>
    <t>HDT1.WABT</t>
  </si>
  <si>
    <t>HDT1.H2PP</t>
  </si>
  <si>
    <t>HDT1.SULP</t>
  </si>
  <si>
    <t>HDT1.FEED</t>
  </si>
  <si>
    <t>Flash point parameters</t>
  </si>
  <si>
    <t>FPI A</t>
  </si>
  <si>
    <t>FPI B</t>
  </si>
  <si>
    <t>FPI ALPHA</t>
  </si>
  <si>
    <t>IBP_1H</t>
  </si>
  <si>
    <t>FBP_1H</t>
  </si>
  <si>
    <t>IBP_1L</t>
  </si>
  <si>
    <t>FBP_1L</t>
  </si>
  <si>
    <t>IBP_2H</t>
  </si>
  <si>
    <t>FBP_2H</t>
  </si>
  <si>
    <t>IBP_2L</t>
  </si>
  <si>
    <t>FBP_2L</t>
  </si>
  <si>
    <t>CLOUD_2</t>
  </si>
  <si>
    <t>CLOUD_1</t>
  </si>
  <si>
    <t>FREEZE_2</t>
  </si>
  <si>
    <t>FREEZE_1</t>
  </si>
  <si>
    <t>SUL_2</t>
  </si>
  <si>
    <t>SUL_1</t>
  </si>
  <si>
    <t>SG_2</t>
  </si>
  <si>
    <t>SG_1</t>
  </si>
  <si>
    <t>FURNACE</t>
  </si>
  <si>
    <t>COIL</t>
  </si>
  <si>
    <t>PROD ID</t>
  </si>
  <si>
    <t>YIELD MODEL</t>
  </si>
  <si>
    <t>COT</t>
  </si>
  <si>
    <t>COP</t>
  </si>
  <si>
    <t>STM FLOW</t>
  </si>
  <si>
    <t>STM/HC</t>
  </si>
  <si>
    <t>MIXER</t>
  </si>
  <si>
    <t>STRM ID</t>
  </si>
  <si>
    <t>Name</t>
  </si>
  <si>
    <t>XMEAS1.NAME</t>
  </si>
  <si>
    <t>XMEAS1.COMPID</t>
  </si>
  <si>
    <t>XMEAS2.NAME</t>
  </si>
  <si>
    <t>XMEAS2.COMPID</t>
  </si>
  <si>
    <t>XMEAS3.NAME</t>
  </si>
  <si>
    <t>XMEAS3.COMPID</t>
  </si>
  <si>
    <t>XMEAS4.NAME</t>
  </si>
  <si>
    <t>XMEAS4.COMPID</t>
  </si>
  <si>
    <t>FMEAS.NAME</t>
  </si>
  <si>
    <t>SType</t>
  </si>
  <si>
    <t>CType</t>
  </si>
  <si>
    <t>Hydrogen</t>
  </si>
  <si>
    <t>Methane</t>
  </si>
  <si>
    <t>Acetylene</t>
  </si>
  <si>
    <t>Ethylene</t>
  </si>
  <si>
    <t>Ethane</t>
  </si>
  <si>
    <t xml:space="preserve">MAPD (Propadiene)  </t>
  </si>
  <si>
    <t>Propylene</t>
  </si>
  <si>
    <t>Propane</t>
  </si>
  <si>
    <t>1,3-Butadiene</t>
  </si>
  <si>
    <t>1,2-Butadiene</t>
  </si>
  <si>
    <t>1-Butene</t>
  </si>
  <si>
    <t>t2-Butene</t>
  </si>
  <si>
    <t>c2-Butene</t>
  </si>
  <si>
    <t>i-Butene</t>
  </si>
  <si>
    <t>n-Butane</t>
  </si>
  <si>
    <t>i-Butane</t>
  </si>
  <si>
    <t>n-Pentane</t>
  </si>
  <si>
    <t>i-Pentane</t>
  </si>
  <si>
    <t>C6 other</t>
  </si>
  <si>
    <t>Benzene</t>
  </si>
  <si>
    <t xml:space="preserve">C7 other </t>
  </si>
  <si>
    <t>Toluene</t>
  </si>
  <si>
    <t>C8 other</t>
  </si>
  <si>
    <t>Xylenes</t>
  </si>
  <si>
    <t xml:space="preserve">C9’s </t>
  </si>
  <si>
    <t xml:space="preserve">C10’s </t>
  </si>
  <si>
    <t>C11+ (Fuel Oil)</t>
  </si>
  <si>
    <t>Antoine Parameters (ln(P(PSIA))=VPA-VPB/((DEGR)+VPC)</t>
  </si>
  <si>
    <t>VPA</t>
  </si>
  <si>
    <t>VPB</t>
  </si>
  <si>
    <t>VPC</t>
  </si>
  <si>
    <t>HDT1.PROD</t>
  </si>
  <si>
    <t>HDT1.OVH</t>
  </si>
  <si>
    <t>CI</t>
  </si>
  <si>
    <t>TFL</t>
  </si>
  <si>
    <t>measTypeMD_BU</t>
  </si>
  <si>
    <t>typeMD_BU</t>
  </si>
  <si>
    <t>typeMD_HTU</t>
  </si>
  <si>
    <t>measTypeMD_CDU</t>
  </si>
  <si>
    <t>flowTypeMD_CDU</t>
  </si>
  <si>
    <t>BLND1.FD3</t>
  </si>
  <si>
    <t>BLND1.FD4</t>
  </si>
  <si>
    <t>measTypeGenMD_HTU</t>
  </si>
  <si>
    <t>REACTOR</t>
  </si>
  <si>
    <t>STRM.ID</t>
  </si>
  <si>
    <t>COMP ID</t>
  </si>
  <si>
    <t>R_01.FEED</t>
  </si>
  <si>
    <t>R_01.PROD</t>
  </si>
  <si>
    <t>measTypeMD_HTUT</t>
  </si>
  <si>
    <t>measTypeMD_HTUP</t>
  </si>
  <si>
    <t>measTypeMD_HTUSUL</t>
  </si>
  <si>
    <t>COMPRESSOR</t>
  </si>
  <si>
    <t>C1.FEED</t>
  </si>
  <si>
    <t>C1.PS</t>
  </si>
  <si>
    <t>C1.S</t>
  </si>
  <si>
    <t>Pa</t>
  </si>
  <si>
    <t>ON</t>
  </si>
  <si>
    <t>BULK FEED ID</t>
  </si>
  <si>
    <t>COMP FEED ID</t>
  </si>
  <si>
    <t>CLOSURE COMP</t>
  </si>
  <si>
    <t>IS BULK</t>
  </si>
  <si>
    <t>TWR1.FEED</t>
  </si>
  <si>
    <t>TWR1.BTM</t>
  </si>
  <si>
    <t>TWR1.TOP</t>
  </si>
  <si>
    <t>TOWER (Fixed Recovery)</t>
  </si>
  <si>
    <t>TFN1.FEED</t>
  </si>
  <si>
    <t>TFN1.TOP</t>
  </si>
  <si>
    <t>TFN1.BTM</t>
  </si>
  <si>
    <t>cpDeltaH</t>
  </si>
  <si>
    <t>MEAS.NAME</t>
  </si>
  <si>
    <t>VALUE</t>
  </si>
  <si>
    <t>TFN1.TOP.T</t>
  </si>
  <si>
    <t>TFN1.BTM.T</t>
  </si>
  <si>
    <t>TFN1.REFL.F</t>
  </si>
  <si>
    <t>TFN1.REFL.T</t>
  </si>
  <si>
    <t>Molecular Weight</t>
  </si>
  <si>
    <t>XMEAS5.NAME</t>
  </si>
  <si>
    <t>XMEAS5.COMPID</t>
  </si>
  <si>
    <t>XMEAS6.NAME</t>
  </si>
  <si>
    <t>XMEAS6.COMPID</t>
  </si>
  <si>
    <t>XMEAS7.NAME</t>
  </si>
  <si>
    <t>XMEAS7.COMPID</t>
  </si>
  <si>
    <t>XMEAS8.NAME</t>
  </si>
  <si>
    <t>XMEAS8.COMPID</t>
  </si>
  <si>
    <t>XMEAS9.NAME</t>
  </si>
  <si>
    <t>XMEAS9.COMPID</t>
  </si>
  <si>
    <t>XMEAS10.NAME</t>
  </si>
  <si>
    <t>XMEAS10.COMPID</t>
  </si>
  <si>
    <t>XMEAS11.NAME</t>
  </si>
  <si>
    <t>XMEAS11.COMPID</t>
  </si>
  <si>
    <t>XMEAS12.NAME</t>
  </si>
  <si>
    <t>XMEAS12.COMPID</t>
  </si>
  <si>
    <t>STRM ON</t>
  </si>
  <si>
    <t>M.PROD</t>
  </si>
  <si>
    <t>M.FD1</t>
  </si>
  <si>
    <t>SPLITTER</t>
  </si>
  <si>
    <t>FEED</t>
  </si>
  <si>
    <t>PROD1</t>
  </si>
  <si>
    <t>ABS. DUTY</t>
  </si>
  <si>
    <t>Template Version</t>
  </si>
  <si>
    <t>Major</t>
  </si>
  <si>
    <t>Minor</t>
  </si>
  <si>
    <t>Patch</t>
  </si>
  <si>
    <t>Build</t>
  </si>
  <si>
    <t>TOWER (Shortcut)</t>
  </si>
  <si>
    <t>INTERCEPT</t>
  </si>
  <si>
    <t>FD_CL_PAR3</t>
  </si>
  <si>
    <t>FD_FZ_PAR3</t>
  </si>
  <si>
    <t>FD_CL_PAR4</t>
  </si>
  <si>
    <t>FD_FZ_PAR4</t>
  </si>
  <si>
    <t>FD_SUL_PAR3</t>
  </si>
  <si>
    <t>FD_SUL_PAR4</t>
  </si>
  <si>
    <t>FD_PAR2</t>
  </si>
  <si>
    <t>T05</t>
  </si>
  <si>
    <t>DISTILLATION</t>
  </si>
  <si>
    <t>BLENDER</t>
  </si>
  <si>
    <t>HYDROTREATER</t>
  </si>
  <si>
    <t>Flash</t>
  </si>
  <si>
    <t>FLASH_2</t>
  </si>
  <si>
    <t>FLASH_1</t>
  </si>
  <si>
    <t>FD_FL_PAR3</t>
  </si>
  <si>
    <t>FD_FL_PAR4</t>
  </si>
  <si>
    <t>HVAP (NBP)</t>
  </si>
  <si>
    <t>RON</t>
  </si>
  <si>
    <t>MON</t>
  </si>
  <si>
    <t>ARO</t>
  </si>
  <si>
    <t>MW</t>
  </si>
  <si>
    <t>RVP</t>
  </si>
  <si>
    <t>NBP</t>
  </si>
  <si>
    <t>KW</t>
  </si>
  <si>
    <t>HL</t>
  </si>
  <si>
    <t>A1*10^3</t>
  </si>
  <si>
    <t>A2*10^6</t>
  </si>
  <si>
    <t>A3*10^9</t>
  </si>
  <si>
    <t>CPL (60F)</t>
  </si>
  <si>
    <t>HV</t>
  </si>
  <si>
    <t>CF</t>
  </si>
  <si>
    <t>CPV (60F)</t>
  </si>
  <si>
    <t>EVAP.T1</t>
  </si>
  <si>
    <t>EVAP.T2</t>
  </si>
  <si>
    <t>EVAP.T3</t>
  </si>
  <si>
    <t>HL (NPB)</t>
  </si>
  <si>
    <t>HV (NPB)</t>
  </si>
  <si>
    <t>WMEAS1.NAME</t>
  </si>
  <si>
    <t>WMEAS1.COMPID</t>
  </si>
  <si>
    <t>WMEAS2.NAME</t>
  </si>
  <si>
    <t>WMEAS2.COMPID</t>
  </si>
  <si>
    <t>WMEAS3.NAME</t>
  </si>
  <si>
    <t>WMEAS3.COMPID</t>
  </si>
  <si>
    <t>WMEAS4.NAME</t>
  </si>
  <si>
    <t>WMEAS4.COMPID</t>
  </si>
  <si>
    <t>WMEAS5.NAME</t>
  </si>
  <si>
    <t>WMEAS5.COMPID</t>
  </si>
  <si>
    <t>WMEAS6.NAME</t>
  </si>
  <si>
    <t>WMEAS6.COMPID</t>
  </si>
  <si>
    <t>WMEAS7.NAME</t>
  </si>
  <si>
    <t>WMEAS7.COMPID</t>
  </si>
  <si>
    <t>WMEAS8.NAME</t>
  </si>
  <si>
    <t>WMEAS8.COMPID</t>
  </si>
  <si>
    <t>WMEAS9.NAME</t>
  </si>
  <si>
    <t>WMEAS9.COMPID</t>
  </si>
  <si>
    <t>WMEAS10.NAME</t>
  </si>
  <si>
    <t>WMEAS10.COMPID</t>
  </si>
  <si>
    <t>WMEAS11.NAME</t>
  </si>
  <si>
    <t>WMEAS11.COMPID</t>
  </si>
  <si>
    <t>WMEAS12.NAME</t>
  </si>
  <si>
    <t>WMEAS12.COMPID</t>
  </si>
  <si>
    <t>OMEAS1.NAME</t>
  </si>
  <si>
    <t>OMEAS2.NAME</t>
  </si>
  <si>
    <t>OMEAS3.NAME</t>
  </si>
  <si>
    <t>OMEAS4.NAME</t>
  </si>
  <si>
    <t>OMEAS5.NAME</t>
  </si>
  <si>
    <t>OMEAS6.NAME</t>
  </si>
  <si>
    <t>OMEAS7.NAME</t>
  </si>
  <si>
    <t>OMEAS8.NAME</t>
  </si>
  <si>
    <t>OMEAS9.NAME</t>
  </si>
  <si>
    <t>OMEAS10.NAME</t>
  </si>
  <si>
    <t>OMEAS11.NAME</t>
  </si>
  <si>
    <t>OMEAS12.NAME</t>
  </si>
  <si>
    <t>OMEAS1.TYPE</t>
  </si>
  <si>
    <t>OMEAS2.TYPE</t>
  </si>
  <si>
    <t>OMEAS3.TYPE</t>
  </si>
  <si>
    <t>OMEAS4.TYPE</t>
  </si>
  <si>
    <t>OMEAS5.TYPE</t>
  </si>
  <si>
    <t>OMEAS6.TYPE</t>
  </si>
  <si>
    <t>OMEAS7.TYPE</t>
  </si>
  <si>
    <t>OMEAS8.TYPE</t>
  </si>
  <si>
    <t>OMEAS9.TYPE</t>
  </si>
  <si>
    <t>OMEAS10.TYPE</t>
  </si>
  <si>
    <t>OMEAS11.TYPE</t>
  </si>
  <si>
    <t>OMEAS12.TYPE</t>
  </si>
  <si>
    <t>EVAP_T1</t>
  </si>
  <si>
    <t>EVAP_T2</t>
  </si>
  <si>
    <t>EVAP_T3</t>
  </si>
  <si>
    <t>VTYPE</t>
  </si>
  <si>
    <t>BASE DELTA</t>
  </si>
  <si>
    <t>ETYPE</t>
  </si>
  <si>
    <t>Base Value</t>
  </si>
  <si>
    <t>FEED % EVAP</t>
  </si>
  <si>
    <t>TWR1.TOP.T</t>
  </si>
  <si>
    <t>TWR1.BTM.T</t>
  </si>
  <si>
    <t>TWR1.REFL.F</t>
  </si>
  <si>
    <t>TWR1.REFL.T</t>
  </si>
  <si>
    <t>TWR1.FEED.T</t>
  </si>
  <si>
    <t>TWR1.TOP.P</t>
  </si>
  <si>
    <t>TWR1.BTM.P</t>
  </si>
  <si>
    <t>TWR1.REB.Q</t>
  </si>
  <si>
    <t>lb/lbmol</t>
  </si>
  <si>
    <t>BTU/lb</t>
  </si>
  <si>
    <t>Weight %</t>
  </si>
  <si>
    <t>PSI</t>
  </si>
  <si>
    <t>DEGF</t>
  </si>
  <si>
    <t>BTU/lb/DEGF</t>
  </si>
  <si>
    <t>5.0</t>
  </si>
  <si>
    <t>CDU1</t>
  </si>
  <si>
    <t>CDU</t>
  </si>
  <si>
    <t>MD</t>
  </si>
  <si>
    <t>GDOT_DR</t>
  </si>
  <si>
    <t>INDEX</t>
  </si>
  <si>
    <t>TC_11.PV</t>
  </si>
  <si>
    <t>PI_11.PV</t>
  </si>
  <si>
    <t>FC_10.PV</t>
  </si>
  <si>
    <t>FC_11.PV</t>
  </si>
  <si>
    <t>FC_12.SP</t>
  </si>
  <si>
    <t>FC_13.SP</t>
  </si>
  <si>
    <t>CDU1.SC3</t>
  </si>
  <si>
    <t>FC_14.SP</t>
  </si>
  <si>
    <t>FI_15.PV</t>
  </si>
  <si>
    <t>AI_11_T95.PV</t>
  </si>
  <si>
    <t>AI_13_T95.PV</t>
  </si>
  <si>
    <t>AI_13_SG.PV</t>
  </si>
  <si>
    <t>AI_13_TCL.PV</t>
  </si>
  <si>
    <t>AI_13_TFL.PV</t>
  </si>
  <si>
    <t>AI_13_SUL.PV</t>
  </si>
  <si>
    <t>AI_13_CI.PV</t>
  </si>
  <si>
    <t>AI_14_T95.PV</t>
  </si>
  <si>
    <t>AI_14_SG.PV</t>
  </si>
  <si>
    <t>AI_14_TCL.PV</t>
  </si>
  <si>
    <t>AI_14_TFL.PV</t>
  </si>
  <si>
    <t>AI_14_SUL.PV</t>
  </si>
  <si>
    <t>AI_14_CI.PV</t>
  </si>
  <si>
    <t>AI_12_T95.PV</t>
  </si>
  <si>
    <t>AI_12_SG.PV</t>
  </si>
  <si>
    <t>AI_12_TCL.PV</t>
  </si>
  <si>
    <t>AI_12_TFL.PV</t>
  </si>
  <si>
    <t>AI_12_SUL.PV</t>
  </si>
  <si>
    <t>AI_12_TFZ.PV</t>
  </si>
  <si>
    <t>HFB.PROD</t>
  </si>
  <si>
    <t>HFB.FD1</t>
  </si>
  <si>
    <t>HFB.FD2</t>
  </si>
  <si>
    <t>HFB.FD3</t>
  </si>
  <si>
    <t>HFB</t>
  </si>
  <si>
    <t>BLD</t>
  </si>
  <si>
    <t>CDU1.RUNNING</t>
  </si>
  <si>
    <t>FC_40.SP</t>
  </si>
  <si>
    <t>AI_40_T95.PV</t>
  </si>
  <si>
    <t>AI_40_SG.PV</t>
  </si>
  <si>
    <t>AI_40_TCL.PV</t>
  </si>
  <si>
    <t>AI_40_TFL.PV</t>
  </si>
  <si>
    <t>AI_40_SUL.PV</t>
  </si>
  <si>
    <t>AI_40_CI.PV</t>
  </si>
  <si>
    <t>FC_31.SP</t>
  </si>
  <si>
    <t>FI_71.PV</t>
  </si>
  <si>
    <t>FI_71.BAL</t>
  </si>
  <si>
    <t>CDU1.FEED.MAP</t>
  </si>
  <si>
    <t>CDU1.OVH.MAP</t>
  </si>
  <si>
    <t>CDU1.SC1.MAP</t>
  </si>
  <si>
    <t>CDU1.SC2.MAP</t>
  </si>
  <si>
    <t>CDU1.SC3.MAP</t>
  </si>
  <si>
    <t>CDU1.RES.MAP</t>
  </si>
  <si>
    <t>CDU1.OVH.T95.BAL</t>
  </si>
  <si>
    <t>CDU1.FEED.FLOW</t>
  </si>
  <si>
    <t>CDU1.OVH.FLOW</t>
  </si>
  <si>
    <t>CDU1.SC1.FLOW</t>
  </si>
  <si>
    <t>CDU1.SC2.FLOW</t>
  </si>
  <si>
    <t>CDU1.SC3.FLOW</t>
  </si>
  <si>
    <t>CDU1.RES.FLOW</t>
  </si>
  <si>
    <t>CDU1.OVH.T95</t>
  </si>
  <si>
    <t>CDU1.SC1.SG</t>
  </si>
  <si>
    <t>CDU1.SC1.SUL</t>
  </si>
  <si>
    <t>CDU1.SC1.T95</t>
  </si>
  <si>
    <t>CDU1.SC1.TCL</t>
  </si>
  <si>
    <t>CDU1.SC1.TFL</t>
  </si>
  <si>
    <t>CDU1.SC1.TFZ</t>
  </si>
  <si>
    <t>CDU1.SC2.CI</t>
  </si>
  <si>
    <t>CDU1.SC2.SG</t>
  </si>
  <si>
    <t>CDU1.SC2.SUL</t>
  </si>
  <si>
    <t>CDU1.SC2.T95</t>
  </si>
  <si>
    <t>CDU1.SC2.TCL</t>
  </si>
  <si>
    <t>CDU1.SC2.TFL</t>
  </si>
  <si>
    <t>CDU1.SC3.CI</t>
  </si>
  <si>
    <t>CDU1.SC3.SG</t>
  </si>
  <si>
    <t>CDU1.SC3.SUL</t>
  </si>
  <si>
    <t>CDU1.SC3.T95</t>
  </si>
  <si>
    <t>CDU1.SC3.TCL</t>
  </si>
  <si>
    <t>CDU1.SC3.TFL</t>
  </si>
  <si>
    <t>CDU1.SC1.T95.BAL</t>
  </si>
  <si>
    <t>CDU1.SC2.T95.BAL</t>
  </si>
  <si>
    <t>CDU1.SC3.T95.BAL</t>
  </si>
  <si>
    <t>CDU1.SC1.MPT.BAL</t>
  </si>
  <si>
    <t>CDU1.SC2.MPT.BAL</t>
  </si>
  <si>
    <t>CDU1.SC3.MPT.BAL</t>
  </si>
  <si>
    <t>CDU1.SC1.EVAP1.BAL</t>
  </si>
  <si>
    <t>CDU1.SC1.EVAP2.BAL</t>
  </si>
  <si>
    <t>CDU1.SC2.EVAP1.BAL</t>
  </si>
  <si>
    <t>CDU1.SC2.EVAP2.BAL</t>
  </si>
  <si>
    <t>CDU1.SC2.EVAP3.BAL</t>
  </si>
  <si>
    <t>CDU1.SC3.EVAP1.BAL</t>
  </si>
  <si>
    <t>CDU1.SC3.EVAP2.BAL</t>
  </si>
  <si>
    <t>CDU1.SC3.EVAP3.BAL</t>
  </si>
  <si>
    <t>CDU1.SC1.SG.BAL</t>
  </si>
  <si>
    <t>CDU1.SC2.SG.BAL</t>
  </si>
  <si>
    <t>CDU1.SC3.SG.BAL</t>
  </si>
  <si>
    <t>CDU1.SC1.CI.BAL</t>
  </si>
  <si>
    <t>CDU1.SC2.CI.BAL</t>
  </si>
  <si>
    <t>CDU1.SC3.CI.BAL</t>
  </si>
  <si>
    <t>CDU1.SC1.TFL.BAL</t>
  </si>
  <si>
    <t>CDU1.SC2.TFL.BAL</t>
  </si>
  <si>
    <t>CDU1.SC3.TFL.BAL</t>
  </si>
  <si>
    <t>CDU1.SC1.SUL.BAL</t>
  </si>
  <si>
    <t>CDU1.SC2.SUL.BAL</t>
  </si>
  <si>
    <t>CDU1.SC3.SUL.BAL</t>
  </si>
  <si>
    <t>CDU1.SC2.VAR1.BAL</t>
  </si>
  <si>
    <t>CDU1.SC3.VAR1.BAL</t>
  </si>
  <si>
    <t>CDU1.SC1.TCL.BAL</t>
  </si>
  <si>
    <t>CDU1.SC2.TCL.BAL</t>
  </si>
  <si>
    <t>CDU1.SC3.TCL.BAL</t>
  </si>
  <si>
    <t>CDU1.SC1.TFZ.BAL</t>
  </si>
  <si>
    <t>CDU1.OVH.FLOW.BAL</t>
  </si>
  <si>
    <t>CDU1.RES.FLOW.BAL</t>
  </si>
  <si>
    <t>CDU1.FEED.PAR1</t>
  </si>
  <si>
    <t>CDU1.SC1.T951</t>
  </si>
  <si>
    <t>CDU1.SC1.T952</t>
  </si>
  <si>
    <t>CDU1.SC1.T953</t>
  </si>
  <si>
    <t>CDU1.SC2.T951</t>
  </si>
  <si>
    <t>CDU1.SC2.T952</t>
  </si>
  <si>
    <t>CDU1.SC2.T953</t>
  </si>
  <si>
    <t>CDU1.SC2.T954</t>
  </si>
  <si>
    <t>CDU1.SC3.T951</t>
  </si>
  <si>
    <t>CDU1.SC3.T952</t>
  </si>
  <si>
    <t>CDU1.SC3.T953</t>
  </si>
  <si>
    <t>CDU1.SC3.T954</t>
  </si>
  <si>
    <t>CDU1.SC1.EVAP1</t>
  </si>
  <si>
    <t>CDU1.SC1.EVAP2</t>
  </si>
  <si>
    <t>CDU1.SC2.EVAP1</t>
  </si>
  <si>
    <t>CDU1.SC2.EVAP2</t>
  </si>
  <si>
    <t>CDU1.SC2.EVAP3</t>
  </si>
  <si>
    <t>CDU1.SC3.EVAP1</t>
  </si>
  <si>
    <t>CDU1.SC3.EVAP2</t>
  </si>
  <si>
    <t>CDU1.SC3.EVAP3</t>
  </si>
  <si>
    <t>CDU1.FEED.PAR2</t>
  </si>
  <si>
    <t>CDU1.SC1.CI</t>
  </si>
  <si>
    <t>CDU1.FEED.TFL.PAR3</t>
  </si>
  <si>
    <t>CDU1.FEED.TFL.PAR4</t>
  </si>
  <si>
    <t>CDU1.SC1.TFL.PAR4</t>
  </si>
  <si>
    <t>CDU1.SC2.TFL.PAR4</t>
  </si>
  <si>
    <t>CDU1.SC3.TFL.PAR4</t>
  </si>
  <si>
    <t>CDU1.FEED.SUL.PAR3</t>
  </si>
  <si>
    <t>CDU1.FEED.SUL.PAR4</t>
  </si>
  <si>
    <t>CDU1.SC2.VAR1</t>
  </si>
  <si>
    <t>CDU1.SC3.VAR1</t>
  </si>
  <si>
    <t>CDU1.FEED.TCL.PAR3</t>
  </si>
  <si>
    <t>CDU1.FEED.TCL.PAR4</t>
  </si>
  <si>
    <t>CDU1.FEED.TFZ.PAR3</t>
  </si>
  <si>
    <t>CDU1.FEED.TFZ.PAR4</t>
  </si>
  <si>
    <t>HFB.PROD.FLOW.MAP</t>
  </si>
  <si>
    <t>HFB.FD1.FLOW.MAP</t>
  </si>
  <si>
    <t>HFB.FD2.FLOW.MAP</t>
  </si>
  <si>
    <t>HFB.FD3.FLOW.MAP</t>
  </si>
  <si>
    <t>HFB.PROD.FLOW</t>
  </si>
  <si>
    <t>HFB.FD1.FLOW</t>
  </si>
  <si>
    <t>HFB.FD2.FLOW</t>
  </si>
  <si>
    <t>HFB.FD3.FLOW</t>
  </si>
  <si>
    <t>HFB.PROD.CI</t>
  </si>
  <si>
    <t>HFB.PROD.SG</t>
  </si>
  <si>
    <t>HFB.PROD.SUL</t>
  </si>
  <si>
    <t>HFB.PROD.T95</t>
  </si>
  <si>
    <t>HFB.PROD.TCL</t>
  </si>
  <si>
    <t>HFB.PROD.TFL</t>
  </si>
  <si>
    <t>HFB.PROD.SG.BAL</t>
  </si>
  <si>
    <t>HFB.PROD.SUL.BAL</t>
  </si>
  <si>
    <t>HFB.PROD.VAR1.BAL</t>
  </si>
  <si>
    <t>HFB.PROD.EVAP1.BAL</t>
  </si>
  <si>
    <t>HFB.PROD.EVAP2.BAL</t>
  </si>
  <si>
    <t>HFB.PROD.EVAP3.BAL</t>
  </si>
  <si>
    <t>HFB.PROD.T95.BAL</t>
  </si>
  <si>
    <t>HFB.PROD.TCL.BAL</t>
  </si>
  <si>
    <t>HFB.PROD.TFL.BAL</t>
  </si>
  <si>
    <t>HFB.PROD.CI.BAL</t>
  </si>
  <si>
    <t>HFB.PROD.FLOW.BAL</t>
  </si>
  <si>
    <t>HFB.PROD.VAR1</t>
  </si>
  <si>
    <t>HFB.PROD.EVAP1</t>
  </si>
  <si>
    <t>HFB.PROD.EVAP2</t>
  </si>
  <si>
    <t>HFB.PROD.EVAP3</t>
  </si>
  <si>
    <t>TC_11.PVCDU1.OVH.T95.BAL</t>
  </si>
  <si>
    <t>F12</t>
  </si>
  <si>
    <t>PI_11.PVCDU1.OVH.T95.BAL</t>
  </si>
  <si>
    <t>G12</t>
  </si>
  <si>
    <t>FC_10.PVCDU1.FEED.MAP</t>
  </si>
  <si>
    <t>H6</t>
  </si>
  <si>
    <t>FC_11.PVCDU1.OVH.MAP</t>
  </si>
  <si>
    <t>I7</t>
  </si>
  <si>
    <t>FC_12.SPCDU1.SC1.MAP</t>
  </si>
  <si>
    <t>J8</t>
  </si>
  <si>
    <t>FC_13.SPCDU1.SC2.MAP</t>
  </si>
  <si>
    <t>K9</t>
  </si>
  <si>
    <t>FC_14.SPCDU1.SC3.MAP</t>
  </si>
  <si>
    <t>L10</t>
  </si>
  <si>
    <t>FI_15.PVCDU1.RES.MAP</t>
  </si>
  <si>
    <t>M11</t>
  </si>
  <si>
    <t>CDU1.FEED.FLOWCDU1.FEED.MAP</t>
  </si>
  <si>
    <t>N6</t>
  </si>
  <si>
    <t>CDU1.OVH.FLOWCDU1.OVH.MAP</t>
  </si>
  <si>
    <t>O7</t>
  </si>
  <si>
    <t>CDU1.SC1.FLOWCDU1.SC1.MAP</t>
  </si>
  <si>
    <t>P8</t>
  </si>
  <si>
    <t>CDU1.SC2.FLOWCDU1.SC2.MAP</t>
  </si>
  <si>
    <t>Q9</t>
  </si>
  <si>
    <t>CDU1.SC3.FLOWCDU1.SC3.MAP</t>
  </si>
  <si>
    <t>R10</t>
  </si>
  <si>
    <t>CDU1.RES.FLOWCDU1.RES.MAP</t>
  </si>
  <si>
    <t>S11</t>
  </si>
  <si>
    <t>CDU1.OVH.T95CDU1.OVH.T95.BAL</t>
  </si>
  <si>
    <t>T12</t>
  </si>
  <si>
    <t>CDU1.OVH.T95AI_11_T95.PV</t>
  </si>
  <si>
    <t>T13</t>
  </si>
  <si>
    <t>CDU1.SC1.SGAI_12_SG.PV</t>
  </si>
  <si>
    <t>U14</t>
  </si>
  <si>
    <t>CDU1.SC1.SULAI_12_SUL.PV</t>
  </si>
  <si>
    <t>V15</t>
  </si>
  <si>
    <t>CDU1.SC1.T95AI_12_T95.PV</t>
  </si>
  <si>
    <t>W16</t>
  </si>
  <si>
    <t>CDU1.SC1.TCLAI_12_TCL.PV</t>
  </si>
  <si>
    <t>X17</t>
  </si>
  <si>
    <t>CDU1.SC1.TFLAI_12_TFL.PV</t>
  </si>
  <si>
    <t>Y19</t>
  </si>
  <si>
    <t>CDU1.SC1.TFZAI_12_TFZ.PV</t>
  </si>
  <si>
    <t>Z18</t>
  </si>
  <si>
    <t>CDU1.SC2.CIAI_13_CI.PV</t>
  </si>
  <si>
    <t>AA20</t>
  </si>
  <si>
    <t>CDU1.SC2.SGAI_13_SG.PV</t>
  </si>
  <si>
    <t>AB21</t>
  </si>
  <si>
    <t>CDU1.SC2.SULAI_13_SUL.PV</t>
  </si>
  <si>
    <t>AC22</t>
  </si>
  <si>
    <t>CDU1.SC2.T95AI_13_T95.PV</t>
  </si>
  <si>
    <t>AD23</t>
  </si>
  <si>
    <t>CDU1.SC2.TCLAI_13_TCL.PV</t>
  </si>
  <si>
    <t>AE24</t>
  </si>
  <si>
    <t>CDU1.SC2.TFLAI_13_TFL.PV</t>
  </si>
  <si>
    <t>AF25</t>
  </si>
  <si>
    <t>CDU1.SC3.CIAI_14_CI.PV</t>
  </si>
  <si>
    <t>AG26</t>
  </si>
  <si>
    <t>CDU1.SC3.SGAI_14_SG.PV</t>
  </si>
  <si>
    <t>AH27</t>
  </si>
  <si>
    <t>CDU1.SC3.SULAI_14_SUL.PV</t>
  </si>
  <si>
    <t>AI28</t>
  </si>
  <si>
    <t>CDU1.SC3.T95AI_14_T95.PV</t>
  </si>
  <si>
    <t>AJ29</t>
  </si>
  <si>
    <t>CDU1.SC3.TCLAI_14_TCL.PV</t>
  </si>
  <si>
    <t>AK30</t>
  </si>
  <si>
    <t>CDU1.SC3.TFLAI_14_TFL.PV</t>
  </si>
  <si>
    <t>AL31</t>
  </si>
  <si>
    <t>CDU1.FEED.FLOWCDU1.SC1.T95.BAL</t>
  </si>
  <si>
    <t>N32</t>
  </si>
  <si>
    <t>CDU1.FEED.FLOWCDU1.SC2.T95.BAL</t>
  </si>
  <si>
    <t>N33</t>
  </si>
  <si>
    <t>CDU1.FEED.FLOWCDU1.SC3.T95.BAL</t>
  </si>
  <si>
    <t>N34</t>
  </si>
  <si>
    <t>CDU1.FEED.FLOWCDU1.OVH.FLOW.BAL</t>
  </si>
  <si>
    <t>CDU1.FEED.FLOWCDU1.RES.FLOW.BAL</t>
  </si>
  <si>
    <t>CDU1.FEED.PAR1CDU1.SC1.T95.BAL</t>
  </si>
  <si>
    <t>AM32</t>
  </si>
  <si>
    <t>CDU1.FEED.PAR1CDU1.SC2.T95.BAL</t>
  </si>
  <si>
    <t>AM33</t>
  </si>
  <si>
    <t>CDU1.FEED.PAR1CDU1.SC3.T95.BAL</t>
  </si>
  <si>
    <t>AM34</t>
  </si>
  <si>
    <t>CDU1.SC1.FLOWCDU1.SC1.T95.BAL</t>
  </si>
  <si>
    <t>P32</t>
  </si>
  <si>
    <t>CDU1.SC1.FLOWCDU1.RES.FLOW.BAL</t>
  </si>
  <si>
    <t>CDU1.SC1.T95CDU1.SC1.T95.BAL</t>
  </si>
  <si>
    <t>W32</t>
  </si>
  <si>
    <t>CDU1.SC1.T95CDU1.SC2.T95.BAL</t>
  </si>
  <si>
    <t>W33</t>
  </si>
  <si>
    <t>CDU1.SC1.T95CDU1.SC1.MPT.BAL</t>
  </si>
  <si>
    <t>W35</t>
  </si>
  <si>
    <t>CDU1.SC1.T95CDU1.SC2.EVAP1.BAL</t>
  </si>
  <si>
    <t>W40</t>
  </si>
  <si>
    <t>CDU1.SC1.T95CDU1.SC2.EVAP2.BAL</t>
  </si>
  <si>
    <t>W41</t>
  </si>
  <si>
    <t>CDU1.SC1.T95CDU1.SC2.EVAP3.BAL</t>
  </si>
  <si>
    <t>W42</t>
  </si>
  <si>
    <t>CDU1.SC1.T95CDU1.SC1.SG.BAL</t>
  </si>
  <si>
    <t>CDU1.SC1.T95CDU1.SC2.SG.BAL</t>
  </si>
  <si>
    <t>CDU1.SC1.T95CDU1.SC1.CI.BAL</t>
  </si>
  <si>
    <t>W49</t>
  </si>
  <si>
    <t>CDU1.SC1.T95CDU1.SC2.CI.BAL</t>
  </si>
  <si>
    <t>CDU1.SC1.T95CDU1.SC1.TFL.BAL</t>
  </si>
  <si>
    <t>W52</t>
  </si>
  <si>
    <t>CDU1.SC1.T95CDU1.SC2.TFL.BAL</t>
  </si>
  <si>
    <t>CDU1.SC1.T95CDU1.SC1.SUL.BAL</t>
  </si>
  <si>
    <t>W55</t>
  </si>
  <si>
    <t>CDU1.SC1.T95CDU1.SC2.SUL.BAL</t>
  </si>
  <si>
    <t>CDU1.SC1.T95CDU1.SC1.TCL.BAL</t>
  </si>
  <si>
    <t>CDU1.SC1.T95CDU1.SC2.TCL.BAL</t>
  </si>
  <si>
    <t>CDU1.SC1.T95CDU1.SC1.TFZ.BAL</t>
  </si>
  <si>
    <t>W63</t>
  </si>
  <si>
    <t>CDU1.OVH.T95CDU1.SC1.T95.BAL</t>
  </si>
  <si>
    <t>T32</t>
  </si>
  <si>
    <t>CDU1.OVH.T95CDU1.SC1.EVAP1.BAL</t>
  </si>
  <si>
    <t>T38</t>
  </si>
  <si>
    <t>CDU1.OVH.T95CDU1.SC1.EVAP2.BAL</t>
  </si>
  <si>
    <t>T39</t>
  </si>
  <si>
    <t>CDU1.OVH.T95CDU1.SC1.SG.BAL</t>
  </si>
  <si>
    <t>CDU1.OVH.T95CDU1.SC1.CI.BAL</t>
  </si>
  <si>
    <t>CDU1.OVH.T95CDU1.SC1.TFL.BAL</t>
  </si>
  <si>
    <t>CDU1.OVH.T95CDU1.SC1.SUL.BAL</t>
  </si>
  <si>
    <t>CDU1.OVH.T95CDU1.SC1.TCL.BAL</t>
  </si>
  <si>
    <t>CDU1.OVH.T95CDU1.SC1.TFZ.BAL</t>
  </si>
  <si>
    <t>CDU1.OVH.T95CDU1.OVH.FLOW.BAL</t>
  </si>
  <si>
    <t>CDU1.SC2.FLOWCDU1.SC2.T95.BAL</t>
  </si>
  <si>
    <t>Q33</t>
  </si>
  <si>
    <t>CDU1.SC2.FLOWCDU1.RES.FLOW.BAL</t>
  </si>
  <si>
    <t>CDU1.SC2.T95CDU1.SC2.T95.BAL</t>
  </si>
  <si>
    <t>AD33</t>
  </si>
  <si>
    <t>CDU1.SC2.T95CDU1.SC3.T95.BAL</t>
  </si>
  <si>
    <t>AD34</t>
  </si>
  <si>
    <t>CDU1.SC2.T95CDU1.SC2.MPT.BAL</t>
  </si>
  <si>
    <t>AD36</t>
  </si>
  <si>
    <t>CDU1.SC2.T95CDU1.SC3.EVAP1.BAL</t>
  </si>
  <si>
    <t>CDU1.SC2.T95CDU1.SC3.EVAP2.BAL</t>
  </si>
  <si>
    <t>AD44</t>
  </si>
  <si>
    <t>CDU1.SC2.T95CDU1.SC3.EVAP3.BAL</t>
  </si>
  <si>
    <t>AD45</t>
  </si>
  <si>
    <t>CDU1.SC2.T95CDU1.SC2.SG.BAL</t>
  </si>
  <si>
    <t>AD47</t>
  </si>
  <si>
    <t>CDU1.SC2.T95CDU1.SC3.SG.BAL</t>
  </si>
  <si>
    <t>CDU1.SC2.T95CDU1.SC2.CI.BAL</t>
  </si>
  <si>
    <t>AD50</t>
  </si>
  <si>
    <t>CDU1.SC2.T95CDU1.SC3.CI.BAL</t>
  </si>
  <si>
    <t>CDU1.SC2.T95CDU1.SC2.TFL.BAL</t>
  </si>
  <si>
    <t>AD53</t>
  </si>
  <si>
    <t>CDU1.SC2.T95CDU1.SC3.TFL.BAL</t>
  </si>
  <si>
    <t>CDU1.SC2.T95CDU1.SC2.SUL.BAL</t>
  </si>
  <si>
    <t>AD56</t>
  </si>
  <si>
    <t>CDU1.SC2.T95CDU1.SC3.SUL.BAL</t>
  </si>
  <si>
    <t>CDU1.SC2.T95CDU1.SC2.TCL.BAL</t>
  </si>
  <si>
    <t>CDU1.SC2.T95CDU1.SC3.TCL.BAL</t>
  </si>
  <si>
    <t>CDU1.SC3.FLOWCDU1.SC3.T95.BAL</t>
  </si>
  <si>
    <t>R34</t>
  </si>
  <si>
    <t>CDU1.SC3.FLOWCDU1.RES.FLOW.BAL</t>
  </si>
  <si>
    <t>CDU1.SC3.T95CDU1.SC3.T95.BAL</t>
  </si>
  <si>
    <t>AJ34</t>
  </si>
  <si>
    <t>CDU1.SC3.T95CDU1.SC3.MPT.BAL</t>
  </si>
  <si>
    <t>AJ37</t>
  </si>
  <si>
    <t>CDU1.SC3.T95CDU1.SC3.SG.BAL</t>
  </si>
  <si>
    <t>CDU1.SC3.T95CDU1.SC3.CI.BAL</t>
  </si>
  <si>
    <t>CDU1.SC3.T95CDU1.SC3.TFL.BAL</t>
  </si>
  <si>
    <t>CDU1.SC3.T95CDU1.SC3.SUL.BAL</t>
  </si>
  <si>
    <t>CDU1.SC3.T95CDU1.SC3.TCL.BAL</t>
  </si>
  <si>
    <t>CDU1.SC1.T951CDU1.SC1.MPT.BAL</t>
  </si>
  <si>
    <t>AN35</t>
  </si>
  <si>
    <t>CDU1.SC1.T952CDU1.SC1.MPT.BAL</t>
  </si>
  <si>
    <t>AO35</t>
  </si>
  <si>
    <t>CDU1.SC1.T952CDU1.SC1.EVAP1.BAL</t>
  </si>
  <si>
    <t>AO38</t>
  </si>
  <si>
    <t>CDU1.SC1.T953CDU1.SC1.MPT.BAL</t>
  </si>
  <si>
    <t>AP35</t>
  </si>
  <si>
    <t>CDU1.SC1.T953CDU1.SC1.EVAP1.BAL</t>
  </si>
  <si>
    <t>AP38</t>
  </si>
  <si>
    <t>CDU1.SC1.T953CDU1.SC1.EVAP2.BAL</t>
  </si>
  <si>
    <t>AP39</t>
  </si>
  <si>
    <t>CDU1.SC2.T951CDU1.SC2.MPT.BAL</t>
  </si>
  <si>
    <t>AQ36</t>
  </si>
  <si>
    <t>CDU1.SC2.T952CDU1.SC2.MPT.BAL</t>
  </si>
  <si>
    <t>AR36</t>
  </si>
  <si>
    <t>CDU1.SC2.T952CDU1.SC2.EVAP1.BAL</t>
  </si>
  <si>
    <t>AR40</t>
  </si>
  <si>
    <t>CDU1.SC2.T953CDU1.SC2.MPT.BAL</t>
  </si>
  <si>
    <t>AS36</t>
  </si>
  <si>
    <t>CDU1.SC2.T953CDU1.SC2.EVAP1.BAL</t>
  </si>
  <si>
    <t>AS40</t>
  </si>
  <si>
    <t>CDU1.SC2.T953CDU1.SC2.EVAP2.BAL</t>
  </si>
  <si>
    <t>AS41</t>
  </si>
  <si>
    <t>CDU1.SC2.T954CDU1.SC2.MPT.BAL</t>
  </si>
  <si>
    <t>AT36</t>
  </si>
  <si>
    <t>CDU1.SC2.T954CDU1.SC2.EVAP1.BAL</t>
  </si>
  <si>
    <t>AT40</t>
  </si>
  <si>
    <t>CDU1.SC2.T954CDU1.SC2.EVAP2.BAL</t>
  </si>
  <si>
    <t>AT41</t>
  </si>
  <si>
    <t>CDU1.SC2.T954CDU1.SC2.EVAP3.BAL</t>
  </si>
  <si>
    <t>AT42</t>
  </si>
  <si>
    <t>CDU1.SC3.T951CDU1.SC3.MPT.BAL</t>
  </si>
  <si>
    <t>CDU1.SC3.T952CDU1.SC3.MPT.BAL</t>
  </si>
  <si>
    <t>AV37</t>
  </si>
  <si>
    <t>CDU1.SC3.T952CDU1.SC3.EVAP1.BAL</t>
  </si>
  <si>
    <t>CDU1.SC3.T953CDU1.SC3.MPT.BAL</t>
  </si>
  <si>
    <t>AW37</t>
  </si>
  <si>
    <t>CDU1.SC3.T953CDU1.SC3.EVAP1.BAL</t>
  </si>
  <si>
    <t>CDU1.SC3.T953CDU1.SC3.EVAP2.BAL</t>
  </si>
  <si>
    <t>AW44</t>
  </si>
  <si>
    <t>CDU1.SC3.T954CDU1.SC3.MPT.BAL</t>
  </si>
  <si>
    <t>AX37</t>
  </si>
  <si>
    <t>CDU1.SC3.T954CDU1.SC3.EVAP1.BAL</t>
  </si>
  <si>
    <t>CDU1.SC3.T954CDU1.SC3.EVAP2.BAL</t>
  </si>
  <si>
    <t>AX44</t>
  </si>
  <si>
    <t>CDU1.SC3.T954CDU1.SC3.EVAP3.BAL</t>
  </si>
  <si>
    <t>AX45</t>
  </si>
  <si>
    <t>CDU1.SC1.EVAP1CDU1.SC1.EVAP1.BAL</t>
  </si>
  <si>
    <t>CDU1.SC1.EVAP2CDU1.SC1.EVAP2.BAL</t>
  </si>
  <si>
    <t>CDU1.SC2.EVAP1CDU1.SC2.EVAP1.BAL</t>
  </si>
  <si>
    <t>CDU1.SC2.EVAP1CDU1.SC2.VAR1.BAL</t>
  </si>
  <si>
    <t>CDU1.SC2.EVAP2CDU1.SC2.EVAP2.BAL</t>
  </si>
  <si>
    <t>CDU1.SC2.EVAP3CDU1.SC2.EVAP3.BAL</t>
  </si>
  <si>
    <t>CDU1.SC3.EVAP1CDU1.SC3.EVAP1.BAL</t>
  </si>
  <si>
    <t>CDU1.SC3.EVAP1CDU1.SC3.VAR1.BAL</t>
  </si>
  <si>
    <t>CDU1.SC3.EVAP2CDU1.SC3.EVAP2.BAL</t>
  </si>
  <si>
    <t>CDU1.SC3.EVAP3CDU1.SC3.EVAP3.BAL</t>
  </si>
  <si>
    <t>CDU1.FEED.PAR2CDU1.SC1.SG.BAL</t>
  </si>
  <si>
    <t>CDU1.FEED.PAR2CDU1.SC2.SG.BAL</t>
  </si>
  <si>
    <t>CDU1.FEED.PAR2CDU1.SC3.SG.BAL</t>
  </si>
  <si>
    <t>CDU1.FEED.PAR2CDU1.SC1.CI.BAL</t>
  </si>
  <si>
    <t>CDU1.FEED.PAR2CDU1.SC2.CI.BAL</t>
  </si>
  <si>
    <t>CDU1.FEED.PAR2CDU1.SC3.CI.BAL</t>
  </si>
  <si>
    <t>CDU1.SC1.SGCDU1.SC1.SG.BAL</t>
  </si>
  <si>
    <t>CDU1.SC2.SGCDU1.SC2.SG.BAL</t>
  </si>
  <si>
    <t>CDU1.SC3.SGCDU1.SC3.SG.BAL</t>
  </si>
  <si>
    <t>CDU1.SC1.CICDU1.SC1.CI.BAL</t>
  </si>
  <si>
    <t>CDU1.SC2.CICDU1.SC2.CI.BAL</t>
  </si>
  <si>
    <t>CDU1.SC3.CICDU1.SC3.CI.BAL</t>
  </si>
  <si>
    <t>CDU1.FEED.TFL.PAR3CDU1.SC1.TFL.BAL</t>
  </si>
  <si>
    <t>CDU1.FEED.TFL.PAR3CDU1.SC2.TFL.BAL</t>
  </si>
  <si>
    <t>CDU1.FEED.TFL.PAR3CDU1.SC3.TFL.BAL</t>
  </si>
  <si>
    <t>CDU1.FEED.TFL.PAR4CDU1.SC1.TFL.BAL</t>
  </si>
  <si>
    <t>CDU1.FEED.TFL.PAR4CDU1.SC2.TFL.BAL</t>
  </si>
  <si>
    <t>CDU1.FEED.TFL.PAR4CDU1.SC3.TFL.BAL</t>
  </si>
  <si>
    <t>CDU1.SC1.TFLCDU1.SC1.TFL.BAL</t>
  </si>
  <si>
    <t>CDU1.SC1.TFL.PAR4CDU1.SC1.TFL.BAL</t>
  </si>
  <si>
    <t>BK52</t>
  </si>
  <si>
    <t>CDU1.SC2.TFLCDU1.SC2.TFL.BAL</t>
  </si>
  <si>
    <t>CDU1.SC2.TFL.PAR4CDU1.SC2.TFL.BAL</t>
  </si>
  <si>
    <t>CDU1.SC3.TFLCDU1.SC3.TFL.BAL</t>
  </si>
  <si>
    <t>CDU1.SC3.TFL.PAR4CDU1.SC3.TFL.BAL</t>
  </si>
  <si>
    <t>BM54</t>
  </si>
  <si>
    <t>CDU1.FEED.SUL.PAR3CDU1.SC1.SUL.BAL</t>
  </si>
  <si>
    <t>BN55</t>
  </si>
  <si>
    <t>CDU1.FEED.SUL.PAR3CDU1.SC2.SUL.BAL</t>
  </si>
  <si>
    <t>BN56</t>
  </si>
  <si>
    <t>CDU1.FEED.SUL.PAR3CDU1.SC3.SUL.BAL</t>
  </si>
  <si>
    <t>CDU1.FEED.SUL.PAR4CDU1.SC1.SUL.BAL</t>
  </si>
  <si>
    <t>CDU1.FEED.SUL.PAR4CDU1.SC2.SUL.BAL</t>
  </si>
  <si>
    <t>CDU1.FEED.SUL.PAR4CDU1.SC3.SUL.BAL</t>
  </si>
  <si>
    <t>CDU1.SC1.SULCDU1.SC1.SUL.BAL</t>
  </si>
  <si>
    <t>CDU1.SC2.SULCDU1.SC2.SUL.BAL</t>
  </si>
  <si>
    <t>CDU1.SC2.SULCDU1.SC2.VAR1.BAL</t>
  </si>
  <si>
    <t>AC58</t>
  </si>
  <si>
    <t>CDU1.SC3.SULCDU1.SC3.SUL.BAL</t>
  </si>
  <si>
    <t>CDU1.SC3.SULCDU1.SC3.VAR1.BAL</t>
  </si>
  <si>
    <t>AI59</t>
  </si>
  <si>
    <t>CDU1.SC2.VAR1CDU1.SC2.VAR1.BAL</t>
  </si>
  <si>
    <t>CDU1.SC3.VAR1CDU1.SC3.VAR1.BAL</t>
  </si>
  <si>
    <t>CDU1.FEED.TCL.PAR3CDU1.SC1.TCL.BAL</t>
  </si>
  <si>
    <t>CDU1.FEED.TCL.PAR3CDU1.SC2.TCL.BAL</t>
  </si>
  <si>
    <t>CDU1.FEED.TCL.PAR3CDU1.SC3.TCL.BAL</t>
  </si>
  <si>
    <t>CDU1.FEED.TCL.PAR4CDU1.SC1.TCL.BAL</t>
  </si>
  <si>
    <t>CDU1.FEED.TCL.PAR4CDU1.SC2.TCL.BAL</t>
  </si>
  <si>
    <t>CDU1.FEED.TCL.PAR4CDU1.SC3.TCL.BAL</t>
  </si>
  <si>
    <t>CDU1.SC1.TCLCDU1.SC1.TCL.BAL</t>
  </si>
  <si>
    <t>CDU1.SC2.TCLCDU1.SC2.TCL.BAL</t>
  </si>
  <si>
    <t>CDU1.SC3.TCLCDU1.SC3.TCL.BAL</t>
  </si>
  <si>
    <t>CDU1.FEED.TFZ.PAR3CDU1.SC1.TFZ.BAL</t>
  </si>
  <si>
    <t>CDU1.FEED.TFZ.PAR4CDU1.SC1.TFZ.BAL</t>
  </si>
  <si>
    <t>CDU1.SC1.TFZCDU1.SC1.TFZ.BAL</t>
  </si>
  <si>
    <t>CDU1.OVH.FLOWCDU1.OVH.FLOW.BAL</t>
  </si>
  <si>
    <t>CDU1.OVH.FLOWCDU1.RES.FLOW.BAL</t>
  </si>
  <si>
    <t>CDU1.RES.FLOWCDU1.RES.FLOW.BAL</t>
  </si>
  <si>
    <t>FC_12.SPFI_71.BAL</t>
  </si>
  <si>
    <t>FC_31.SPFI_71.BAL</t>
  </si>
  <si>
    <t>FI_71.PVFI_71.BAL</t>
  </si>
  <si>
    <t>HFB.PROD.FLOWHFB.PROD.FLOW.MAP</t>
  </si>
  <si>
    <t>HFB.FD1.FLOWHFB.FD1.FLOW.MAP</t>
  </si>
  <si>
    <t>HFB.FD2.FLOWHFB.FD2.FLOW.MAP</t>
  </si>
  <si>
    <t>HFB.FD3.FLOWHFB.FD3.FLOW.MAP</t>
  </si>
  <si>
    <t>FC_40.SPHFB.PROD.FLOW.MAP</t>
  </si>
  <si>
    <t>FC_31.SPHFB.FD1.FLOW.MAP</t>
  </si>
  <si>
    <t>FC_13.SPHFB.FD2.FLOW.MAP</t>
  </si>
  <si>
    <t>FC_14.SPHFB.FD3.FLOW.MAP</t>
  </si>
  <si>
    <t>HFB.PROD.CIAI_40_CI.PV</t>
  </si>
  <si>
    <t>HFB.PROD.SGAI_40_SG.PV</t>
  </si>
  <si>
    <t>HFB.PROD.SULAI_40_SUL.PV</t>
  </si>
  <si>
    <t>HFB.PROD.T95AI_40_T95.PV</t>
  </si>
  <si>
    <t>HFB.PROD.TCLAI_40_TCL.PV</t>
  </si>
  <si>
    <t>HFB.PROD.TFLAI_40_TFL.PV</t>
  </si>
  <si>
    <t>CDU1.RUNNINGHFB.FD1.FLOW.MAP</t>
  </si>
  <si>
    <t>CDU1.RUNNINGHFB.FD2.FLOW.MAP</t>
  </si>
  <si>
    <t>CDU1.RUNNINGHFB.FD3.FLOW.MAP</t>
  </si>
  <si>
    <t>CDU1.SC1.SGHFB.PROD.SG.BAL</t>
  </si>
  <si>
    <t>CDU1.SC1.SGHFB.PROD.SUL.BAL</t>
  </si>
  <si>
    <t>CDU1.SC2.SGHFB.PROD.SG.BAL</t>
  </si>
  <si>
    <t>CDU1.SC2.SGHFB.PROD.SUL.BAL</t>
  </si>
  <si>
    <t>CDU1.SC2.SGHFB.PROD.VAR1.BAL</t>
  </si>
  <si>
    <t>CDU1.SC3.SGHFB.PROD.SG.BAL</t>
  </si>
  <si>
    <t>CDU1.SC3.SGHFB.PROD.SUL.BAL</t>
  </si>
  <si>
    <t>CDU1.SC3.SGHFB.PROD.VAR1.BAL</t>
  </si>
  <si>
    <t>HFB.PROD.FLOWHFB.PROD.SG.BAL</t>
  </si>
  <si>
    <t>HFB.PROD.FLOWHFB.PROD.SUL.BAL</t>
  </si>
  <si>
    <t>HFB.PROD.FLOWHFB.PROD.VAR1.BAL</t>
  </si>
  <si>
    <t>HFB.PROD.FLOWHFB.PROD.EVAP1.BAL</t>
  </si>
  <si>
    <t>HFB.PROD.FLOWHFB.PROD.EVAP2.BAL</t>
  </si>
  <si>
    <t>HFB.PROD.FLOWHFB.PROD.EVAP3.BAL</t>
  </si>
  <si>
    <t>HFB.PROD.FLOWHFB.PROD.TCL.BAL</t>
  </si>
  <si>
    <t>HFB.PROD.FLOWHFB.PROD.TFL.BAL</t>
  </si>
  <si>
    <t>HFB.PROD.FLOWHFB.PROD.CI.BAL</t>
  </si>
  <si>
    <t>HFB.PROD.FLOWHFB.PROD.FLOW.BAL</t>
  </si>
  <si>
    <t>HFB.FD1.FLOWHFB.PROD.SG.BAL</t>
  </si>
  <si>
    <t>HFB.FD1.FLOWHFB.PROD.SUL.BAL</t>
  </si>
  <si>
    <t>HFB.FD1.FLOWHFB.PROD.EVAP1.BAL</t>
  </si>
  <si>
    <t>HFB.FD1.FLOWHFB.PROD.EVAP2.BAL</t>
  </si>
  <si>
    <t>HFB.FD1.FLOWHFB.PROD.EVAP3.BAL</t>
  </si>
  <si>
    <t>HFB.FD1.FLOWHFB.PROD.TCL.BAL</t>
  </si>
  <si>
    <t>HFB.FD1.FLOWHFB.PROD.TFL.BAL</t>
  </si>
  <si>
    <t>HFB.FD1.FLOWHFB.PROD.CI.BAL</t>
  </si>
  <si>
    <t>HFB.FD1.FLOWHFB.PROD.FLOW.BAL</t>
  </si>
  <si>
    <t>HFB.FD2.FLOWHFB.PROD.SG.BAL</t>
  </si>
  <si>
    <t>HFB.FD2.FLOWHFB.PROD.SUL.BAL</t>
  </si>
  <si>
    <t>HFB.FD2.FLOWHFB.PROD.VAR1.BAL</t>
  </si>
  <si>
    <t>HFB.FD2.FLOWHFB.PROD.EVAP1.BAL</t>
  </si>
  <si>
    <t>HFB.FD2.FLOWHFB.PROD.EVAP2.BAL</t>
  </si>
  <si>
    <t>HFB.FD2.FLOWHFB.PROD.EVAP3.BAL</t>
  </si>
  <si>
    <t>HFB.FD2.FLOWHFB.PROD.TCL.BAL</t>
  </si>
  <si>
    <t>HFB.FD2.FLOWHFB.PROD.TFL.BAL</t>
  </si>
  <si>
    <t>HFB.FD2.FLOWHFB.PROD.CI.BAL</t>
  </si>
  <si>
    <t>HFB.FD2.FLOWHFB.PROD.FLOW.BAL</t>
  </si>
  <si>
    <t>HFB.FD3.FLOWHFB.PROD.SG.BAL</t>
  </si>
  <si>
    <t>HFB.FD3.FLOWHFB.PROD.SUL.BAL</t>
  </si>
  <si>
    <t>HFB.FD3.FLOWHFB.PROD.VAR1.BAL</t>
  </si>
  <si>
    <t>HFB.FD3.FLOWHFB.PROD.EVAP1.BAL</t>
  </si>
  <si>
    <t>HFB.FD3.FLOWHFB.PROD.EVAP2.BAL</t>
  </si>
  <si>
    <t>HFB.FD3.FLOWHFB.PROD.EVAP3.BAL</t>
  </si>
  <si>
    <t>HFB.FD3.FLOWHFB.PROD.TCL.BAL</t>
  </si>
  <si>
    <t>HFB.FD3.FLOWHFB.PROD.TFL.BAL</t>
  </si>
  <si>
    <t>HFB.FD3.FLOWHFB.PROD.CI.BAL</t>
  </si>
  <si>
    <t>HFB.FD3.FLOWHFB.PROD.FLOW.BAL</t>
  </si>
  <si>
    <t>HFB.PROD.SGHFB.PROD.SG.BAL</t>
  </si>
  <si>
    <t>HFB.PROD.SGHFB.PROD.SUL.BAL</t>
  </si>
  <si>
    <t>HFB.PROD.SGHFB.PROD.VAR1.BAL</t>
  </si>
  <si>
    <t>CDU1.SC1.SULHFB.PROD.SUL.BAL</t>
  </si>
  <si>
    <t>CDU1.SC2.SULHFB.PROD.SUL.BAL</t>
  </si>
  <si>
    <t>CDU1.SC3.SULHFB.PROD.SUL.BAL</t>
  </si>
  <si>
    <t>HFB.PROD.SULHFB.PROD.SUL.BAL</t>
  </si>
  <si>
    <t>CDU1.SC2.VAR1HFB.PROD.VAR1.BAL</t>
  </si>
  <si>
    <t>CDU1.SC3.VAR1HFB.PROD.VAR1.BAL</t>
  </si>
  <si>
    <t>HFB.PROD.VAR1HFB.PROD.VAR1.BAL</t>
  </si>
  <si>
    <t>CDU1.SC2.EVAP1HFB.PROD.EVAP1.BAL</t>
  </si>
  <si>
    <t>CDU1.SC2.EVAP2HFB.PROD.EVAP2.BAL</t>
  </si>
  <si>
    <t>CDU1.SC2.EVAP3HFB.PROD.EVAP3.BAL</t>
  </si>
  <si>
    <t>CDU1.SC3.EVAP1HFB.PROD.EVAP1.BAL</t>
  </si>
  <si>
    <t>CDU1.SC3.EVAP2HFB.PROD.EVAP2.BAL</t>
  </si>
  <si>
    <t>CDU1.SC3.EVAP3HFB.PROD.EVAP3.BAL</t>
  </si>
  <si>
    <t>HFB.PROD.EVAP1HFB.PROD.EVAP1.BAL</t>
  </si>
  <si>
    <t>HFB.PROD.EVAP1HFB.PROD.T95.BAL</t>
  </si>
  <si>
    <t>HFB.PROD.EVAP2HFB.PROD.EVAP2.BAL</t>
  </si>
  <si>
    <t>HFB.PROD.EVAP2HFB.PROD.T95.BAL</t>
  </si>
  <si>
    <t>HFB.PROD.EVAP3HFB.PROD.EVAP3.BAL</t>
  </si>
  <si>
    <t>HFB.PROD.EVAP3HFB.PROD.T95.BAL</t>
  </si>
  <si>
    <t>CDU1.SC1.CIHFB.PROD.CI.BAL</t>
  </si>
  <si>
    <t>CDU1.SC2.CIHFB.PROD.CI.BAL</t>
  </si>
  <si>
    <t>CDU1.SC3.CIHFB.PROD.CI.BAL</t>
  </si>
  <si>
    <t>HFB.PROD.CIHFB.PROD.CI.BAL</t>
  </si>
  <si>
    <t>CDU1.SC1.TCLHFB.PROD.TCL.BAL</t>
  </si>
  <si>
    <t>CDU1.SC2.TCLHFB.PROD.TCL.BAL</t>
  </si>
  <si>
    <t>CDU1.SC3.TCLHFB.PROD.TCL.BAL</t>
  </si>
  <si>
    <t>HFB.PROD.TCLHFB.PROD.TCL.BAL</t>
  </si>
  <si>
    <t>CDU1.SC1.TFLHFB.PROD.TFL.BAL</t>
  </si>
  <si>
    <t>CDU1.SC2.TFLHFB.PROD.TFL.BAL</t>
  </si>
  <si>
    <t>CDU1.SC3.TFLHFB.PROD.TFL.BAL</t>
  </si>
  <si>
    <t>HFB.PROD.TFLHFB.PROD.TFL.BAL</t>
  </si>
  <si>
    <t>HFB.PROD.T95HFB.PROD.T95.BAL</t>
  </si>
  <si>
    <t>LOCALHOST</t>
  </si>
  <si>
    <t>CV1.UnforcedPred_DR</t>
  </si>
  <si>
    <t>CV2.UnforcedPred_DR</t>
  </si>
  <si>
    <t>CV3.UnforcedPred_DR</t>
  </si>
  <si>
    <t>CV4.UnforcedPred_DR</t>
  </si>
  <si>
    <t>CV5.UnforcedPred_DR</t>
  </si>
  <si>
    <t>CV6.UnforcedPred_DR</t>
  </si>
  <si>
    <t>CV7.UnforcedPred_DR</t>
  </si>
  <si>
    <t>CV8.UnforcedPred_DR</t>
  </si>
  <si>
    <t>CV9.UnforcedPred_DR</t>
  </si>
  <si>
    <t>CV10.UnforcedPred_DR</t>
  </si>
  <si>
    <t>CV11.UnforcedPred_DR</t>
  </si>
  <si>
    <t>CV12.UnforcedPred_DR</t>
  </si>
  <si>
    <t>CV13.UnforcedPred_DR</t>
  </si>
  <si>
    <t>CV14.UnforcedPred_DR</t>
  </si>
  <si>
    <t>CV15.UnforcedPred_DR</t>
  </si>
  <si>
    <t>CV16.UnforcedPred_DR</t>
  </si>
  <si>
    <t>CV17.UnforcedPred_DR</t>
  </si>
  <si>
    <t>CV18.UnforcedPred_DR</t>
  </si>
  <si>
    <t>CV19.UnforcedPred_DR</t>
  </si>
  <si>
    <t>CV20.UnforcedPred_DR</t>
  </si>
  <si>
    <t>CV21.UnforcedPred_DR</t>
  </si>
  <si>
    <t>CV22.UnforcedPred_DR</t>
  </si>
  <si>
    <t>CV23.UnforcedPred_DR</t>
  </si>
  <si>
    <t>CV24.UnforcedPred_DR</t>
  </si>
  <si>
    <t>CV25.UnforcedPred_DR</t>
  </si>
  <si>
    <t>CV26.UnforcedPred_DR</t>
  </si>
  <si>
    <t>CV27.UnforcedPred_DR</t>
  </si>
  <si>
    <t>CV28.UnforcedPred_DR</t>
  </si>
  <si>
    <t>CV29.UnforcedPred_DR</t>
  </si>
  <si>
    <t>CV30.UnforcedPred_DR</t>
  </si>
  <si>
    <t>CV31.UnforcedPred_DR</t>
  </si>
  <si>
    <t>CV32.UnforcedPred_DR</t>
  </si>
  <si>
    <t>CV33.UnforcedPred_DR</t>
  </si>
  <si>
    <t>CV34.UnforcedPred_DR</t>
  </si>
  <si>
    <t>CV35.UnforcedPred_DR</t>
  </si>
  <si>
    <t>CV36.UnforcedPred_DR</t>
  </si>
  <si>
    <t>CV37.UnforcedPred_DR</t>
  </si>
  <si>
    <t>CV38.UnforcedPred_DR</t>
  </si>
  <si>
    <t>CV39.UnforcedPred_DR</t>
  </si>
  <si>
    <t>CV40.UnforcedPred_DR</t>
  </si>
  <si>
    <t>CV41.UnforcedPred_DR</t>
  </si>
  <si>
    <t>CV42.UnforcedPred_DR</t>
  </si>
  <si>
    <t>CV43.UnforcedPred_DR</t>
  </si>
  <si>
    <t>CV44.UnforcedPred_DR</t>
  </si>
  <si>
    <t>CV45.UnforcedPred_DR</t>
  </si>
  <si>
    <t>CV46.UnforcedPred_DR</t>
  </si>
  <si>
    <t>CV47.UnforcedPred_DR</t>
  </si>
  <si>
    <t>CV48.UnforcedPred_DR</t>
  </si>
  <si>
    <t>CV49.UnforcedPred_DR</t>
  </si>
  <si>
    <t>CV50.UnforcedPred_DR</t>
  </si>
  <si>
    <t>CV51.UnforcedPred_DR</t>
  </si>
  <si>
    <t>CV52.UnforcedPred_DR</t>
  </si>
  <si>
    <t>CV53.UnforcedPred_DR</t>
  </si>
  <si>
    <t>CV54.UnforcedPred_DR</t>
  </si>
  <si>
    <t>CV55.UnforcedPred_DR</t>
  </si>
  <si>
    <t>CV56.UnforcedPred_DR</t>
  </si>
  <si>
    <t>CV57.UnforcedPred_DR</t>
  </si>
  <si>
    <t>CV58.UnforcedPred_DR</t>
  </si>
  <si>
    <t>CV59.UnforcedPred_DR</t>
  </si>
  <si>
    <t>CV60.UnforcedPred_DR</t>
  </si>
  <si>
    <t>CV61.UnforcedPred_DR</t>
  </si>
  <si>
    <t>CV62.UnforcedPred_DR</t>
  </si>
  <si>
    <t>CV63.UnforcedPred_DR</t>
  </si>
  <si>
    <t>CV64.UnforcedPred_DR</t>
  </si>
  <si>
    <t>CV65.UnforcedPred_DR</t>
  </si>
  <si>
    <t>CV66.UnforcedPred_DR</t>
  </si>
  <si>
    <t>CV67.UnforcedPred_DR</t>
  </si>
  <si>
    <t>CV68.UnforcedPred_DR</t>
  </si>
  <si>
    <t>CV69.UnforcedPred_DR</t>
  </si>
  <si>
    <t>CV70.UnforcedPred_DR</t>
  </si>
  <si>
    <t>CV71.UnforcedPred_DR</t>
  </si>
  <si>
    <t>CV72.UnforcedPred_DR</t>
  </si>
  <si>
    <t>CV73.UnforcedPred_DR</t>
  </si>
  <si>
    <t>CV74.UnforcedPred_DR</t>
  </si>
  <si>
    <t>CV75.UnforcedPred_DR</t>
  </si>
  <si>
    <t>CV76.UnforcedPred_DR</t>
  </si>
  <si>
    <t>CV77.UnforcedPred_DR</t>
  </si>
  <si>
    <t>CV78.UnforcedPred_DR</t>
  </si>
  <si>
    <t>CV79.UnforcedPred_DR</t>
  </si>
  <si>
    <t>CV80.UnforcedPred_DR</t>
  </si>
  <si>
    <t>CV81.UnforcedPred_DR</t>
  </si>
  <si>
    <t>CV82.UnforcedPred_DR</t>
  </si>
  <si>
    <t>MV1.Current</t>
  </si>
  <si>
    <t>MV2.Current</t>
  </si>
  <si>
    <t>MV3.Current</t>
  </si>
  <si>
    <t>MV4.Current</t>
  </si>
  <si>
    <t>MV5.Current</t>
  </si>
  <si>
    <t>MV6.Current</t>
  </si>
  <si>
    <t>MV7.Current</t>
  </si>
  <si>
    <t>MV8.Current</t>
  </si>
  <si>
    <t>MV9.Current</t>
  </si>
  <si>
    <t>MV10.Current</t>
  </si>
  <si>
    <t>MV11.Current</t>
  </si>
  <si>
    <t>MV12.Current</t>
  </si>
  <si>
    <t>MV13.Current</t>
  </si>
  <si>
    <t>MV14.Current</t>
  </si>
  <si>
    <t>MV15.Current</t>
  </si>
  <si>
    <t>MV16.Current</t>
  </si>
  <si>
    <t>MV17.Current</t>
  </si>
  <si>
    <t>MV18.Current</t>
  </si>
  <si>
    <t>MV19.Current</t>
  </si>
  <si>
    <t>MV20.Current</t>
  </si>
  <si>
    <t>MV21.Current</t>
  </si>
  <si>
    <t>MV22.Current</t>
  </si>
  <si>
    <t>MV23.Current</t>
  </si>
  <si>
    <t>MV24.Current</t>
  </si>
  <si>
    <t>MV25.Current</t>
  </si>
  <si>
    <t>MV26.Current</t>
  </si>
  <si>
    <t>MV27.Current</t>
  </si>
  <si>
    <t>MV28.Current</t>
  </si>
  <si>
    <t>MV29.Current</t>
  </si>
  <si>
    <t>MV30.Current</t>
  </si>
  <si>
    <t>MV31.Current</t>
  </si>
  <si>
    <t>MV32.Current</t>
  </si>
  <si>
    <t>MV33.Current</t>
  </si>
  <si>
    <t>MV34.Current</t>
  </si>
  <si>
    <t>MV35.Current</t>
  </si>
  <si>
    <t>MV36.Current</t>
  </si>
  <si>
    <t>MV37.Current</t>
  </si>
  <si>
    <t>MV38.Current</t>
  </si>
  <si>
    <t>MV39.Current</t>
  </si>
  <si>
    <t>MV40.Current</t>
  </si>
  <si>
    <t>MV41.Current</t>
  </si>
  <si>
    <t>MV42.Current</t>
  </si>
  <si>
    <t>MV43.Current</t>
  </si>
  <si>
    <t>MV44.Current</t>
  </si>
  <si>
    <t>MV45.Current</t>
  </si>
  <si>
    <t>MV46.Current</t>
  </si>
  <si>
    <t>MV47.Current</t>
  </si>
  <si>
    <t>MV48.Current</t>
  </si>
  <si>
    <t>MV49.Current</t>
  </si>
  <si>
    <t>MV50.Current</t>
  </si>
  <si>
    <t>MV51.Current</t>
  </si>
  <si>
    <t>MV52.Current</t>
  </si>
  <si>
    <t>MV53.Current</t>
  </si>
  <si>
    <t>MV54.Current</t>
  </si>
  <si>
    <t>MV55.Current</t>
  </si>
  <si>
    <t>MV56.Current</t>
  </si>
  <si>
    <t>MV57.Current</t>
  </si>
  <si>
    <t>MV58.Current</t>
  </si>
  <si>
    <t>MV59.Current</t>
  </si>
  <si>
    <t>MV60.Current</t>
  </si>
  <si>
    <t>MV61.Current</t>
  </si>
  <si>
    <t>MV62.Current</t>
  </si>
  <si>
    <t>MV63.Current</t>
  </si>
  <si>
    <t>MV64.Current</t>
  </si>
  <si>
    <t>MV65.Current</t>
  </si>
  <si>
    <t>MV66.Current</t>
  </si>
  <si>
    <t>MV67.Current</t>
  </si>
  <si>
    <t>MV68.Current</t>
  </si>
  <si>
    <t>MV69.Current</t>
  </si>
  <si>
    <t>MV70.Current</t>
  </si>
  <si>
    <t>MV71.Current</t>
  </si>
  <si>
    <t>MV72.Current</t>
  </si>
  <si>
    <t>MV73.Current</t>
  </si>
  <si>
    <t>MV74.Current</t>
  </si>
  <si>
    <t>MV75.Current</t>
  </si>
  <si>
    <t>MV76.Current</t>
  </si>
  <si>
    <t>MV77.Current</t>
  </si>
  <si>
    <t>MV78.Current</t>
  </si>
  <si>
    <t>MV79.Current</t>
  </si>
  <si>
    <t>MV80.Current</t>
  </si>
  <si>
    <t>MV81.Current</t>
  </si>
  <si>
    <t>MV82.Current</t>
  </si>
  <si>
    <t>MV83.Current</t>
  </si>
  <si>
    <t>MV84.Current</t>
  </si>
  <si>
    <t>MV85.Current</t>
  </si>
  <si>
    <t>MV86.Current</t>
  </si>
  <si>
    <t>CDU1.FEED.TCL.PAR3.Write</t>
  </si>
  <si>
    <t>MV65.GlobalQPTarget</t>
  </si>
  <si>
    <t>CDU1.FEED.TCL.PAR4.Write</t>
  </si>
  <si>
    <t>MV66.GlobalQPTarget</t>
  </si>
  <si>
    <t>CDU1.FEED.TFZ.PAR3.Write</t>
  </si>
  <si>
    <t>CDU1.FEED.TFZ.PAR4.Write</t>
  </si>
  <si>
    <t>CDU1.FEED.TFL.PAR3.Write</t>
  </si>
  <si>
    <t>CDU1.FEED.TFL.PAR4.Write</t>
  </si>
  <si>
    <t>CDU1.FEED.SUL.PAR3.Write</t>
  </si>
  <si>
    <t>MV61.GlobalQPTarget</t>
  </si>
  <si>
    <t>CDU1.FEED.SUL.PAR4.Write</t>
  </si>
  <si>
    <t>CDU1.FEED.PAR2.Write</t>
  </si>
  <si>
    <t>CDU1.SC1.T951.Write</t>
  </si>
  <si>
    <t>MV35.GlobalQPTarget</t>
  </si>
  <si>
    <t>CDU1.SC1.T952.Write</t>
  </si>
  <si>
    <t>MV36.GlobalQPTarget</t>
  </si>
  <si>
    <t>CDU1.SC1.T953.Write</t>
  </si>
  <si>
    <t>MV37.GlobalQPTarget</t>
  </si>
  <si>
    <t>CDU1.SC2.T951.Write</t>
  </si>
  <si>
    <t>MV38.GlobalQPTarget</t>
  </si>
  <si>
    <t>CDU1.SC2.T952.Write</t>
  </si>
  <si>
    <t>MV39.GlobalQPTarget</t>
  </si>
  <si>
    <t>CDU1.SC2.T953.Write</t>
  </si>
  <si>
    <t>MV40.GlobalQPTarget</t>
  </si>
  <si>
    <t>CDU1.SC2.T954.Write</t>
  </si>
  <si>
    <t>MV41.GlobalQPTarget</t>
  </si>
  <si>
    <t>CDU1.SC3.T951.Write</t>
  </si>
  <si>
    <t>MV42.GlobalQPTarget</t>
  </si>
  <si>
    <t>CDU1.SC3.T952.Write</t>
  </si>
  <si>
    <t>MV43.GlobalQPTarget</t>
  </si>
  <si>
    <t>CDU1.SC3.T953.Write</t>
  </si>
  <si>
    <t>MV44.GlobalQPTarget</t>
  </si>
  <si>
    <t>CDU1.SC3.T954.Write</t>
  </si>
  <si>
    <t>MV45.GlobalQPTarget</t>
  </si>
  <si>
    <t/>
  </si>
  <si>
    <t>Sort Index</t>
  </si>
  <si>
    <t>KERHT.FEED</t>
  </si>
  <si>
    <t>KERHT.WABT</t>
  </si>
  <si>
    <t>KERHT.H2PP</t>
  </si>
  <si>
    <t>KERHT.SULP</t>
  </si>
  <si>
    <t>KERHT.PROD</t>
  </si>
  <si>
    <t>KERHT.OVH</t>
  </si>
  <si>
    <t>KERHT</t>
  </si>
  <si>
    <t>HDT</t>
  </si>
  <si>
    <t>TX_40.PV</t>
  </si>
  <si>
    <t>PX_40.PV</t>
  </si>
  <si>
    <t>FC_42.PV</t>
  </si>
  <si>
    <t>FC_41.PV</t>
  </si>
  <si>
    <t>AI_42_SUL.PV</t>
  </si>
  <si>
    <t>TX_71.PV</t>
  </si>
  <si>
    <t>PX_71.PV</t>
  </si>
  <si>
    <t>AI_73_SUL.PV</t>
  </si>
  <si>
    <t>FC_73.PV</t>
  </si>
  <si>
    <t>FC_72.PV</t>
  </si>
  <si>
    <t>AI_73_SG.PV</t>
  </si>
  <si>
    <t>AI_73_TCL.PV</t>
  </si>
  <si>
    <t>AI_73_TFL.PV</t>
  </si>
  <si>
    <t>AI_73_TFZ.PV</t>
  </si>
  <si>
    <t>AI_42_SG.PV</t>
  </si>
  <si>
    <t>AI_42_TCL.PV</t>
  </si>
  <si>
    <t>AI_42_TFL.PV</t>
  </si>
  <si>
    <t>AI_42_CI.PV</t>
  </si>
  <si>
    <t>KERHT.H2PP.MAP</t>
  </si>
  <si>
    <t>KERHT.WABT.MAP</t>
  </si>
  <si>
    <t>KERHT.PROD.FLOW.MAP</t>
  </si>
  <si>
    <t>KERHT.OVH.FLOW.MAP</t>
  </si>
  <si>
    <t>KERHT.FEED.FLOW.MAP</t>
  </si>
  <si>
    <t>KERHT.FEED.FLOW</t>
  </si>
  <si>
    <t>KERHT.PROD.SUL</t>
  </si>
  <si>
    <t>KERHT.PROD.FLOW</t>
  </si>
  <si>
    <t>KERHT.OVH.FLOW</t>
  </si>
  <si>
    <t>KERHT.PROD.SUL.BAL</t>
  </si>
  <si>
    <t>KERHT.PROD.FLOW.BAL</t>
  </si>
  <si>
    <t>KERHT.PROD.SG.BAL</t>
  </si>
  <si>
    <t>KERHT.PROD.EVAP1.BAL</t>
  </si>
  <si>
    <t>KERHT.PROD.EVAP2.BAL</t>
  </si>
  <si>
    <t>KERHT.PROD.TCL.BAL</t>
  </si>
  <si>
    <t>KERHT.PROD.TFZ.BAL</t>
  </si>
  <si>
    <t>KERHT.PROD.TFL.BAL</t>
  </si>
  <si>
    <t>KERHT.PAR5</t>
  </si>
  <si>
    <t>KERHT.FLOW.BIAS</t>
  </si>
  <si>
    <t>KERHT.PROD.SG</t>
  </si>
  <si>
    <t>KERHT.OVH.SG</t>
  </si>
  <si>
    <t>KERHT.PROD.EVAP1</t>
  </si>
  <si>
    <t>KERHT.OVH.EVAP1</t>
  </si>
  <si>
    <t>KERHT.EVAP1.BIAS</t>
  </si>
  <si>
    <t>KERHT.PROD.EVAP2</t>
  </si>
  <si>
    <t>KERHT.OVH.EVAP2</t>
  </si>
  <si>
    <t>KERHT.EVAP2.BIAS</t>
  </si>
  <si>
    <t>KERHT.OVH.TCL</t>
  </si>
  <si>
    <t>KERHT.PROD.TCL</t>
  </si>
  <si>
    <t>KERHT.TCL.BIAS</t>
  </si>
  <si>
    <t>KERHT.OVH.TFZ</t>
  </si>
  <si>
    <t>KERHT.PROD.TFZ</t>
  </si>
  <si>
    <t>KERHT.TFZ.BIAS</t>
  </si>
  <si>
    <t>KERHT.OVH.TFL</t>
  </si>
  <si>
    <t>KERHT.PROD.TFL</t>
  </si>
  <si>
    <t>KERHT.TFL.BIAS</t>
  </si>
  <si>
    <t>KERHT.FEED.FLOWKERHT.FEED.FLOW.MAP</t>
  </si>
  <si>
    <t>KERHT.WABTKERHT.WABT.MAP</t>
  </si>
  <si>
    <t>KERHT.H2PPKERHT.H2PP.MAP</t>
  </si>
  <si>
    <t>KERHT.PROD.SULAI_73_SUL.PV</t>
  </si>
  <si>
    <t>KERHT.PROD.FLOWKERHT.PROD.FLOW.MAP</t>
  </si>
  <si>
    <t>KERHT.OVH.FLOWKERHT.OVH.FLOW.MAP</t>
  </si>
  <si>
    <t>FI_71.PVKERHT.FEED.FLOW.MAP</t>
  </si>
  <si>
    <t>TX_71.PVKERHT.WABT.MAP</t>
  </si>
  <si>
    <t>PX_71.PVKERHT.H2PP.MAP</t>
  </si>
  <si>
    <t>FC_73.PVKERHT.PROD.FLOW.MAP</t>
  </si>
  <si>
    <t>FC_72.PVKERHT.OVH.FLOW.MAP</t>
  </si>
  <si>
    <t>KERHT.FEED.FLOWKERHT.PROD.SUL.BAL</t>
  </si>
  <si>
    <t>KERHT.FEED.FLOWKERHT.PROD.FLOW.BAL</t>
  </si>
  <si>
    <t>KERHT.FEED.FLOWKERHT.PROD.SG.BAL</t>
  </si>
  <si>
    <t>CN96</t>
  </si>
  <si>
    <t>KERHT.FEED.FLOWKERHT.PROD.EVAP1.BAL</t>
  </si>
  <si>
    <t>KERHT.FEED.FLOWKERHT.PROD.EVAP2.BAL</t>
  </si>
  <si>
    <t>KERHT.FEED.FLOWKERHT.PROD.TCL.BAL</t>
  </si>
  <si>
    <t>KERHT.FEED.FLOWKERHT.PROD.TFZ.BAL</t>
  </si>
  <si>
    <t>KERHT.FEED.FLOWKERHT.PROD.TFL.BAL</t>
  </si>
  <si>
    <t>KERHT.H2PPKERHT.PROD.SUL.BAL</t>
  </si>
  <si>
    <t>KERHT.WABTKERHT.PROD.SUL.BAL</t>
  </si>
  <si>
    <t>KERHT.PROD.SULKERHT.PROD.SUL.BAL</t>
  </si>
  <si>
    <t>KERHT.PAR5KERHT.PROD.SUL.BAL</t>
  </si>
  <si>
    <t>KERHT.PROD.FLOWKERHT.PROD.FLOW.BAL</t>
  </si>
  <si>
    <t>KERHT.PROD.FLOWKERHT.PROD.SG.BAL</t>
  </si>
  <si>
    <t>KERHT.PROD.FLOWKERHT.PROD.EVAP1.BAL</t>
  </si>
  <si>
    <t>KERHT.PROD.FLOWKERHT.PROD.EVAP2.BAL</t>
  </si>
  <si>
    <t>KERHT.PROD.FLOWKERHT.PROD.TCL.BAL</t>
  </si>
  <si>
    <t>KERHT.PROD.FLOWKERHT.PROD.TFZ.BAL</t>
  </si>
  <si>
    <t>KERHT.PROD.FLOWKERHT.PROD.TFL.BAL</t>
  </si>
  <si>
    <t>KERHT.OVH.FLOWKERHT.PROD.FLOW.BAL</t>
  </si>
  <si>
    <t>KERHT.OVH.FLOWKERHT.PROD.SG.BAL</t>
  </si>
  <si>
    <t>KERHT.OVH.FLOWKERHT.PROD.EVAP1.BAL</t>
  </si>
  <si>
    <t>KERHT.OVH.FLOWKERHT.PROD.EVAP2.BAL</t>
  </si>
  <si>
    <t>KERHT.OVH.FLOWKERHT.PROD.TCL.BAL</t>
  </si>
  <si>
    <t>CS99</t>
  </si>
  <si>
    <t>KERHT.OVH.FLOWKERHT.PROD.TFZ.BAL</t>
  </si>
  <si>
    <t>KERHT.OVH.FLOWKERHT.PROD.TFL.BAL</t>
  </si>
  <si>
    <t>KERHT.FLOW.BIASKERHT.PROD.FLOW.BAL</t>
  </si>
  <si>
    <t>KERHT.FLOW.BIASKERHT.PROD.EVAP1.BAL</t>
  </si>
  <si>
    <t>KERHT.FLOW.BIASKERHT.PROD.EVAP2.BAL</t>
  </si>
  <si>
    <t>KERHT.FLOW.BIASKERHT.PROD.TCL.BAL</t>
  </si>
  <si>
    <t>KERHT.FLOW.BIASKERHT.PROD.TFZ.BAL</t>
  </si>
  <si>
    <t>KERHT.FLOW.BIASKERHT.PROD.TFL.BAL</t>
  </si>
  <si>
    <t>CDU1.SC1.SGKERHT.PROD.SG.BAL</t>
  </si>
  <si>
    <t>KERHT.PROD.SGKERHT.PROD.SG.BAL</t>
  </si>
  <si>
    <t>KERHT.OVH.SGKERHT.PROD.SG.BAL</t>
  </si>
  <si>
    <t>CDU1.SC1.EVAP1KERHT.PROD.EVAP1.BAL</t>
  </si>
  <si>
    <t>KERHT.PROD.EVAP1KERHT.PROD.EVAP1.BAL</t>
  </si>
  <si>
    <t>KERHT.OVH.EVAP1KERHT.PROD.EVAP1.BAL</t>
  </si>
  <si>
    <t>KERHT.EVAP1.BIASKERHT.PROD.EVAP1.BAL</t>
  </si>
  <si>
    <t>CDU1.SC1.EVAP2KERHT.PROD.EVAP2.BAL</t>
  </si>
  <si>
    <t>KERHT.PROD.EVAP2KERHT.PROD.EVAP2.BAL</t>
  </si>
  <si>
    <t>KERHT.OVH.EVAP2KERHT.PROD.EVAP2.BAL</t>
  </si>
  <si>
    <t>KERHT.EVAP2.BIASKERHT.PROD.EVAP2.BAL</t>
  </si>
  <si>
    <t>CDU1.SC1.TCLKERHT.PROD.TCL.BAL</t>
  </si>
  <si>
    <t>KERHT.OVH.TCLKERHT.PROD.TCL.BAL</t>
  </si>
  <si>
    <t>KERHT.PROD.TCLKERHT.PROD.TCL.BAL</t>
  </si>
  <si>
    <t>KERHT.TCL.BIASKERHT.PROD.TCL.BAL</t>
  </si>
  <si>
    <t>CDU1.SC1.TFZKERHT.PROD.TFZ.BAL</t>
  </si>
  <si>
    <t>KERHT.OVH.TFZKERHT.PROD.TFZ.BAL</t>
  </si>
  <si>
    <t>KERHT.PROD.TFZKERHT.PROD.TFZ.BAL</t>
  </si>
  <si>
    <t>KERHT.TFZ.BIASKERHT.PROD.TFZ.BAL</t>
  </si>
  <si>
    <t>CDU1.SC1.TFLKERHT.PROD.TFL.BAL</t>
  </si>
  <si>
    <t>KERHT.OVH.TFLKERHT.PROD.TFL.BAL</t>
  </si>
  <si>
    <t>KERHT.PROD.TFLKERHT.PROD.TFL.BAL</t>
  </si>
  <si>
    <t>KERHT.TFL.BIASKERHT.PROD.TFL.BAL</t>
  </si>
  <si>
    <t>CV83.UnforcedPred_DR</t>
  </si>
  <si>
    <t>CV84.UnforcedPred_DR</t>
  </si>
  <si>
    <t>CV85.UnforcedPred_DR</t>
  </si>
  <si>
    <t>CV86.UnforcedPred_DR</t>
  </si>
  <si>
    <t>CV87.UnforcedPred_DR</t>
  </si>
  <si>
    <t>CV88.UnforcedPred_DR</t>
  </si>
  <si>
    <t>CV89.UnforcedPred_DR</t>
  </si>
  <si>
    <t>CV90.UnforcedPred_DR</t>
  </si>
  <si>
    <t>CV91.UnforcedPred_DR</t>
  </si>
  <si>
    <t>CV92.UnforcedPred_DR</t>
  </si>
  <si>
    <t>CV93.UnforcedPred_DR</t>
  </si>
  <si>
    <t>CV94.UnforcedPred_DR</t>
  </si>
  <si>
    <t>CV95.UnforcedPred_DR</t>
  </si>
  <si>
    <t>CV96.UnforcedPred_DR</t>
  </si>
  <si>
    <t>CV97.UnforcedPred_DR</t>
  </si>
  <si>
    <t>CV98.UnforcedPred_DR</t>
  </si>
  <si>
    <t>CV99.UnforcedPred_DR</t>
  </si>
  <si>
    <t>CV100.UnforcedPred_DR</t>
  </si>
  <si>
    <t>CV101.UnforcedPred_DR</t>
  </si>
  <si>
    <t>CV102.UnforcedPred_DR</t>
  </si>
  <si>
    <t>CV103.UnforcedPred_DR</t>
  </si>
  <si>
    <t>CV104.UnforcedPred_DR</t>
  </si>
  <si>
    <t>CV105.UnforcedPred_DR</t>
  </si>
  <si>
    <t>CV106.UnforcedPred_DR</t>
  </si>
  <si>
    <t>CV107.UnforcedPred_DR</t>
  </si>
  <si>
    <t>CV108.UnforcedPred_DR</t>
  </si>
  <si>
    <t>CV109.UnforcedPred_DR</t>
  </si>
  <si>
    <t>CV110.UnforcedPred_DR</t>
  </si>
  <si>
    <t>CV111.UnforcedPred_DR</t>
  </si>
  <si>
    <t>MV87.Current</t>
  </si>
  <si>
    <t>MV88.Current</t>
  </si>
  <si>
    <t>MV89.Current</t>
  </si>
  <si>
    <t>MV90.Current</t>
  </si>
  <si>
    <t>MV91.Current</t>
  </si>
  <si>
    <t>MV92.Current</t>
  </si>
  <si>
    <t>MV93.Current</t>
  </si>
  <si>
    <t>MV94.Current</t>
  </si>
  <si>
    <t>MV95.Current</t>
  </si>
  <si>
    <t>MV96.Current</t>
  </si>
  <si>
    <t>MV97.Current</t>
  </si>
  <si>
    <t>MV98.Current</t>
  </si>
  <si>
    <t>MV99.Current</t>
  </si>
  <si>
    <t>MV100.Current</t>
  </si>
  <si>
    <t>MV101.Current</t>
  </si>
  <si>
    <t>MV102.Current</t>
  </si>
  <si>
    <t>MV103.Current</t>
  </si>
  <si>
    <t>MV104.Current</t>
  </si>
  <si>
    <t>MV105.Current</t>
  </si>
  <si>
    <t>MV106.Current</t>
  </si>
  <si>
    <t>MV107.Current</t>
  </si>
  <si>
    <t>MV108.Current</t>
  </si>
  <si>
    <t>MV109.Current</t>
  </si>
  <si>
    <t>MV110.Current</t>
  </si>
  <si>
    <t>MV111.Current</t>
  </si>
  <si>
    <t>MV112.Current</t>
  </si>
  <si>
    <t>MV113.Current</t>
  </si>
  <si>
    <t>MV114.Current</t>
  </si>
  <si>
    <t>MV115.Current</t>
  </si>
  <si>
    <t>MV116.Current</t>
  </si>
  <si>
    <t>MV117.Current</t>
  </si>
  <si>
    <t>MV118.Current</t>
  </si>
  <si>
    <t>MV119.Current</t>
  </si>
  <si>
    <t>MV120.Current</t>
  </si>
  <si>
    <t>MV121.Current</t>
  </si>
  <si>
    <t>MV122.Current</t>
  </si>
  <si>
    <t>MV123.Current</t>
  </si>
  <si>
    <t>MV124.Current</t>
  </si>
  <si>
    <t>MV125.Current</t>
  </si>
  <si>
    <t>MV126.Current</t>
  </si>
  <si>
    <t>MV127.Current</t>
  </si>
  <si>
    <t>MV128.Current</t>
  </si>
  <si>
    <t>MV129.Current</t>
  </si>
  <si>
    <t>MV130.Current</t>
  </si>
  <si>
    <t>MV131.Current</t>
  </si>
  <si>
    <t>MV132.Current</t>
  </si>
  <si>
    <t>MV133.Current</t>
  </si>
  <si>
    <t>MV134.Current</t>
  </si>
  <si>
    <t>MV135.Current</t>
  </si>
  <si>
    <t>MV136.Current</t>
  </si>
  <si>
    <t>MV137.Current</t>
  </si>
  <si>
    <t>MV138.Current</t>
  </si>
  <si>
    <t>MV139.Current</t>
  </si>
  <si>
    <t>MV140.Current</t>
  </si>
  <si>
    <t>MV141.Current</t>
  </si>
  <si>
    <t>MV142.Current</t>
  </si>
  <si>
    <t>MV143.Current</t>
  </si>
  <si>
    <t>MV144.Current</t>
  </si>
  <si>
    <t>MV145.Current</t>
  </si>
  <si>
    <t>MV146.Current</t>
  </si>
  <si>
    <t>MV147.Current</t>
  </si>
  <si>
    <t>HFB.FD4</t>
  </si>
  <si>
    <t>FC_81.SP</t>
  </si>
  <si>
    <t>TK81.SG</t>
  </si>
  <si>
    <t>TK81.T05</t>
  </si>
  <si>
    <t>TK81.T95</t>
  </si>
  <si>
    <t>TK81.TCL</t>
  </si>
  <si>
    <t>TK81.SUL</t>
  </si>
  <si>
    <t>TK81.TFL</t>
  </si>
  <si>
    <t>TK81.CI</t>
  </si>
  <si>
    <t>HDS.FEED</t>
  </si>
  <si>
    <t>HDS.WABT</t>
  </si>
  <si>
    <t>HDS.H2PP</t>
  </si>
  <si>
    <t>HDS.SULP</t>
  </si>
  <si>
    <t>HDS.PROD</t>
  </si>
  <si>
    <t>HDS.OVH</t>
  </si>
  <si>
    <t>HDS</t>
  </si>
  <si>
    <t>HFB.FD4.FLOW.MAP</t>
  </si>
  <si>
    <t>HFB.FD4.FLOW</t>
  </si>
  <si>
    <t>HFB.FD4.CI</t>
  </si>
  <si>
    <t>HFB.FD4.SG</t>
  </si>
  <si>
    <t>HFB.FD4.SUL</t>
  </si>
  <si>
    <t>HFB.FD4.T05</t>
  </si>
  <si>
    <t>HFB.FD4.T95</t>
  </si>
  <si>
    <t>HFB.FD4.TCL</t>
  </si>
  <si>
    <t>HFB.FD4.TFL</t>
  </si>
  <si>
    <t>HFB.FD4.EVAP1.BAL</t>
  </si>
  <si>
    <t>HFB.FD4.EVAP2.BAL</t>
  </si>
  <si>
    <t>HFB.FD4.EVAP3.BAL</t>
  </si>
  <si>
    <t>HFB.FD4.VAR1.BAL</t>
  </si>
  <si>
    <t>HFB.FD4.VAR1</t>
  </si>
  <si>
    <t>HFB.FD4.EVAP1</t>
  </si>
  <si>
    <t>HFB.FD4.EVAP2</t>
  </si>
  <si>
    <t>HFB.FD4.EVAP3</t>
  </si>
  <si>
    <t>HDS.H2PP.MAP</t>
  </si>
  <si>
    <t>HDS.WABT.MAP</t>
  </si>
  <si>
    <t>HDS.PROD.FLOW.MAP</t>
  </si>
  <si>
    <t>HDS.OVH.FLOW.MAP</t>
  </si>
  <si>
    <t>HDS.FEED.FLOW.MAP</t>
  </si>
  <si>
    <t>HDS.FEED.FLOW</t>
  </si>
  <si>
    <t>HDS.PROD.SUL</t>
  </si>
  <si>
    <t>HDS.PROD.FLOW</t>
  </si>
  <si>
    <t>HDS.OVH.FLOW</t>
  </si>
  <si>
    <t>HDS.PROD.SUL.BAL</t>
  </si>
  <si>
    <t>HDS.PROD.FLOW.BAL</t>
  </si>
  <si>
    <t>HDS.PROD.SG.BAL</t>
  </si>
  <si>
    <t>HDS.PROD.CI.BAL</t>
  </si>
  <si>
    <t>HDS.PROD.EVAP1.BAL</t>
  </si>
  <si>
    <t>HDS.PROD.EVAP2.BAL</t>
  </si>
  <si>
    <t>HDS.PROD.EVAP3.BAL</t>
  </si>
  <si>
    <t>HDS.PROD.TCL.BAL</t>
  </si>
  <si>
    <t>HDS.PROD.TFL.BAL</t>
  </si>
  <si>
    <t>HDS.PAR5</t>
  </si>
  <si>
    <t>HDS.FLOW.BIAS</t>
  </si>
  <si>
    <t>HDS.PROD.SG</t>
  </si>
  <si>
    <t>HDS.OVH.SG</t>
  </si>
  <si>
    <t>HDS.PROD.CI</t>
  </si>
  <si>
    <t>HDS.OVH.CI</t>
  </si>
  <si>
    <t>HDS.CI.BIAS</t>
  </si>
  <si>
    <t>HDS.PROD.EVAP1</t>
  </si>
  <si>
    <t>HDS.OVH.EVAP1</t>
  </si>
  <si>
    <t>HDS.EVAP1.BIAS</t>
  </si>
  <si>
    <t>HDS.PROD.EVAP2</t>
  </si>
  <si>
    <t>HDS.OVH.EVAP2</t>
  </si>
  <si>
    <t>HDS.EVAP2.BIAS</t>
  </si>
  <si>
    <t>HDS.PROD.EVAP3</t>
  </si>
  <si>
    <t>HDS.OVH.EVAP3</t>
  </si>
  <si>
    <t>HDS.EVAP3.BIAS</t>
  </si>
  <si>
    <t>HDS.OVH.TCL</t>
  </si>
  <si>
    <t>HDS.PROD.TCL</t>
  </si>
  <si>
    <t>HDS.TCL.BIAS</t>
  </si>
  <si>
    <t>HDS.OVH.TFL</t>
  </si>
  <si>
    <t>HDS.PROD.TFL</t>
  </si>
  <si>
    <t>HDS.TFL.BIAS</t>
  </si>
  <si>
    <t>HFB.FD4.FLOWHFB.FD4.FLOW.MAP</t>
  </si>
  <si>
    <t>FC_81.SPHFB.FD4.FLOW.MAP</t>
  </si>
  <si>
    <t>CD71</t>
  </si>
  <si>
    <t>CE72</t>
  </si>
  <si>
    <t>CF73</t>
  </si>
  <si>
    <t>HFB.FD4.CITK81.CI</t>
  </si>
  <si>
    <t>HFB.FD4.SGTK81.SG</t>
  </si>
  <si>
    <t>HFB.FD4.SULTK81.SUL</t>
  </si>
  <si>
    <t>HFB.FD4.T05TK81.T05</t>
  </si>
  <si>
    <t>HFB.FD4.T95TK81.T95</t>
  </si>
  <si>
    <t>HFB.FD4.TCLTK81.TCL</t>
  </si>
  <si>
    <t>HFB.FD4.TFLTK81.TFL</t>
  </si>
  <si>
    <t>AB87</t>
  </si>
  <si>
    <t>AH87</t>
  </si>
  <si>
    <t>HFB.FD4.SGHFB.PROD.SG.BAL</t>
  </si>
  <si>
    <t>HFB.FD4.SGHFB.PROD.SUL.BAL</t>
  </si>
  <si>
    <t>HFB.FD4.SGHFB.PROD.VAR1.BAL</t>
  </si>
  <si>
    <t>HFB.FD4.FLOWHFB.PROD.SG.BAL</t>
  </si>
  <si>
    <t>HFB.FD4.FLOWHFB.PROD.SUL.BAL</t>
  </si>
  <si>
    <t>HFB.FD4.FLOWHFB.PROD.VAR1.BAL</t>
  </si>
  <si>
    <t>CB87</t>
  </si>
  <si>
    <t>HFB.FD4.FLOWHFB.PROD.EVAP1.BAL</t>
  </si>
  <si>
    <t>CB88</t>
  </si>
  <si>
    <t>HFB.FD4.FLOWHFB.PROD.EVAP2.BAL</t>
  </si>
  <si>
    <t>CB89</t>
  </si>
  <si>
    <t>HFB.FD4.FLOWHFB.PROD.EVAP3.BAL</t>
  </si>
  <si>
    <t>CB90</t>
  </si>
  <si>
    <t>HFB.FD4.FLOWHFB.PROD.TCL.BAL</t>
  </si>
  <si>
    <t>CB92</t>
  </si>
  <si>
    <t>HFB.FD4.FLOWHFB.PROD.TFL.BAL</t>
  </si>
  <si>
    <t>CB93</t>
  </si>
  <si>
    <t>HFB.FD4.FLOWHFB.PROD.CI.BAL</t>
  </si>
  <si>
    <t>HFB.FD4.FLOWHFB.PROD.FLOW.BAL</t>
  </si>
  <si>
    <t>CB95</t>
  </si>
  <si>
    <t>CF87</t>
  </si>
  <si>
    <t>HFB.FD4.SULHFB.PROD.SUL.BAL</t>
  </si>
  <si>
    <t>HFB.FD4.SULHFB.FD4.VAR1.BAL</t>
  </si>
  <si>
    <t>HFB.FD4.VAR1HFB.PROD.VAR1.BAL</t>
  </si>
  <si>
    <t>HFB.FD4.VAR1HFB.FD4.VAR1.BAL</t>
  </si>
  <si>
    <t>BC90</t>
  </si>
  <si>
    <t>HFB.FD4.EVAP1HFB.PROD.EVAP1.BAL</t>
  </si>
  <si>
    <t>HFB.FD4.EVAP1HFB.FD4.EVAP1.BAL</t>
  </si>
  <si>
    <t>CU96</t>
  </si>
  <si>
    <t>HFB.FD4.EVAP1HFB.FD4.VAR1.BAL</t>
  </si>
  <si>
    <t>HFB.FD4.EVAP2HFB.PROD.EVAP2.BAL</t>
  </si>
  <si>
    <t>HFB.FD4.EVAP2HFB.FD4.EVAP2.BAL</t>
  </si>
  <si>
    <t>HFB.FD4.EVAP3HFB.PROD.EVAP3.BAL</t>
  </si>
  <si>
    <t>HFB.FD4.EVAP3HFB.FD4.EVAP3.BAL</t>
  </si>
  <si>
    <t>CZ91</t>
  </si>
  <si>
    <t>HFB.FD4.CIHFB.PROD.CI.BAL</t>
  </si>
  <si>
    <t>HFB.FD4.TCLHFB.PROD.TCL.BAL</t>
  </si>
  <si>
    <t>HFB.FD4.TFLHFB.PROD.TFL.BAL</t>
  </si>
  <si>
    <t>HFB.FD4.T05HFB.FD4.EVAP1.BAL</t>
  </si>
  <si>
    <t>HFB.FD4.T05HFB.FD4.EVAP2.BAL</t>
  </si>
  <si>
    <t>HFB.FD4.T05HFB.FD4.EVAP3.BAL</t>
  </si>
  <si>
    <t>HFB.FD4.T95HFB.FD4.EVAP1.BAL</t>
  </si>
  <si>
    <t>HFB.FD4.T95HFB.FD4.EVAP2.BAL</t>
  </si>
  <si>
    <t>CO97</t>
  </si>
  <si>
    <t>HFB.FD4.T95HFB.FD4.EVAP3.BAL</t>
  </si>
  <si>
    <t>DK106</t>
  </si>
  <si>
    <t>DL107</t>
  </si>
  <si>
    <t>HDS.FEED.FLOWHDS.FEED.FLOW.MAP</t>
  </si>
  <si>
    <t>HDS.WABTHDS.WABT.MAP</t>
  </si>
  <si>
    <t>HDS.H2PPHDS.H2PP.MAP</t>
  </si>
  <si>
    <t>HDS.PROD.SULAI_42_SUL.PV</t>
  </si>
  <si>
    <t>HDS.PROD.FLOWHDS.PROD.FLOW.MAP</t>
  </si>
  <si>
    <t>HDS.OVH.FLOWHDS.OVH.FLOW.MAP</t>
  </si>
  <si>
    <t>FC_40.SPHDS.FEED.FLOW.MAP</t>
  </si>
  <si>
    <t>TX_40.PVHDS.WABT.MAP</t>
  </si>
  <si>
    <t>PX_40.PVHDS.H2PP.MAP</t>
  </si>
  <si>
    <t>FC_42.PVHDS.PROD.FLOW.MAP</t>
  </si>
  <si>
    <t>FC_41.PVHDS.OVH.FLOW.MAP</t>
  </si>
  <si>
    <t>HDS.FEED.FLOWHDS.PROD.SUL.BAL</t>
  </si>
  <si>
    <t>HDS.FEED.FLOWHDS.PROD.FLOW.BAL</t>
  </si>
  <si>
    <t>HDS.FEED.FLOWHDS.PROD.SG.BAL</t>
  </si>
  <si>
    <t>HDS.FEED.FLOWHDS.PROD.CI.BAL</t>
  </si>
  <si>
    <t>HDS.FEED.FLOWHDS.PROD.EVAP1.BAL</t>
  </si>
  <si>
    <t>HDS.FEED.FLOWHDS.PROD.EVAP2.BAL</t>
  </si>
  <si>
    <t>HDS.FEED.FLOWHDS.PROD.EVAP3.BAL</t>
  </si>
  <si>
    <t>HDS.FEED.FLOWHDS.PROD.TCL.BAL</t>
  </si>
  <si>
    <t>HDS.FEED.FLOWHDS.PROD.TFL.BAL</t>
  </si>
  <si>
    <t>HDS.H2PPHDS.PROD.SUL.BAL</t>
  </si>
  <si>
    <t>HDS.WABTHDS.PROD.SUL.BAL</t>
  </si>
  <si>
    <t>HFB.PROD.VAR1HDS.PROD.SUL.BAL</t>
  </si>
  <si>
    <t>HDS.PROD.SULHDS.PROD.SUL.BAL</t>
  </si>
  <si>
    <t>HDS.PAR5HDS.PROD.SUL.BAL</t>
  </si>
  <si>
    <t>HDS.PROD.FLOWHDS.PROD.FLOW.BAL</t>
  </si>
  <si>
    <t>HDS.PROD.FLOWHDS.PROD.SG.BAL</t>
  </si>
  <si>
    <t>HDS.PROD.FLOWHDS.PROD.CI.BAL</t>
  </si>
  <si>
    <t>HDS.PROD.FLOWHDS.PROD.EVAP1.BAL</t>
  </si>
  <si>
    <t>HDS.PROD.FLOWHDS.PROD.EVAP2.BAL</t>
  </si>
  <si>
    <t>HDS.PROD.FLOWHDS.PROD.EVAP3.BAL</t>
  </si>
  <si>
    <t>HDS.PROD.FLOWHDS.PROD.TCL.BAL</t>
  </si>
  <si>
    <t>HDS.PROD.FLOWHDS.PROD.TFL.BAL</t>
  </si>
  <si>
    <t>HDS.OVH.FLOWHDS.PROD.FLOW.BAL</t>
  </si>
  <si>
    <t>EI121</t>
  </si>
  <si>
    <t>HDS.OVH.FLOWHDS.PROD.SG.BAL</t>
  </si>
  <si>
    <t>HDS.OVH.FLOWHDS.PROD.CI.BAL</t>
  </si>
  <si>
    <t>HDS.OVH.FLOWHDS.PROD.EVAP1.BAL</t>
  </si>
  <si>
    <t>HDS.OVH.FLOWHDS.PROD.EVAP2.BAL</t>
  </si>
  <si>
    <t>HDS.OVH.FLOWHDS.PROD.EVAP3.BAL</t>
  </si>
  <si>
    <t>HDS.OVH.FLOWHDS.PROD.TCL.BAL</t>
  </si>
  <si>
    <t>HDS.OVH.FLOWHDS.PROD.TFL.BAL</t>
  </si>
  <si>
    <t>HDS.FLOW.BIASHDS.PROD.FLOW.BAL</t>
  </si>
  <si>
    <t>HDS.FLOW.BIASHDS.PROD.CI.BAL</t>
  </si>
  <si>
    <t>HDS.FLOW.BIASHDS.PROD.EVAP1.BAL</t>
  </si>
  <si>
    <t>HDS.FLOW.BIASHDS.PROD.EVAP2.BAL</t>
  </si>
  <si>
    <t>EO125</t>
  </si>
  <si>
    <t>HDS.FLOW.BIASHDS.PROD.EVAP3.BAL</t>
  </si>
  <si>
    <t>HDS.FLOW.BIASHDS.PROD.TCL.BAL</t>
  </si>
  <si>
    <t>HDS.FLOW.BIASHDS.PROD.TFL.BAL</t>
  </si>
  <si>
    <t>HFB.PROD.SGHDS.PROD.SG.BAL</t>
  </si>
  <si>
    <t>HDS.PROD.SGHDS.PROD.SG.BAL</t>
  </si>
  <si>
    <t>HDS.OVH.SGHDS.PROD.SG.BAL</t>
  </si>
  <si>
    <t>HFB.PROD.CIHDS.PROD.CI.BAL</t>
  </si>
  <si>
    <t>HDS.PROD.CIHDS.PROD.CI.BAL</t>
  </si>
  <si>
    <t>HDS.OVH.CIHDS.PROD.CI.BAL</t>
  </si>
  <si>
    <t>HDS.CI.BIASHDS.PROD.CI.BAL</t>
  </si>
  <si>
    <t>HFB.PROD.EVAP1HDS.PROD.EVAP1.BAL</t>
  </si>
  <si>
    <t>HDS.PROD.EVAP1HDS.PROD.EVAP1.BAL</t>
  </si>
  <si>
    <t>HDS.OVH.EVAP1HDS.PROD.EVAP1.BAL</t>
  </si>
  <si>
    <t>HDS.EVAP1.BIASHDS.PROD.EVAP1.BAL</t>
  </si>
  <si>
    <t>HFB.PROD.EVAP2HDS.PROD.EVAP2.BAL</t>
  </si>
  <si>
    <t>HDS.PROD.EVAP2HDS.PROD.EVAP2.BAL</t>
  </si>
  <si>
    <t>HDS.OVH.EVAP2HDS.PROD.EVAP2.BAL</t>
  </si>
  <si>
    <t>HDS.EVAP2.BIASHDS.PROD.EVAP2.BAL</t>
  </si>
  <si>
    <t>HFB.PROD.EVAP3HDS.PROD.EVAP3.BAL</t>
  </si>
  <si>
    <t>HDS.PROD.EVAP3HDS.PROD.EVAP3.BAL</t>
  </si>
  <si>
    <t>HDS.OVH.EVAP3HDS.PROD.EVAP3.BAL</t>
  </si>
  <si>
    <t>HDS.EVAP3.BIASHDS.PROD.EVAP3.BAL</t>
  </si>
  <si>
    <t>HFB.PROD.TCLHDS.PROD.TCL.BAL</t>
  </si>
  <si>
    <t>HDS.OVH.TCLHDS.PROD.TCL.BAL</t>
  </si>
  <si>
    <t>HDS.PROD.TCLHDS.PROD.TCL.BAL</t>
  </si>
  <si>
    <t>HDS.TCL.BIASHDS.PROD.TCL.BAL</t>
  </si>
  <si>
    <t>HFB.PROD.TFLHDS.PROD.TFL.BAL</t>
  </si>
  <si>
    <t>HDS.OVH.TFLHDS.PROD.TFL.BAL</t>
  </si>
  <si>
    <t>HDS.PROD.TFLHDS.PROD.TFL.BAL</t>
  </si>
  <si>
    <t>HDS.TFL.BIASHDS.PROD.TFL.BAL</t>
  </si>
  <si>
    <t>CV112.UnforcedPred_DR</t>
  </si>
  <si>
    <t>CV113.UnforcedPred_DR</t>
  </si>
  <si>
    <t>CV114.UnforcedPred_DR</t>
  </si>
  <si>
    <t>CV115.UnforcedPred_DR</t>
  </si>
  <si>
    <t>CV116.UnforcedPred_DR</t>
  </si>
  <si>
    <t>CV117.UnforcedPred_DR</t>
  </si>
  <si>
    <t>CV118.UnforcedPred_DR</t>
  </si>
  <si>
    <t>CV119.UnforcedPred_DR</t>
  </si>
  <si>
    <t>CV120.UnforcedPred_DR</t>
  </si>
  <si>
    <t>CV121.UnforcedPred_DR</t>
  </si>
  <si>
    <t>CV122.UnforcedPred_DR</t>
  </si>
  <si>
    <t>CV123.UnforcedPred_DR</t>
  </si>
  <si>
    <t>MV148.Current</t>
  </si>
  <si>
    <t>MV149.Current</t>
  </si>
  <si>
    <t>MV150.Current</t>
  </si>
  <si>
    <t>MV151.Current</t>
  </si>
  <si>
    <t>MV152.Current</t>
  </si>
  <si>
    <t>MV153.Current</t>
  </si>
  <si>
    <t>MV154.Current</t>
  </si>
  <si>
    <t>MV155.Current</t>
  </si>
  <si>
    <t>MV156.Current</t>
  </si>
  <si>
    <t>MV157.Current</t>
  </si>
  <si>
    <t>MV158.Current</t>
  </si>
  <si>
    <t>MV159.Current</t>
  </si>
  <si>
    <t>MV160.Current</t>
  </si>
  <si>
    <t>GDOT_DR.MD_CDU_HYDROTREATERS_ENG.1</t>
  </si>
  <si>
    <t>*GDOT_DR.MD_CDU_HYDROTREATERS_ENG.1</t>
  </si>
  <si>
    <t>MD_CDU_HYDROTREATERS_ENG</t>
  </si>
  <si>
    <t>KERHT.PROD.SGAI_73_SG.PV</t>
  </si>
  <si>
    <t>KERHT.PROD.TCLAI_73_TCL.PV</t>
  </si>
  <si>
    <t>KERHT.PROD.TFLAI_73_TFL.PV</t>
  </si>
  <si>
    <t>KERHT.PROD.TFZAI_73_TFZ.PV</t>
  </si>
  <si>
    <t>DS113</t>
  </si>
  <si>
    <t>DU114</t>
  </si>
  <si>
    <t>DL115</t>
  </si>
  <si>
    <t>EE119</t>
  </si>
  <si>
    <t>HDS.PROD.CIAI_42_CI.PV</t>
  </si>
  <si>
    <t>EN124</t>
  </si>
  <si>
    <t>HDS.PROD.SGAI_42_SG.PV</t>
  </si>
  <si>
    <t>HDS.PROD.TCLAI_42_TCL.PV</t>
  </si>
  <si>
    <t>HDS.PROD.TFLAI_42_TFL.PV</t>
  </si>
  <si>
    <t>CX132</t>
  </si>
  <si>
    <t>EX132</t>
  </si>
  <si>
    <t>CI135</t>
  </si>
  <si>
    <t>CV124.UnforcedPred_DR</t>
  </si>
  <si>
    <t>CV125.UnforcedPred_DR</t>
  </si>
  <si>
    <t>CV126.UnforcedPred_DR</t>
  </si>
  <si>
    <t>CV127.UnforcedPred_DR</t>
  </si>
  <si>
    <t>CV128.UnforcedPred_DR</t>
  </si>
  <si>
    <t>CV129.UnforcedPred_DR</t>
  </si>
  <si>
    <t>CV130.UnforcedPred_DR</t>
  </si>
  <si>
    <t>CV131.UnforcedPred_DR</t>
  </si>
  <si>
    <t>C:\GDOT Apps\MD_CDU_HYDROTREATERS_ENG\MD_CDU_HYDROTREATERS_ENG.gdu</t>
  </si>
  <si>
    <t>RUNNING</t>
  </si>
  <si>
    <t>DSL_EVAP_T4</t>
  </si>
  <si>
    <t>CDU1.SC2.EVAP4.BAL</t>
  </si>
  <si>
    <t>CDU1.SC3.EVAP4.BAL</t>
  </si>
  <si>
    <t>CDU1.SC2.T955</t>
  </si>
  <si>
    <t>CDU1.SC3.T955</t>
  </si>
  <si>
    <t>CDU1.SC2.EVAP4</t>
  </si>
  <si>
    <t>CDU1.SC3.EVAP4</t>
  </si>
  <si>
    <t>HFB.PROD.EVAP4.BAL</t>
  </si>
  <si>
    <t>HFB.FD4.EVAP4.BAL</t>
  </si>
  <si>
    <t>HFB.FD4.EVAP4</t>
  </si>
  <si>
    <t>HFB.PROD.EVAP4</t>
  </si>
  <si>
    <t>HDS.PROD.EVAP4.BAL</t>
  </si>
  <si>
    <t>HDS.PROD.EVAP4</t>
  </si>
  <si>
    <t>HDS.OVH.EVAP4</t>
  </si>
  <si>
    <t>HDS.EVAP4.BIAS</t>
  </si>
  <si>
    <t>N66</t>
  </si>
  <si>
    <t>N67</t>
  </si>
  <si>
    <t>P67</t>
  </si>
  <si>
    <t>CDU1.SC1.T95CDU1.SC2.EVAP4.BAL</t>
  </si>
  <si>
    <t>W43</t>
  </si>
  <si>
    <t>W48</t>
  </si>
  <si>
    <t>W51</t>
  </si>
  <si>
    <t>W54</t>
  </si>
  <si>
    <t>W57</t>
  </si>
  <si>
    <t>W58</t>
  </si>
  <si>
    <t>W62</t>
  </si>
  <si>
    <t>W65</t>
  </si>
  <si>
    <t>T48</t>
  </si>
  <si>
    <t>T51</t>
  </si>
  <si>
    <t>T54</t>
  </si>
  <si>
    <t>T57</t>
  </si>
  <si>
    <t>T62</t>
  </si>
  <si>
    <t>T65</t>
  </si>
  <si>
    <t>T66</t>
  </si>
  <si>
    <t>Q67</t>
  </si>
  <si>
    <t>AD46</t>
  </si>
  <si>
    <t>CDU1.SC2.T95CDU1.SC3.EVAP4.BAL</t>
  </si>
  <si>
    <t>AD49</t>
  </si>
  <si>
    <t>AD52</t>
  </si>
  <si>
    <t>AD55</t>
  </si>
  <si>
    <t>AD58</t>
  </si>
  <si>
    <t>AD59</t>
  </si>
  <si>
    <t>AD63</t>
  </si>
  <si>
    <t>AD64</t>
  </si>
  <si>
    <t>R67</t>
  </si>
  <si>
    <t>AJ50</t>
  </si>
  <si>
    <t>AJ53</t>
  </si>
  <si>
    <t>AJ56</t>
  </si>
  <si>
    <t>AJ59</t>
  </si>
  <si>
    <t>AJ64</t>
  </si>
  <si>
    <t>CDU1.SC2.T955CDU1.SC2.MPT.BAL</t>
  </si>
  <si>
    <t>AU36</t>
  </si>
  <si>
    <t>CDU1.SC2.T955CDU1.SC2.EVAP1.BAL</t>
  </si>
  <si>
    <t>AU40</t>
  </si>
  <si>
    <t>CDU1.SC2.T955CDU1.SC2.EVAP2.BAL</t>
  </si>
  <si>
    <t>AU41</t>
  </si>
  <si>
    <t>CDU1.SC2.T955CDU1.SC2.EVAP3.BAL</t>
  </si>
  <si>
    <t>AU42</t>
  </si>
  <si>
    <t>CDU1.SC2.T955CDU1.SC2.EVAP4.BAL</t>
  </si>
  <si>
    <t>AU43</t>
  </si>
  <si>
    <t>AY37</t>
  </si>
  <si>
    <t>AY44</t>
  </si>
  <si>
    <t>AY45</t>
  </si>
  <si>
    <t>AY46</t>
  </si>
  <si>
    <t>CDU1.SC3.T955CDU1.SC3.MPT.BAL</t>
  </si>
  <si>
    <t>AZ37</t>
  </si>
  <si>
    <t>CDU1.SC3.T955CDU1.SC3.EVAP1.BAL</t>
  </si>
  <si>
    <t>AZ44</t>
  </si>
  <si>
    <t>CDU1.SC3.T955CDU1.SC3.EVAP2.BAL</t>
  </si>
  <si>
    <t>AZ45</t>
  </si>
  <si>
    <t>CDU1.SC3.T955CDU1.SC3.EVAP3.BAL</t>
  </si>
  <si>
    <t>AZ46</t>
  </si>
  <si>
    <t>CDU1.SC3.T955CDU1.SC3.EVAP4.BAL</t>
  </si>
  <si>
    <t>AZ47</t>
  </si>
  <si>
    <t>BA38</t>
  </si>
  <si>
    <t>BB39</t>
  </si>
  <si>
    <t>BC40</t>
  </si>
  <si>
    <t>BC60</t>
  </si>
  <si>
    <t>BD41</t>
  </si>
  <si>
    <t>BE42</t>
  </si>
  <si>
    <t>CDU1.SC2.EVAP4CDU1.SC2.EVAP4.BAL</t>
  </si>
  <si>
    <t>BF43</t>
  </si>
  <si>
    <t>BG44</t>
  </si>
  <si>
    <t>BG61</t>
  </si>
  <si>
    <t>BH45</t>
  </si>
  <si>
    <t>BI46</t>
  </si>
  <si>
    <t>CDU1.SC3.EVAP4CDU1.SC3.EVAP4.BAL</t>
  </si>
  <si>
    <t>BJ47</t>
  </si>
  <si>
    <t>BK48</t>
  </si>
  <si>
    <t>BK49</t>
  </si>
  <si>
    <t>BK50</t>
  </si>
  <si>
    <t>BK51</t>
  </si>
  <si>
    <t>BK53</t>
  </si>
  <si>
    <t>U48</t>
  </si>
  <si>
    <t>AB49</t>
  </si>
  <si>
    <t>AH50</t>
  </si>
  <si>
    <t>BL51</t>
  </si>
  <si>
    <t>AA52</t>
  </si>
  <si>
    <t>AG53</t>
  </si>
  <si>
    <t>BM55</t>
  </si>
  <si>
    <t>BM56</t>
  </si>
  <si>
    <t>BN54</t>
  </si>
  <si>
    <t>Y54</t>
  </si>
  <si>
    <t>BO54</t>
  </si>
  <si>
    <t>AF55</t>
  </si>
  <si>
    <t>BP55</t>
  </si>
  <si>
    <t>AL56</t>
  </si>
  <si>
    <t>BQ56</t>
  </si>
  <si>
    <t>BR57</t>
  </si>
  <si>
    <t>BR58</t>
  </si>
  <si>
    <t>BR59</t>
  </si>
  <si>
    <t>BS57</t>
  </si>
  <si>
    <t>BS58</t>
  </si>
  <si>
    <t>BS59</t>
  </si>
  <si>
    <t>V57</t>
  </si>
  <si>
    <t>AC60</t>
  </si>
  <si>
    <t>AI61</t>
  </si>
  <si>
    <t>BT60</t>
  </si>
  <si>
    <t>BU61</t>
  </si>
  <si>
    <t>BV62</t>
  </si>
  <si>
    <t>BV63</t>
  </si>
  <si>
    <t>BV64</t>
  </si>
  <si>
    <t>BW62</t>
  </si>
  <si>
    <t>BW63</t>
  </si>
  <si>
    <t>BW64</t>
  </si>
  <si>
    <t>X62</t>
  </si>
  <si>
    <t>AE63</t>
  </si>
  <si>
    <t>AK64</t>
  </si>
  <si>
    <t>BX65</t>
  </si>
  <si>
    <t>BY65</t>
  </si>
  <si>
    <t>Z65</t>
  </si>
  <si>
    <t>O66</t>
  </si>
  <si>
    <t>O67</t>
  </si>
  <si>
    <t>S67</t>
  </si>
  <si>
    <t>J68</t>
  </si>
  <si>
    <t>BZ68</t>
  </si>
  <si>
    <t>CA68</t>
  </si>
  <si>
    <t>CB69</t>
  </si>
  <si>
    <t>CC70</t>
  </si>
  <si>
    <t>CG69</t>
  </si>
  <si>
    <t>BZ70</t>
  </si>
  <si>
    <t>K71</t>
  </si>
  <si>
    <t>L72</t>
  </si>
  <si>
    <t>CH73</t>
  </si>
  <si>
    <t>CI74</t>
  </si>
  <si>
    <t>CJ75</t>
  </si>
  <si>
    <t>CK76</t>
  </si>
  <si>
    <t>CL77</t>
  </si>
  <si>
    <t>CM78</t>
  </si>
  <si>
    <t>CN79</t>
  </si>
  <si>
    <t>CO80</t>
  </si>
  <si>
    <t>CP81</t>
  </si>
  <si>
    <t>CQ82</t>
  </si>
  <si>
    <t>CR83</t>
  </si>
  <si>
    <t>CS84</t>
  </si>
  <si>
    <t>CT85</t>
  </si>
  <si>
    <t>CU86</t>
  </si>
  <si>
    <t>CV70</t>
  </si>
  <si>
    <t>CV71</t>
  </si>
  <si>
    <t>CV72</t>
  </si>
  <si>
    <t>U87</t>
  </si>
  <si>
    <t>U88</t>
  </si>
  <si>
    <t>AB88</t>
  </si>
  <si>
    <t>AB89</t>
  </si>
  <si>
    <t>AH88</t>
  </si>
  <si>
    <t>AH89</t>
  </si>
  <si>
    <t>CP87</t>
  </si>
  <si>
    <t>CP88</t>
  </si>
  <si>
    <t>CP89</t>
  </si>
  <si>
    <t>CB91</t>
  </si>
  <si>
    <t>HFB.PROD.FLOWHFB.PROD.EVAP4.BAL</t>
  </si>
  <si>
    <t>CB96</t>
  </si>
  <si>
    <t>CB97</t>
  </si>
  <si>
    <t>CB98</t>
  </si>
  <si>
    <t>CC87</t>
  </si>
  <si>
    <t>CC88</t>
  </si>
  <si>
    <t>CC90</t>
  </si>
  <si>
    <t>CC91</t>
  </si>
  <si>
    <t>CC92</t>
  </si>
  <si>
    <t>HFB.FD1.FLOWHFB.PROD.EVAP4.BAL</t>
  </si>
  <si>
    <t>CC93</t>
  </si>
  <si>
    <t>CC95</t>
  </si>
  <si>
    <t>CC96</t>
  </si>
  <si>
    <t>CC97</t>
  </si>
  <si>
    <t>CC98</t>
  </si>
  <si>
    <t>CD87</t>
  </si>
  <si>
    <t>CD88</t>
  </si>
  <si>
    <t>CD89</t>
  </si>
  <si>
    <t>CD90</t>
  </si>
  <si>
    <t>CD91</t>
  </si>
  <si>
    <t>CD92</t>
  </si>
  <si>
    <t>HFB.FD2.FLOWHFB.PROD.EVAP4.BAL</t>
  </si>
  <si>
    <t>CD93</t>
  </si>
  <si>
    <t>CD95</t>
  </si>
  <si>
    <t>CD96</t>
  </si>
  <si>
    <t>CD97</t>
  </si>
  <si>
    <t>CD98</t>
  </si>
  <si>
    <t>CE87</t>
  </si>
  <si>
    <t>CE88</t>
  </si>
  <si>
    <t>CE89</t>
  </si>
  <si>
    <t>CE90</t>
  </si>
  <si>
    <t>CE91</t>
  </si>
  <si>
    <t>CE92</t>
  </si>
  <si>
    <t>HFB.FD3.FLOWHFB.PROD.EVAP4.BAL</t>
  </si>
  <si>
    <t>CE93</t>
  </si>
  <si>
    <t>CE95</t>
  </si>
  <si>
    <t>CE96</t>
  </si>
  <si>
    <t>CE97</t>
  </si>
  <si>
    <t>CE98</t>
  </si>
  <si>
    <t>CF88</t>
  </si>
  <si>
    <t>CF89</t>
  </si>
  <si>
    <t>CF90</t>
  </si>
  <si>
    <t>CF91</t>
  </si>
  <si>
    <t>CF92</t>
  </si>
  <si>
    <t>HFB.FD4.FLOWHFB.PROD.EVAP4.BAL</t>
  </si>
  <si>
    <t>CF93</t>
  </si>
  <si>
    <t>CF95</t>
  </si>
  <si>
    <t>CF96</t>
  </si>
  <si>
    <t>CF97</t>
  </si>
  <si>
    <t>CF98</t>
  </si>
  <si>
    <t>CJ87</t>
  </si>
  <si>
    <t>CJ88</t>
  </si>
  <si>
    <t>CJ89</t>
  </si>
  <si>
    <t>V88</t>
  </si>
  <si>
    <t>AC88</t>
  </si>
  <si>
    <t>AI88</t>
  </si>
  <si>
    <t>CQ88</t>
  </si>
  <si>
    <t>CQ103</t>
  </si>
  <si>
    <t>CK88</t>
  </si>
  <si>
    <t>BT89</t>
  </si>
  <si>
    <t>BU89</t>
  </si>
  <si>
    <t>CW89</t>
  </si>
  <si>
    <t>CW103</t>
  </si>
  <si>
    <t>CX89</t>
  </si>
  <si>
    <t>BD91</t>
  </si>
  <si>
    <t>BE92</t>
  </si>
  <si>
    <t>CDU1.SC2.EVAP4HFB.PROD.EVAP4.BAL</t>
  </si>
  <si>
    <t>BF93</t>
  </si>
  <si>
    <t>BG90</t>
  </si>
  <si>
    <t>BH91</t>
  </si>
  <si>
    <t>BI92</t>
  </si>
  <si>
    <t>CDU1.SC3.EVAP4HFB.PROD.EVAP4.BAL</t>
  </si>
  <si>
    <t>BJ93</t>
  </si>
  <si>
    <t>CY90</t>
  </si>
  <si>
    <t>CY99</t>
  </si>
  <si>
    <t>CY103</t>
  </si>
  <si>
    <t>CZ100</t>
  </si>
  <si>
    <t>DA92</t>
  </si>
  <si>
    <t>DA101</t>
  </si>
  <si>
    <t>HFB.FD4.EVAP4HFB.PROD.EVAP4.BAL</t>
  </si>
  <si>
    <t>DB93</t>
  </si>
  <si>
    <t>HFB.FD4.EVAP4HFB.FD4.EVAP4.BAL</t>
  </si>
  <si>
    <t>DB102</t>
  </si>
  <si>
    <t>DC90</t>
  </si>
  <si>
    <t>DC94</t>
  </si>
  <si>
    <t>DD91</t>
  </si>
  <si>
    <t>DD94</t>
  </si>
  <si>
    <t>DE92</t>
  </si>
  <si>
    <t>DE94</t>
  </si>
  <si>
    <t>HFB.PROD.EVAP4HFB.PROD.EVAP4.BAL</t>
  </si>
  <si>
    <t>DF93</t>
  </si>
  <si>
    <t>HFB.PROD.EVAP4HFB.PROD.T95.BAL</t>
  </si>
  <si>
    <t>DF94</t>
  </si>
  <si>
    <t>BL97</t>
  </si>
  <si>
    <t>AA97</t>
  </si>
  <si>
    <t>AG97</t>
  </si>
  <si>
    <t>CI97</t>
  </si>
  <si>
    <t>X95</t>
  </si>
  <si>
    <t>AE95</t>
  </si>
  <si>
    <t>AK95</t>
  </si>
  <si>
    <t>CT95</t>
  </si>
  <si>
    <t>CM95</t>
  </si>
  <si>
    <t>Y96</t>
  </si>
  <si>
    <t>AF96</t>
  </si>
  <si>
    <t>AL96</t>
  </si>
  <si>
    <t>CR99</t>
  </si>
  <si>
    <t>CR100</t>
  </si>
  <si>
    <t>CR101</t>
  </si>
  <si>
    <t>HFB.FD4.T05HFB.FD4.EVAP4.BAL</t>
  </si>
  <si>
    <t>CR102</t>
  </si>
  <si>
    <t>CS100</t>
  </si>
  <si>
    <t>CS101</t>
  </si>
  <si>
    <t>HFB.FD4.T95HFB.FD4.EVAP4.BAL</t>
  </si>
  <si>
    <t>CS102</t>
  </si>
  <si>
    <t>CL94</t>
  </si>
  <si>
    <t>DG108</t>
  </si>
  <si>
    <t>DH105</t>
  </si>
  <si>
    <t>DI104</t>
  </si>
  <si>
    <t>DJ109</t>
  </si>
  <si>
    <t>CA108</t>
  </si>
  <si>
    <t>DM105</t>
  </si>
  <si>
    <t>DN104</t>
  </si>
  <si>
    <t>DO106</t>
  </si>
  <si>
    <t>DP107</t>
  </si>
  <si>
    <t>DQ110</t>
  </si>
  <si>
    <t>DR111</t>
  </si>
  <si>
    <t>DT112</t>
  </si>
  <si>
    <t>DG114</t>
  </si>
  <si>
    <t>DG115</t>
  </si>
  <si>
    <t>DG116</t>
  </si>
  <si>
    <t>DG117</t>
  </si>
  <si>
    <t>DG118</t>
  </si>
  <si>
    <t>DG119</t>
  </si>
  <si>
    <t>DG120</t>
  </si>
  <si>
    <t>DG121</t>
  </si>
  <si>
    <t>DI114</t>
  </si>
  <si>
    <t>DH114</t>
  </si>
  <si>
    <t>DJ114</t>
  </si>
  <si>
    <t>DK115</t>
  </si>
  <si>
    <t>DK116</t>
  </si>
  <si>
    <t>DK117</t>
  </si>
  <si>
    <t>DK118</t>
  </si>
  <si>
    <t>DK119</t>
  </si>
  <si>
    <t>DK120</t>
  </si>
  <si>
    <t>DK121</t>
  </si>
  <si>
    <t>DL116</t>
  </si>
  <si>
    <t>DL117</t>
  </si>
  <si>
    <t>DL118</t>
  </si>
  <si>
    <t>DL119</t>
  </si>
  <si>
    <t>DL120</t>
  </si>
  <si>
    <t>DL121</t>
  </si>
  <si>
    <t>DV115</t>
  </si>
  <si>
    <t>DV117</t>
  </si>
  <si>
    <t>DV118</t>
  </si>
  <si>
    <t>DV119</t>
  </si>
  <si>
    <t>DV120</t>
  </si>
  <si>
    <t>DV121</t>
  </si>
  <si>
    <t>U116</t>
  </si>
  <si>
    <t>DQ116</t>
  </si>
  <si>
    <t>DW116</t>
  </si>
  <si>
    <t>BA117</t>
  </si>
  <si>
    <t>DX117</t>
  </si>
  <si>
    <t>DY117</t>
  </si>
  <si>
    <t>DZ117</t>
  </si>
  <si>
    <t>BB118</t>
  </si>
  <si>
    <t>EA118</t>
  </si>
  <si>
    <t>EB118</t>
  </si>
  <si>
    <t>EC118</t>
  </si>
  <si>
    <t>X119</t>
  </si>
  <si>
    <t>ED119</t>
  </si>
  <si>
    <t>DR119</t>
  </si>
  <si>
    <t>Z120</t>
  </si>
  <si>
    <t>EF120</t>
  </si>
  <si>
    <t>DT120</t>
  </si>
  <si>
    <t>EG120</t>
  </si>
  <si>
    <t>Y121</t>
  </si>
  <si>
    <t>EH121</t>
  </si>
  <si>
    <t>DS121</t>
  </si>
  <si>
    <t>EJ126</t>
  </si>
  <si>
    <t>EK123</t>
  </si>
  <si>
    <t>EL122</t>
  </si>
  <si>
    <t>EM127</t>
  </si>
  <si>
    <t>CG126</t>
  </si>
  <si>
    <t>EP123</t>
  </si>
  <si>
    <t>EQ122</t>
  </si>
  <si>
    <t>ER124</t>
  </si>
  <si>
    <t>ES125</t>
  </si>
  <si>
    <t>ET128</t>
  </si>
  <si>
    <t>EU129</t>
  </si>
  <si>
    <t>EV130</t>
  </si>
  <si>
    <t>EW131</t>
  </si>
  <si>
    <t>EJ132</t>
  </si>
  <si>
    <t>EJ133</t>
  </si>
  <si>
    <t>EJ134</t>
  </si>
  <si>
    <t>EJ135</t>
  </si>
  <si>
    <t>EJ136</t>
  </si>
  <si>
    <t>EJ137</t>
  </si>
  <si>
    <t>EJ138</t>
  </si>
  <si>
    <t>HDS.FEED.FLOWHDS.PROD.EVAP4.BAL</t>
  </si>
  <si>
    <t>EJ139</t>
  </si>
  <si>
    <t>EJ140</t>
  </si>
  <si>
    <t>EJ141</t>
  </si>
  <si>
    <t>EL132</t>
  </si>
  <si>
    <t>EK132</t>
  </si>
  <si>
    <t>EM132</t>
  </si>
  <si>
    <t>EN133</t>
  </si>
  <si>
    <t>EN134</t>
  </si>
  <si>
    <t>EN135</t>
  </si>
  <si>
    <t>EN136</t>
  </si>
  <si>
    <t>EN137</t>
  </si>
  <si>
    <t>EN138</t>
  </si>
  <si>
    <t>HDS.PROD.FLOWHDS.PROD.EVAP4.BAL</t>
  </si>
  <si>
    <t>EN139</t>
  </si>
  <si>
    <t>EN140</t>
  </si>
  <si>
    <t>EN141</t>
  </si>
  <si>
    <t>EO133</t>
  </si>
  <si>
    <t>EO134</t>
  </si>
  <si>
    <t>EO135</t>
  </si>
  <si>
    <t>EO136</t>
  </si>
  <si>
    <t>EO137</t>
  </si>
  <si>
    <t>EO138</t>
  </si>
  <si>
    <t>HDS.OVH.FLOWHDS.PROD.EVAP4.BAL</t>
  </si>
  <si>
    <t>EO139</t>
  </si>
  <si>
    <t>EO140</t>
  </si>
  <si>
    <t>EO141</t>
  </si>
  <si>
    <t>EY133</t>
  </si>
  <si>
    <t>EY135</t>
  </si>
  <si>
    <t>EY136</t>
  </si>
  <si>
    <t>EY137</t>
  </si>
  <si>
    <t>EY138</t>
  </si>
  <si>
    <t>HDS.FLOW.BIASHDS.PROD.EVAP4.BAL</t>
  </si>
  <si>
    <t>EY139</t>
  </si>
  <si>
    <t>EY140</t>
  </si>
  <si>
    <t>EY141</t>
  </si>
  <si>
    <t>CJ134</t>
  </si>
  <si>
    <t>EU134</t>
  </si>
  <si>
    <t>EZ134</t>
  </si>
  <si>
    <t>ET135</t>
  </si>
  <si>
    <t>FA135</t>
  </si>
  <si>
    <t>FB135</t>
  </si>
  <si>
    <t>DC136</t>
  </si>
  <si>
    <t>FC136</t>
  </si>
  <si>
    <t>FD136</t>
  </si>
  <si>
    <t>FE136</t>
  </si>
  <si>
    <t>DD137</t>
  </si>
  <si>
    <t>FF137</t>
  </si>
  <si>
    <t>FG137</t>
  </si>
  <si>
    <t>FH137</t>
  </si>
  <si>
    <t>DE138</t>
  </si>
  <si>
    <t>FI138</t>
  </si>
  <si>
    <t>FJ138</t>
  </si>
  <si>
    <t>FK138</t>
  </si>
  <si>
    <t>HFB.PROD.EVAP4HDS.PROD.EVAP4.BAL</t>
  </si>
  <si>
    <t>DF139</t>
  </si>
  <si>
    <t>HDS.PROD.EVAP4HDS.PROD.EVAP4.BAL</t>
  </si>
  <si>
    <t>FL139</t>
  </si>
  <si>
    <t>HDS.OVH.EVAP4HDS.PROD.EVAP4.BAL</t>
  </si>
  <si>
    <t>FM139</t>
  </si>
  <si>
    <t>HDS.EVAP4.BIASHDS.PROD.EVAP4.BAL</t>
  </si>
  <si>
    <t>FN139</t>
  </si>
  <si>
    <t>CM140</t>
  </si>
  <si>
    <t>FO140</t>
  </si>
  <si>
    <t>EV140</t>
  </si>
  <si>
    <t>FP140</t>
  </si>
  <si>
    <t>CN141</t>
  </si>
  <si>
    <t>FQ141</t>
  </si>
  <si>
    <t>EW141</t>
  </si>
  <si>
    <t>FR141</t>
  </si>
  <si>
    <t>CV132.UnforcedPred_DR</t>
  </si>
  <si>
    <t>CV133.UnforcedPred_DR</t>
  </si>
  <si>
    <t>CV134.UnforcedPred_DR</t>
  </si>
  <si>
    <t>CV135.UnforcedPred_DR</t>
  </si>
  <si>
    <t>CV136.UnforcedPred_DR</t>
  </si>
  <si>
    <t>MV161.Current</t>
  </si>
  <si>
    <t>MV162.Current</t>
  </si>
  <si>
    <t>MV163.Current</t>
  </si>
  <si>
    <t>MV164.Current</t>
  </si>
  <si>
    <t>MV165.Current</t>
  </si>
  <si>
    <t>MV166.Current</t>
  </si>
  <si>
    <t>MV167.Current</t>
  </si>
  <si>
    <t>MV168.Current</t>
  </si>
  <si>
    <t>MV169.Current</t>
  </si>
  <si>
    <t>MV69.GlobalQPTarget</t>
  </si>
  <si>
    <t>MV70.GlobalQPTarget</t>
  </si>
  <si>
    <t>MV71.GlobalQPTarget</t>
  </si>
  <si>
    <t>MV72.GlobalQPTarget</t>
  </si>
  <si>
    <t>MV60.GlobalQPTarget</t>
  </si>
  <si>
    <t>MV58.GlobalQPTarget</t>
  </si>
  <si>
    <t>MV46.GlobalQPTarget</t>
  </si>
  <si>
    <t>CDU1.SC2.T955.Write</t>
  </si>
  <si>
    <t>CDU1.SC3.T955.Write</t>
  </si>
  <si>
    <t>MV47.GlobalQPTarget</t>
  </si>
  <si>
    <t>26/06/2020 16:19:27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</si>
</sst>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24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b/>
      <sz val="8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name val="Arial Narrow"/>
      <family val="2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rgb="FFFF0000"/>
      <name val="Arial Narrow"/>
      <family val="2"/>
    </font>
    <font>
      <b/>
      <sz val="8"/>
      <color rgb="FF00B050"/>
      <name val="Arial Narrow"/>
      <family val="2"/>
    </font>
    <font>
      <b/>
      <sz val="8"/>
      <color rgb="FFFF0000"/>
      <name val="Arial"/>
      <family val="2"/>
    </font>
    <font>
      <sz val="10"/>
      <color rgb="FF000000"/>
      <name val="Arial"/>
      <family val="2"/>
    </font>
    <font>
      <sz val="11"/>
      <color rgb="FF201F1E"/>
      <name val="Segoe UI"/>
      <family val="2"/>
    </font>
    <font>
      <sz val="10"/>
      <color rgb="FF201F1E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57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12" fillId="3" borderId="0" applyNumberFormat="0" applyBorder="0" applyAlignment="0" applyProtection="0"/>
    <xf numFmtId="0" fontId="13" fillId="4" borderId="0" applyNumberFormat="0" applyBorder="0" applyAlignment="0" applyProtection="0"/>
    <xf numFmtId="0" fontId="15" fillId="5" borderId="4" applyNumberFormat="0" applyAlignment="0" applyProtection="0"/>
  </cellStyleXfs>
  <cellXfs count="80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Fill="1"/>
    <xf numFmtId="0" fontId="0" fillId="0" borderId="3" xfId="0" applyFill="1" applyBorder="1"/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6" fillId="0" borderId="0" xfId="0" applyFont="1"/>
    <xf numFmtId="0" fontId="6" fillId="0" borderId="0" xfId="0" applyFont="1" applyProtection="1"/>
    <xf numFmtId="0" fontId="7" fillId="0" borderId="0" xfId="0" applyFont="1" applyProtection="1"/>
    <xf numFmtId="0" fontId="7" fillId="0" borderId="0" xfId="0" applyFont="1" applyProtection="1">
      <protection locked="0"/>
    </xf>
    <xf numFmtId="0" fontId="7" fillId="0" borderId="0" xfId="0" applyFont="1" applyAlignment="1" applyProtection="1">
      <alignment wrapText="1"/>
    </xf>
    <xf numFmtId="0" fontId="7" fillId="0" borderId="0" xfId="0" applyFont="1" applyAlignment="1" applyProtection="1">
      <alignment wrapText="1"/>
      <protection locked="0"/>
    </xf>
    <xf numFmtId="0" fontId="2" fillId="0" borderId="0" xfId="0" applyFont="1" applyProtection="1"/>
    <xf numFmtId="0" fontId="8" fillId="0" borderId="0" xfId="0" applyFont="1" applyProtection="1"/>
    <xf numFmtId="0" fontId="2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wrapText="1"/>
    </xf>
    <xf numFmtId="0" fontId="8" fillId="0" borderId="0" xfId="0" quotePrefix="1" applyFont="1" applyAlignment="1" applyProtection="1">
      <alignment wrapText="1"/>
    </xf>
    <xf numFmtId="164" fontId="6" fillId="0" borderId="0" xfId="0" applyNumberFormat="1" applyFont="1"/>
    <xf numFmtId="0" fontId="0" fillId="0" borderId="0" xfId="0" applyAlignment="1">
      <alignment horizontal="center"/>
    </xf>
    <xf numFmtId="2" fontId="0" fillId="0" borderId="0" xfId="0" applyNumberFormat="1"/>
    <xf numFmtId="0" fontId="9" fillId="2" borderId="0" xfId="0" applyFont="1" applyFill="1"/>
    <xf numFmtId="0" fontId="0" fillId="0" borderId="0" xfId="0" applyProtection="1"/>
    <xf numFmtId="49" fontId="1" fillId="0" borderId="0" xfId="0" applyNumberFormat="1" applyFont="1"/>
    <xf numFmtId="0" fontId="1" fillId="0" borderId="0" xfId="0" applyFont="1"/>
    <xf numFmtId="0" fontId="1" fillId="0" borderId="0" xfId="0" quotePrefix="1" applyFont="1"/>
    <xf numFmtId="0" fontId="3" fillId="0" borderId="0" xfId="0" applyFont="1" applyProtection="1">
      <protection locked="0"/>
    </xf>
    <xf numFmtId="0" fontId="3" fillId="0" borderId="0" xfId="0" applyFont="1" applyProtection="1"/>
    <xf numFmtId="0" fontId="13" fillId="4" borderId="0" xfId="3"/>
    <xf numFmtId="0" fontId="12" fillId="3" borderId="0" xfId="2"/>
    <xf numFmtId="0" fontId="7" fillId="0" borderId="0" xfId="0" applyFont="1" applyAlignment="1" applyProtection="1">
      <alignment horizontal="right"/>
      <protection locked="0"/>
    </xf>
    <xf numFmtId="11" fontId="6" fillId="0" borderId="0" xfId="0" applyNumberFormat="1" applyFont="1" applyProtection="1">
      <protection locked="0"/>
    </xf>
    <xf numFmtId="0" fontId="1" fillId="0" borderId="1" xfId="0" applyFont="1" applyBorder="1"/>
    <xf numFmtId="0" fontId="1" fillId="0" borderId="2" xfId="0" applyFont="1" applyBorder="1"/>
    <xf numFmtId="0" fontId="1" fillId="0" borderId="0" xfId="0" applyNumberFormat="1" applyFont="1" applyFill="1" applyBorder="1" applyAlignment="1" applyProtection="1"/>
    <xf numFmtId="0" fontId="0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>
      <alignment textRotation="90"/>
    </xf>
    <xf numFmtId="0" fontId="1" fillId="0" borderId="0" xfId="0" applyNumberFormat="1" applyFont="1" applyFill="1" applyBorder="1" applyAlignment="1" applyProtection="1">
      <alignment horizontal="left" textRotation="90"/>
    </xf>
    <xf numFmtId="0" fontId="1" fillId="0" borderId="0" xfId="0" applyNumberFormat="1" applyFont="1" applyFill="1" applyBorder="1" applyAlignment="1" applyProtection="1">
      <alignment horizontal="left"/>
    </xf>
    <xf numFmtId="0" fontId="14" fillId="0" borderId="0" xfId="0" applyNumberFormat="1" applyFont="1" applyFill="1" applyBorder="1" applyAlignment="1" applyProtection="1">
      <alignment horizontal="left"/>
    </xf>
    <xf numFmtId="0" fontId="14" fillId="0" borderId="0" xfId="0" applyNumberFormat="1" applyFont="1" applyFill="1" applyBorder="1" applyAlignment="1" applyProtection="1"/>
    <xf numFmtId="49" fontId="1" fillId="0" borderId="0" xfId="0" quotePrefix="1" applyNumberFormat="1" applyFont="1"/>
    <xf numFmtId="0" fontId="16" fillId="5" borderId="4" xfId="4" applyNumberFormat="1" applyFont="1" applyAlignment="1" applyProtection="1"/>
    <xf numFmtId="0" fontId="15" fillId="5" borderId="4" xfId="4"/>
    <xf numFmtId="0" fontId="16" fillId="5" borderId="4" xfId="4" applyFont="1"/>
    <xf numFmtId="0" fontId="16" fillId="5" borderId="4" xfId="4" applyNumberFormat="1" applyFont="1" applyAlignment="1" applyProtection="1">
      <alignment horizontal="left"/>
    </xf>
    <xf numFmtId="0" fontId="16" fillId="5" borderId="4" xfId="4" applyNumberFormat="1" applyFont="1" applyAlignment="1" applyProtection="1">
      <alignment textRotation="90"/>
    </xf>
    <xf numFmtId="0" fontId="16" fillId="5" borderId="4" xfId="4" applyNumberFormat="1" applyFont="1" applyAlignment="1" applyProtection="1">
      <alignment horizontal="left" textRotation="90"/>
    </xf>
    <xf numFmtId="0" fontId="16" fillId="5" borderId="5" xfId="4" applyNumberFormat="1" applyFont="1" applyBorder="1" applyAlignment="1" applyProtection="1"/>
    <xf numFmtId="0" fontId="1" fillId="0" borderId="0" xfId="0" applyFont="1" applyFill="1" applyBorder="1"/>
    <xf numFmtId="0" fontId="16" fillId="5" borderId="5" xfId="4" applyFont="1" applyBorder="1"/>
    <xf numFmtId="0" fontId="17" fillId="5" borderId="4" xfId="4" applyFont="1"/>
    <xf numFmtId="0" fontId="0" fillId="0" borderId="0" xfId="0" applyAlignment="1">
      <alignment wrapText="1"/>
    </xf>
    <xf numFmtId="0" fontId="17" fillId="5" borderId="4" xfId="4" applyNumberFormat="1" applyFont="1" applyAlignment="1" applyProtection="1"/>
    <xf numFmtId="0" fontId="5" fillId="0" borderId="0" xfId="1" applyAlignment="1" applyProtection="1"/>
    <xf numFmtId="49" fontId="0" fillId="0" borderId="0" xfId="0" applyNumberFormat="1"/>
    <xf numFmtId="11" fontId="0" fillId="0" borderId="0" xfId="0" applyNumberFormat="1"/>
    <xf numFmtId="0" fontId="18" fillId="0" borderId="0" xfId="0" applyFont="1" applyAlignment="1" applyProtection="1">
      <alignment wrapText="1"/>
    </xf>
    <xf numFmtId="0" fontId="19" fillId="0" borderId="0" xfId="0" applyFont="1" applyAlignment="1" applyProtection="1">
      <alignment wrapText="1"/>
    </xf>
    <xf numFmtId="0" fontId="20" fillId="0" borderId="0" xfId="0" applyFont="1" applyAlignment="1" applyProtection="1">
      <alignment wrapText="1"/>
    </xf>
    <xf numFmtId="0" fontId="20" fillId="0" borderId="0" xfId="0" applyFont="1" applyProtection="1">
      <protection locked="0"/>
    </xf>
    <xf numFmtId="0" fontId="1" fillId="0" borderId="3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1" xfId="0" applyFill="1" applyBorder="1"/>
    <xf numFmtId="0" fontId="3" fillId="0" borderId="0" xfId="0" applyFont="1" applyBorder="1"/>
    <xf numFmtId="0" fontId="0" fillId="0" borderId="0" xfId="0" applyBorder="1"/>
    <xf numFmtId="0" fontId="0" fillId="0" borderId="0" xfId="0" quotePrefix="1"/>
    <xf numFmtId="0" fontId="21" fillId="7" borderId="0" xfId="0" applyFont="1" applyFill="1" applyProtection="1">
      <protection hidden="1"/>
    </xf>
    <xf numFmtId="0" fontId="3" fillId="0" borderId="0" xfId="0" applyFont="1" applyFill="1" applyBorder="1"/>
    <xf numFmtId="0" fontId="0" fillId="8" borderId="0" xfId="0" applyFill="1"/>
    <xf numFmtId="0" fontId="23" fillId="8" borderId="0" xfId="0" applyFont="1" applyFill="1" applyAlignment="1">
      <alignment vertical="center" wrapText="1"/>
    </xf>
    <xf numFmtId="0" fontId="23" fillId="8" borderId="0" xfId="0" applyFont="1" applyFill="1" applyAlignment="1">
      <alignment horizontal="right" vertical="center" wrapText="1"/>
    </xf>
    <xf numFmtId="0" fontId="22" fillId="8" borderId="0" xfId="0" applyFont="1" applyFill="1" applyAlignment="1">
      <alignment wrapText="1"/>
    </xf>
    <xf numFmtId="0" fontId="3" fillId="6" borderId="0" xfId="0" applyFont="1" applyFill="1" applyBorder="1"/>
    <xf numFmtId="22" fontId="0" fillId="0" borderId="0" xfId="0" applyNumberFormat="1"/>
    <xf numFmtId="0" fontId="0" fillId="9" borderId="0" xfId="0" applyFill="1"/>
  </cellXfs>
  <cellStyles count="5">
    <cellStyle name="Calculation" xfId="4" builtinId="22"/>
    <cellStyle name="Good" xfId="2" builtinId="26"/>
    <cellStyle name="Hyperlink" xfId="1" builtinId="8"/>
    <cellStyle name="Neutral" xfId="3" builtinId="28"/>
    <cellStyle name="Normal" xfId="0" builtinId="0"/>
  </cellStyles>
  <dxfs count="22"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1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sharedStrings" Target="sharedStrings.xml"/><Relationship Id="rId89" Type="http://schemas.openxmlformats.org/officeDocument/2006/relationships/customXml" Target="../customXml/item3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1.xml"/><Relationship Id="rId85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tyles" Target="styles.xml"/><Relationship Id="rId88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externalLink" Target="externalLinks/externalLink2.xml"/><Relationship Id="rId8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customXml" Target="../customXml/item1.xml"/><Relationship Id="rId61" Type="http://schemas.openxmlformats.org/officeDocument/2006/relationships/worksheet" Target="worksheets/sheet61.xml"/><Relationship Id="rId82" Type="http://schemas.openxmlformats.org/officeDocument/2006/relationships/theme" Target="theme/theme1.xml"/><Relationship Id="rId19" Type="http://schemas.openxmlformats.org/officeDocument/2006/relationships/worksheet" Target="worksheets/sheet1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0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AspenTech/GDOT%20Online/V12.0/Optimiser/GDOT%20v12.0%20Model%20Add-In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%20(x86)/AspenTech/GDOT%20Online/V12.0/Optimiser/GDOT%20v12.0%20Model%20Functions%20Add-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DOT v12.0 Model Add-In"/>
    </sheetNames>
    <definedNames>
      <definedName name="RefreshIndex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GDOT v12"/>
    </sheetNames>
    <definedNames>
      <definedName name="DLL_MD_CBN"/>
      <definedName name="DLL_MD_Cetane"/>
      <definedName name="DLL_MD_Cloud"/>
      <definedName name="DLL_MD_Cloud_Bias"/>
      <definedName name="DLL_MD_Cloud_Slope"/>
      <definedName name="DLL_MD_dCetanedFBP"/>
      <definedName name="DLL_MD_dCetanedIBP"/>
      <definedName name="DLL_MD_dCetanedK"/>
      <definedName name="DLL_MD_dClouddCompCloud"/>
      <definedName name="DLL_MD_dClouddCompFlow"/>
      <definedName name="DLL_MD_dClouddFBP"/>
      <definedName name="DLL_MD_dClouddIBP"/>
      <definedName name="DLL_MD_dClouddSlope"/>
      <definedName name="DLL_MD_dDensdFBP"/>
      <definedName name="DLL_MD_dDensdIBP"/>
      <definedName name="DLL_MD_dDensdK"/>
      <definedName name="DLL_MD_Dens"/>
      <definedName name="DLL_MD_dEvapdFBP"/>
      <definedName name="DLL_MD_dEvapdIBP"/>
      <definedName name="DLL_MD_dFlashdBias"/>
      <definedName name="DLL_MD_dFlashdBlend"/>
      <definedName name="DLL_MD_dFlashdCompFlash"/>
      <definedName name="DLL_MD_dFlashdCompFlow"/>
      <definedName name="DLL_MD_dFlashdFBP"/>
      <definedName name="DLL_MD_dFlashdIBP"/>
      <definedName name="DLL_MD_dFlashdSlope"/>
      <definedName name="DLL_MD_dFreezedFBP"/>
      <definedName name="DLL_MD_dFreezedIBP"/>
      <definedName name="DLL_MD_dFreezedSlope"/>
      <definedName name="DLL_MD_dGOClouddFeed"/>
      <definedName name="DLL_MD_dGOClouddFeedCloud"/>
      <definedName name="DLL_MD_dGOClouddNAPCloud"/>
      <definedName name="DLL_MD_dGOClouddNAPFlow"/>
      <definedName name="DLL_MD_dGOFlashdFeed"/>
      <definedName name="DLL_MD_dGOFlashdFeedFlash"/>
      <definedName name="DLL_MD_dGOFlashdNAPFlash"/>
      <definedName name="DLL_MD_dGOFlashdNAPFlow"/>
      <definedName name="DLL_MD_dGOFlashdProductFlow"/>
      <definedName name="DLL_MD_dGOFreezedFeed"/>
      <definedName name="DLL_MD_dGOFreezedFeedFreeze"/>
      <definedName name="DLL_MD_dGOFreezedNAPFlow"/>
      <definedName name="DLL_MD_dGOFreezedNAPFreeze"/>
      <definedName name="DLL_MD_dSulfurdFeedFlow"/>
      <definedName name="DLL_MD_dSulfurdFeedSul1"/>
      <definedName name="DLL_MD_dSulfurdP"/>
      <definedName name="DLL_MD_dSulfurdProdSul"/>
      <definedName name="DLL_MD_dSulfurdRateConstant"/>
      <definedName name="DLL_MD_dSulfurdT"/>
      <definedName name="DLL_MD_dSulfurNewdFBP"/>
      <definedName name="DLL_MD_dSulfurNewdIBP"/>
      <definedName name="DLL_MD_dSulfurNewdSlope"/>
      <definedName name="DLL_MD_dT95dEvap"/>
      <definedName name="DLL_MD_Evap"/>
      <definedName name="DLL_MD_FBN"/>
      <definedName name="DLL_MD_Flash"/>
      <definedName name="DLL_MD_Flash_Bias"/>
      <definedName name="DLL_MD_Flash_Slope"/>
      <definedName name="DLL_MD_FlashBalHTU"/>
      <definedName name="DLL_MD_FPI"/>
      <definedName name="DLL_MD_Freeze"/>
      <definedName name="DLL_MD_Freeze_Bias"/>
      <definedName name="DLL_MD_Freeze_Slope"/>
      <definedName name="DLL_MD_KFactor"/>
      <definedName name="DLL_MD_Sulfur_Bias"/>
      <definedName name="DLL_MD_Sulfur_Slope"/>
      <definedName name="DLL_MD_SulfurBalHTU"/>
      <definedName name="DLL_MD_SulfurNew"/>
      <definedName name="DLL_MD_T95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3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4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5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22"/>
  <sheetViews>
    <sheetView workbookViewId="0">
      <selection activeCell="B1" sqref="B1"/>
    </sheetView>
  </sheetViews>
  <sheetFormatPr defaultRowHeight="12.75" x14ac:dyDescent="0.2"/>
  <cols>
    <col min="1" max="1" width="18" bestFit="1" customWidth="1"/>
    <col min="2" max="2" width="13.28515625" bestFit="1" customWidth="1"/>
    <col min="3" max="3" width="11.85546875" bestFit="1" customWidth="1"/>
    <col min="4" max="4" width="10.5703125" bestFit="1" customWidth="1"/>
  </cols>
  <sheetData>
    <row r="1" spans="1:4" x14ac:dyDescent="0.2">
      <c r="A1" s="1" t="s">
        <v>511</v>
      </c>
    </row>
    <row r="3" spans="1:4" x14ac:dyDescent="0.2">
      <c r="A3" s="57" t="str">
        <f>HYPERLINK("#'Model Update'!A1","Model Update")</f>
        <v>Model Update</v>
      </c>
    </row>
    <row r="4" spans="1:4" x14ac:dyDescent="0.2">
      <c r="A4" s="57" t="str">
        <f>HYPERLINK("#'Opt Config'!A1","Opt Config")</f>
        <v>Opt Config</v>
      </c>
      <c r="B4" s="57" t="str">
        <f>HYPERLINK("#'Opt Config DR'!A1","Opt Config DR")</f>
        <v>Opt Config DR</v>
      </c>
    </row>
    <row r="5" spans="1:4" x14ac:dyDescent="0.2">
      <c r="A5" s="57" t="str">
        <f>HYPERLINK("#'MV Config'!A1","MV Config")</f>
        <v>MV Config</v>
      </c>
      <c r="B5" s="57" t="str">
        <f>HYPERLINK("#'MV Config DR'!A1","MV Config DR")</f>
        <v>MV Config DR</v>
      </c>
    </row>
    <row r="6" spans="1:4" x14ac:dyDescent="0.2">
      <c r="A6" s="57" t="str">
        <f>HYPERLINK("#'CV Config'!A1","CV Config")</f>
        <v>CV Config</v>
      </c>
      <c r="B6" s="57" t="str">
        <f>HYPERLINK("#'CV Config DR'!A1","CV Config DR")</f>
        <v>CV Config DR</v>
      </c>
    </row>
    <row r="7" spans="1:4" x14ac:dyDescent="0.2">
      <c r="A7" s="57" t="str">
        <f>HYPERLINK("#'AuxRead Config'!A1","AuxRead Config")</f>
        <v>AuxRead Config</v>
      </c>
    </row>
    <row r="8" spans="1:4" x14ac:dyDescent="0.2">
      <c r="A8" s="57" t="str">
        <f>HYPERLINK("#'AuxWrite Config'!A1","AuxWrite Config")</f>
        <v>AuxWrite Config</v>
      </c>
    </row>
    <row r="9" spans="1:4" x14ac:dyDescent="0.2">
      <c r="A9" s="57" t="str">
        <f>HYPERLINK("#'Dynamics'!A1","Dynamics")</f>
        <v>Dynamics</v>
      </c>
    </row>
    <row r="10" spans="1:4" x14ac:dyDescent="0.2">
      <c r="A10" s="57" t="str">
        <f>HYPERLINK("#'Function Values'!A1","Function Values")</f>
        <v>Function Values</v>
      </c>
    </row>
    <row r="11" spans="1:4" x14ac:dyDescent="0.2">
      <c r="A11" s="57" t="str">
        <f>HYPERLINK("#'Gain Matrix'!A1","Gain Matrix")</f>
        <v>Gain Matrix</v>
      </c>
    </row>
    <row r="12" spans="1:4" x14ac:dyDescent="0.2">
      <c r="A12" s="57" t="str">
        <f>HYPERLINK("#'Convoluted Matrix'!A1","Convoluted Matrix")</f>
        <v>Convoluted Matrix</v>
      </c>
    </row>
    <row r="13" spans="1:4" x14ac:dyDescent="0.2">
      <c r="A13" s="57" t="str">
        <f>HYPERLINK("#'Diagnostics'!A1","Diagnostics")</f>
        <v>Diagnostics</v>
      </c>
    </row>
    <row r="15" spans="1:4" x14ac:dyDescent="0.2">
      <c r="A15" s="57" t="str">
        <f>HYPERLINK("#'PARAM'!A1","PARAM")</f>
        <v>PARAM</v>
      </c>
    </row>
    <row r="16" spans="1:4" x14ac:dyDescent="0.2">
      <c r="A16" s="57" t="str">
        <f>HYPERLINK("#'CDU1.CNFG'!A1","CDU1.CNFG")</f>
        <v>CDU1.CNFG</v>
      </c>
      <c r="B16" s="57" t="str">
        <f>HYPERLINK("#'CDU1.FDPR'!A1","CDU1.FDPR")</f>
        <v>CDU1.FDPR</v>
      </c>
      <c r="C16" s="57" t="str">
        <f>HYPERLINK("#'CDU1.CMAP'!A1","CDU1.CMAP")</f>
        <v>CDU1.CMAP</v>
      </c>
      <c r="D16" s="57" t="str">
        <f>HYPERLINK("#'CDU1.DMC'!A1","CDU1.DMC")</f>
        <v>CDU1.DMC</v>
      </c>
    </row>
    <row r="17" spans="1:3" x14ac:dyDescent="0.2">
      <c r="A17" s="57" t="str">
        <f>HYPERLINK("#'HFB.CNFG'!A1","HFB.CNFG")</f>
        <v>HFB.CNFG</v>
      </c>
      <c r="B17" s="57" t="str">
        <f>HYPERLINK("#'HFB.CMAP'!A1","HFB.CMAP")</f>
        <v>HFB.CMAP</v>
      </c>
      <c r="C17" s="57" t="str">
        <f>HYPERLINK("#'HFB.DMC'!A1","HFB.DMC")</f>
        <v>HFB.DMC</v>
      </c>
    </row>
    <row r="18" spans="1:3" x14ac:dyDescent="0.2">
      <c r="A18" s="57" t="str">
        <f>HYPERLINK("#'KERHT.CNFG'!A1","KERHT.CNFG")</f>
        <v>KERHT.CNFG</v>
      </c>
      <c r="B18" s="57" t="str">
        <f>HYPERLINK("#'KERHT.CMAP'!A1","KERHT.CMAP")</f>
        <v>KERHT.CMAP</v>
      </c>
      <c r="C18" s="57" t="str">
        <f>HYPERLINK("#'KERHT.DMC'!A1","KERHT.DMC")</f>
        <v>KERHT.DMC</v>
      </c>
    </row>
    <row r="19" spans="1:3" x14ac:dyDescent="0.2">
      <c r="A19" s="57" t="str">
        <f>HYPERLINK("#'HDS.CNFG'!A1","HDS.CNFG")</f>
        <v>HDS.CNFG</v>
      </c>
      <c r="B19" s="57" t="str">
        <f>HYPERLINK("#'HDS.CMAP'!A1","HDS.CMAP")</f>
        <v>HDS.CMAP</v>
      </c>
      <c r="C19" s="57" t="str">
        <f>HYPERLINK("#'HDS.DMC'!A1","HDS.DMC")</f>
        <v>HDS.DMC</v>
      </c>
    </row>
    <row r="21" spans="1:3" x14ac:dyDescent="0.2">
      <c r="A21" s="57" t="str">
        <f>HYPERLINK("#'Convoluted Matrix_2'!A1","Convoluted Matrix_2")</f>
        <v>Convoluted Matrix_2</v>
      </c>
    </row>
    <row r="22" spans="1:3" x14ac:dyDescent="0.2">
      <c r="A22" s="57" t="str">
        <f>HYPERLINK("#'Diagnostics_2'!A1","Diagnostics_2")</f>
        <v>Diagnostics_2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2" r:id="rId4" name="Button 6">
              <controlPr defaultSize="0" print="0" autoFill="0" autoPict="0" macro="[1]!RefreshIndex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1"/>
  <dimension ref="A1:B6"/>
  <sheetViews>
    <sheetView workbookViewId="0">
      <selection activeCell="C6" sqref="C6"/>
    </sheetView>
  </sheetViews>
  <sheetFormatPr defaultRowHeight="12.75" x14ac:dyDescent="0.2"/>
  <cols>
    <col min="1" max="1" width="16.28515625" bestFit="1" customWidth="1"/>
  </cols>
  <sheetData>
    <row r="1" spans="1:2" x14ac:dyDescent="0.2">
      <c r="A1" s="1" t="s">
        <v>392</v>
      </c>
    </row>
    <row r="3" spans="1:2" x14ac:dyDescent="0.2">
      <c r="A3" t="s">
        <v>393</v>
      </c>
      <c r="B3">
        <v>5</v>
      </c>
    </row>
    <row r="4" spans="1:2" x14ac:dyDescent="0.2">
      <c r="A4" t="s">
        <v>394</v>
      </c>
      <c r="B4">
        <v>0</v>
      </c>
    </row>
    <row r="5" spans="1:2" x14ac:dyDescent="0.2">
      <c r="A5" t="s">
        <v>395</v>
      </c>
      <c r="B5">
        <v>0</v>
      </c>
    </row>
    <row r="6" spans="1:2" x14ac:dyDescent="0.2">
      <c r="A6" t="s">
        <v>396</v>
      </c>
      <c r="B6">
        <v>2404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Q12"/>
  <sheetViews>
    <sheetView topLeftCell="B1" workbookViewId="0">
      <selection activeCell="L11" sqref="L11"/>
    </sheetView>
  </sheetViews>
  <sheetFormatPr defaultRowHeight="12.75" x14ac:dyDescent="0.2"/>
  <cols>
    <col min="1" max="1" width="15.85546875" bestFit="1" customWidth="1"/>
    <col min="3" max="3" width="17.28515625" bestFit="1" customWidth="1"/>
    <col min="5" max="5" width="17.7109375" bestFit="1" customWidth="1"/>
    <col min="7" max="7" width="11.7109375" bestFit="1" customWidth="1"/>
    <col min="9" max="9" width="10.7109375" bestFit="1" customWidth="1"/>
    <col min="11" max="11" width="15.7109375" bestFit="1" customWidth="1"/>
    <col min="13" max="13" width="20.140625" bestFit="1" customWidth="1"/>
    <col min="14" max="14" width="11.7109375" customWidth="1"/>
    <col min="15" max="15" width="18" bestFit="1" customWidth="1"/>
    <col min="17" max="17" width="20.28515625" bestFit="1" customWidth="1"/>
  </cols>
  <sheetData>
    <row r="1" spans="1:17" x14ac:dyDescent="0.2">
      <c r="A1" s="27" t="s">
        <v>332</v>
      </c>
      <c r="C1" s="27" t="s">
        <v>331</v>
      </c>
      <c r="E1" t="s">
        <v>341</v>
      </c>
      <c r="G1" t="s">
        <v>330</v>
      </c>
      <c r="I1" t="s">
        <v>329</v>
      </c>
      <c r="K1" t="s">
        <v>328</v>
      </c>
      <c r="M1" t="s">
        <v>335</v>
      </c>
      <c r="O1" t="s">
        <v>342</v>
      </c>
      <c r="Q1" t="s">
        <v>343</v>
      </c>
    </row>
    <row r="2" spans="1:17" x14ac:dyDescent="0.2">
      <c r="A2" s="27" t="s">
        <v>233</v>
      </c>
      <c r="C2" s="27" t="s">
        <v>326</v>
      </c>
      <c r="E2" t="s">
        <v>236</v>
      </c>
      <c r="G2" t="s">
        <v>218</v>
      </c>
      <c r="I2" t="s">
        <v>218</v>
      </c>
      <c r="K2" t="s">
        <v>326</v>
      </c>
      <c r="M2" t="s">
        <v>326</v>
      </c>
      <c r="O2" t="s">
        <v>235</v>
      </c>
      <c r="Q2" t="s">
        <v>170</v>
      </c>
    </row>
    <row r="3" spans="1:17" x14ac:dyDescent="0.2">
      <c r="A3" s="27" t="s">
        <v>212</v>
      </c>
      <c r="C3" s="27" t="s">
        <v>234</v>
      </c>
      <c r="G3" t="s">
        <v>216</v>
      </c>
      <c r="I3" t="s">
        <v>216</v>
      </c>
      <c r="K3" s="27" t="s">
        <v>234</v>
      </c>
      <c r="M3" s="27" t="s">
        <v>234</v>
      </c>
    </row>
    <row r="4" spans="1:17" x14ac:dyDescent="0.2">
      <c r="A4" s="27" t="s">
        <v>218</v>
      </c>
      <c r="C4" s="27" t="s">
        <v>235</v>
      </c>
      <c r="K4" s="27" t="s">
        <v>235</v>
      </c>
      <c r="M4" s="27" t="s">
        <v>235</v>
      </c>
    </row>
    <row r="5" spans="1:17" x14ac:dyDescent="0.2">
      <c r="A5" s="27" t="s">
        <v>216</v>
      </c>
      <c r="C5" s="27" t="s">
        <v>169</v>
      </c>
      <c r="K5" s="27" t="s">
        <v>169</v>
      </c>
      <c r="M5" s="27" t="s">
        <v>169</v>
      </c>
    </row>
    <row r="6" spans="1:17" x14ac:dyDescent="0.2">
      <c r="A6" s="27" t="s">
        <v>214</v>
      </c>
      <c r="C6" s="27" t="s">
        <v>170</v>
      </c>
      <c r="K6" s="27" t="s">
        <v>170</v>
      </c>
      <c r="M6" s="27" t="s">
        <v>170</v>
      </c>
    </row>
    <row r="7" spans="1:17" x14ac:dyDescent="0.2">
      <c r="A7" s="27" t="s">
        <v>210</v>
      </c>
      <c r="C7" s="27" t="s">
        <v>236</v>
      </c>
      <c r="K7" s="27" t="s">
        <v>236</v>
      </c>
      <c r="M7" s="27" t="s">
        <v>236</v>
      </c>
    </row>
    <row r="8" spans="1:17" x14ac:dyDescent="0.2">
      <c r="A8" s="27" t="s">
        <v>220</v>
      </c>
      <c r="C8" s="27" t="s">
        <v>237</v>
      </c>
      <c r="K8" s="27" t="s">
        <v>406</v>
      </c>
      <c r="M8" s="27" t="s">
        <v>238</v>
      </c>
    </row>
    <row r="9" spans="1:17" x14ac:dyDescent="0.2">
      <c r="A9" s="27" t="s">
        <v>208</v>
      </c>
      <c r="C9" s="27" t="s">
        <v>238</v>
      </c>
      <c r="K9" s="27" t="s">
        <v>237</v>
      </c>
      <c r="M9" s="27" t="s">
        <v>327</v>
      </c>
    </row>
    <row r="10" spans="1:17" x14ac:dyDescent="0.2">
      <c r="C10" t="s">
        <v>327</v>
      </c>
      <c r="K10" s="27" t="s">
        <v>238</v>
      </c>
      <c r="M10" t="s">
        <v>239</v>
      </c>
    </row>
    <row r="11" spans="1:17" x14ac:dyDescent="0.2">
      <c r="C11" t="s">
        <v>239</v>
      </c>
      <c r="K11" s="27" t="s">
        <v>327</v>
      </c>
    </row>
    <row r="12" spans="1:17" x14ac:dyDescent="0.2">
      <c r="K12" s="27" t="s">
        <v>239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C5"/>
  <sheetViews>
    <sheetView workbookViewId="0"/>
  </sheetViews>
  <sheetFormatPr defaultRowHeight="12.75" x14ac:dyDescent="0.2"/>
  <cols>
    <col min="1" max="1" width="9.28515625" bestFit="1" customWidth="1"/>
    <col min="2" max="2" width="8.28515625" bestFit="1" customWidth="1"/>
    <col min="3" max="3" width="12.5703125" bestFit="1" customWidth="1"/>
  </cols>
  <sheetData>
    <row r="1" spans="1:3" x14ac:dyDescent="0.2">
      <c r="A1" t="s">
        <v>240</v>
      </c>
      <c r="B1" t="s">
        <v>241</v>
      </c>
      <c r="C1" t="s">
        <v>242</v>
      </c>
    </row>
    <row r="2" spans="1:3" x14ac:dyDescent="0.2">
      <c r="A2" t="s">
        <v>507</v>
      </c>
      <c r="B2" t="s">
        <v>508</v>
      </c>
      <c r="C2" t="s">
        <v>509</v>
      </c>
    </row>
    <row r="3" spans="1:3" x14ac:dyDescent="0.2">
      <c r="A3" t="s">
        <v>544</v>
      </c>
      <c r="B3" t="s">
        <v>545</v>
      </c>
      <c r="C3" t="s">
        <v>509</v>
      </c>
    </row>
    <row r="4" spans="1:3" x14ac:dyDescent="0.2">
      <c r="A4" t="s">
        <v>1281</v>
      </c>
      <c r="B4" t="s">
        <v>1282</v>
      </c>
      <c r="C4" t="s">
        <v>509</v>
      </c>
    </row>
    <row r="5" spans="1:3" x14ac:dyDescent="0.2">
      <c r="A5" t="s">
        <v>1510</v>
      </c>
      <c r="B5" t="s">
        <v>1282</v>
      </c>
      <c r="C5" t="s">
        <v>509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7"/>
  <dimension ref="A1:B18"/>
  <sheetViews>
    <sheetView workbookViewId="0"/>
  </sheetViews>
  <sheetFormatPr defaultRowHeight="12.75" x14ac:dyDescent="0.2"/>
  <cols>
    <col min="1" max="1" width="13.7109375" bestFit="1" customWidth="1"/>
  </cols>
  <sheetData>
    <row r="1" spans="1:2" x14ac:dyDescent="0.2">
      <c r="B1" t="s">
        <v>175</v>
      </c>
    </row>
    <row r="2" spans="1:2" x14ac:dyDescent="0.2">
      <c r="A2" s="27" t="s">
        <v>176</v>
      </c>
      <c r="B2">
        <v>1</v>
      </c>
    </row>
    <row r="4" spans="1:2" x14ac:dyDescent="0.2">
      <c r="B4" t="s">
        <v>177</v>
      </c>
    </row>
    <row r="5" spans="1:2" x14ac:dyDescent="0.2">
      <c r="A5" s="27" t="s">
        <v>178</v>
      </c>
      <c r="B5">
        <v>1.08</v>
      </c>
    </row>
    <row r="6" spans="1:2" x14ac:dyDescent="0.2">
      <c r="A6" s="27" t="s">
        <v>179</v>
      </c>
      <c r="B6">
        <v>1.08</v>
      </c>
    </row>
    <row r="8" spans="1:2" x14ac:dyDescent="0.2">
      <c r="B8" t="s">
        <v>251</v>
      </c>
    </row>
    <row r="9" spans="1:2" x14ac:dyDescent="0.2">
      <c r="A9" t="s">
        <v>252</v>
      </c>
      <c r="B9">
        <v>25</v>
      </c>
    </row>
    <row r="10" spans="1:2" x14ac:dyDescent="0.2">
      <c r="A10" t="s">
        <v>253</v>
      </c>
      <c r="B10">
        <v>50</v>
      </c>
    </row>
    <row r="11" spans="1:2" x14ac:dyDescent="0.2">
      <c r="A11" t="s">
        <v>254</v>
      </c>
      <c r="B11">
        <v>0.5</v>
      </c>
    </row>
    <row r="13" spans="1:2" x14ac:dyDescent="0.2">
      <c r="B13" t="s">
        <v>180</v>
      </c>
    </row>
    <row r="14" spans="1:2" x14ac:dyDescent="0.2">
      <c r="A14" s="27" t="s">
        <v>181</v>
      </c>
      <c r="B14">
        <v>180</v>
      </c>
    </row>
    <row r="15" spans="1:2" x14ac:dyDescent="0.2">
      <c r="A15" s="27" t="s">
        <v>182</v>
      </c>
      <c r="B15">
        <v>240</v>
      </c>
    </row>
    <row r="16" spans="1:2" x14ac:dyDescent="0.2">
      <c r="A16" s="27" t="s">
        <v>183</v>
      </c>
      <c r="B16">
        <v>330</v>
      </c>
    </row>
    <row r="17" spans="1:2" x14ac:dyDescent="0.2">
      <c r="A17" s="27" t="s">
        <v>184</v>
      </c>
      <c r="B17">
        <v>360</v>
      </c>
    </row>
    <row r="18" spans="1:2" x14ac:dyDescent="0.2">
      <c r="A18" s="27" t="s">
        <v>185</v>
      </c>
      <c r="B18">
        <v>370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AH9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.75" x14ac:dyDescent="0.2"/>
  <cols>
    <col min="1" max="1" width="13.140625" bestFit="1" customWidth="1"/>
    <col min="2" max="2" width="5.7109375" bestFit="1" customWidth="1"/>
    <col min="3" max="3" width="12.7109375" bestFit="1" customWidth="1"/>
    <col min="4" max="4" width="12.28515625" bestFit="1" customWidth="1"/>
    <col min="5" max="5" width="12.7109375" bestFit="1" customWidth="1"/>
    <col min="6" max="6" width="12.28515625" bestFit="1" customWidth="1"/>
    <col min="7" max="7" width="12.7109375" bestFit="1" customWidth="1"/>
    <col min="8" max="8" width="12.28515625" bestFit="1" customWidth="1"/>
    <col min="9" max="9" width="12.7109375" bestFit="1" customWidth="1"/>
    <col min="10" max="10" width="12.28515625" bestFit="1" customWidth="1"/>
    <col min="11" max="11" width="12.7109375" bestFit="1" customWidth="1"/>
    <col min="12" max="12" width="12.28515625" bestFit="1" customWidth="1"/>
    <col min="13" max="13" width="12.7109375" bestFit="1" customWidth="1"/>
    <col min="14" max="14" width="12.28515625" bestFit="1" customWidth="1"/>
    <col min="15" max="15" width="12.7109375" bestFit="1" customWidth="1"/>
    <col min="16" max="16" width="12.28515625" bestFit="1" customWidth="1"/>
    <col min="17" max="17" width="12.7109375" bestFit="1" customWidth="1"/>
    <col min="18" max="18" width="12.28515625" bestFit="1" customWidth="1"/>
    <col min="19" max="19" width="12.7109375" bestFit="1" customWidth="1"/>
    <col min="20" max="20" width="12.28515625" bestFit="1" customWidth="1"/>
    <col min="21" max="21" width="13.85546875" bestFit="1" customWidth="1"/>
    <col min="22" max="22" width="13.42578125" bestFit="1" customWidth="1"/>
    <col min="23" max="23" width="12.7109375" bestFit="1" customWidth="1"/>
    <col min="24" max="24" width="12.28515625" bestFit="1" customWidth="1"/>
    <col min="25" max="25" width="12.7109375" bestFit="1" customWidth="1"/>
    <col min="26" max="26" width="12.28515625" bestFit="1" customWidth="1"/>
    <col min="27" max="27" width="12.7109375" bestFit="1" customWidth="1"/>
    <col min="28" max="28" width="12.28515625" bestFit="1" customWidth="1"/>
    <col min="29" max="29" width="12.7109375" bestFit="1" customWidth="1"/>
    <col min="30" max="30" width="12.28515625" bestFit="1" customWidth="1"/>
    <col min="31" max="31" width="12.7109375" bestFit="1" customWidth="1"/>
    <col min="32" max="32" width="12.28515625" bestFit="1" customWidth="1"/>
    <col min="33" max="33" width="12.7109375" bestFit="1" customWidth="1"/>
    <col min="34" max="34" width="12.28515625" bestFit="1" customWidth="1"/>
  </cols>
  <sheetData>
    <row r="1" spans="1:34" x14ac:dyDescent="0.2">
      <c r="A1" s="27" t="s">
        <v>407</v>
      </c>
    </row>
    <row r="2" spans="1:34" x14ac:dyDescent="0.2">
      <c r="B2" s="27" t="s">
        <v>186</v>
      </c>
      <c r="C2" s="27" t="s">
        <v>187</v>
      </c>
      <c r="D2" s="27" t="s">
        <v>188</v>
      </c>
      <c r="E2" s="27" t="s">
        <v>189</v>
      </c>
      <c r="F2" s="27" t="s">
        <v>190</v>
      </c>
      <c r="G2" s="27" t="s">
        <v>191</v>
      </c>
      <c r="H2" s="27" t="s">
        <v>192</v>
      </c>
      <c r="I2" s="27" t="s">
        <v>193</v>
      </c>
      <c r="J2" s="27" t="s">
        <v>194</v>
      </c>
      <c r="K2" s="27" t="s">
        <v>195</v>
      </c>
      <c r="L2" s="27" t="s">
        <v>196</v>
      </c>
      <c r="M2" s="27" t="s">
        <v>197</v>
      </c>
      <c r="N2" s="27" t="s">
        <v>198</v>
      </c>
      <c r="O2" s="27" t="s">
        <v>199</v>
      </c>
      <c r="P2" s="27" t="s">
        <v>200</v>
      </c>
      <c r="Q2" s="27" t="s">
        <v>201</v>
      </c>
      <c r="R2" s="27" t="s">
        <v>202</v>
      </c>
      <c r="S2" s="27" t="s">
        <v>203</v>
      </c>
      <c r="T2" s="27" t="s">
        <v>204</v>
      </c>
      <c r="U2" s="27" t="s">
        <v>205</v>
      </c>
      <c r="V2" s="27" t="s">
        <v>206</v>
      </c>
      <c r="W2" s="27" t="s">
        <v>221</v>
      </c>
      <c r="X2" s="27" t="s">
        <v>222</v>
      </c>
      <c r="Y2" s="27" t="s">
        <v>223</v>
      </c>
      <c r="Z2" s="27" t="s">
        <v>224</v>
      </c>
      <c r="AA2" s="27" t="s">
        <v>225</v>
      </c>
      <c r="AB2" s="27" t="s">
        <v>226</v>
      </c>
      <c r="AC2" s="27" t="s">
        <v>227</v>
      </c>
      <c r="AD2" s="27" t="s">
        <v>228</v>
      </c>
      <c r="AE2" s="27" t="s">
        <v>229</v>
      </c>
      <c r="AF2" s="27" t="s">
        <v>230</v>
      </c>
      <c r="AG2" s="27" t="s">
        <v>231</v>
      </c>
      <c r="AH2" s="27" t="s">
        <v>232</v>
      </c>
    </row>
    <row r="3" spans="1:34" x14ac:dyDescent="0.2">
      <c r="A3" s="27" t="s">
        <v>207</v>
      </c>
      <c r="B3" t="s">
        <v>208</v>
      </c>
    </row>
    <row r="4" spans="1:34" x14ac:dyDescent="0.2">
      <c r="A4" s="27" t="s">
        <v>209</v>
      </c>
      <c r="B4" t="s">
        <v>210</v>
      </c>
    </row>
    <row r="5" spans="1:34" x14ac:dyDescent="0.2">
      <c r="A5" s="27" t="s">
        <v>211</v>
      </c>
      <c r="B5" t="s">
        <v>212</v>
      </c>
    </row>
    <row r="6" spans="1:34" x14ac:dyDescent="0.2">
      <c r="A6" s="27" t="s">
        <v>213</v>
      </c>
      <c r="B6" t="s">
        <v>214</v>
      </c>
    </row>
    <row r="7" spans="1:34" x14ac:dyDescent="0.2">
      <c r="A7" s="27" t="s">
        <v>215</v>
      </c>
      <c r="B7" t="s">
        <v>216</v>
      </c>
    </row>
    <row r="8" spans="1:34" x14ac:dyDescent="0.2">
      <c r="A8" s="27" t="s">
        <v>217</v>
      </c>
      <c r="B8" t="s">
        <v>218</v>
      </c>
    </row>
    <row r="9" spans="1:34" x14ac:dyDescent="0.2">
      <c r="A9" s="27" t="s">
        <v>219</v>
      </c>
      <c r="B9" t="s">
        <v>220</v>
      </c>
    </row>
  </sheetData>
  <dataValidations count="2">
    <dataValidation type="list" allowBlank="1" showInputMessage="1" showErrorMessage="1" sqref="D3:D9 F3:F9 H3:H9 J3:J9 L3:L9 N3:N9 P3:P9 R3:R9 T3:T9 V3:V9 X3:X9 Z3:Z9 AB3:AB9 AD3:AD9 AF3:AF9 AH3:AH9" xr:uid="{00000000-0002-0000-0600-000000000000}">
      <formula1>measTypeMD_CDU</formula1>
    </dataValidation>
    <dataValidation type="list" allowBlank="1" showInputMessage="1" showErrorMessage="1" sqref="B3:B9" xr:uid="{00000000-0002-0000-0600-000001000000}">
      <formula1>flowTypeMD_CDU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H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2.75" x14ac:dyDescent="0.2"/>
  <sheetData>
    <row r="1" spans="1:8" x14ac:dyDescent="0.2">
      <c r="A1" s="27"/>
      <c r="B1" s="27" t="s">
        <v>165</v>
      </c>
      <c r="C1" s="27" t="s">
        <v>166</v>
      </c>
      <c r="D1" s="27" t="s">
        <v>410</v>
      </c>
      <c r="E1" s="27" t="s">
        <v>167</v>
      </c>
      <c r="F1" s="27" t="s">
        <v>168</v>
      </c>
      <c r="G1" s="27" t="s">
        <v>169</v>
      </c>
      <c r="H1" s="27" t="s">
        <v>170</v>
      </c>
    </row>
    <row r="2" spans="1:8" x14ac:dyDescent="0.2">
      <c r="A2" s="27" t="s">
        <v>171</v>
      </c>
    </row>
    <row r="3" spans="1:8" x14ac:dyDescent="0.2">
      <c r="A3" s="27" t="s">
        <v>172</v>
      </c>
    </row>
    <row r="4" spans="1:8" x14ac:dyDescent="0.2">
      <c r="A4" s="27" t="s">
        <v>173</v>
      </c>
    </row>
    <row r="5" spans="1:8" x14ac:dyDescent="0.2">
      <c r="A5" s="27" t="s">
        <v>174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8"/>
  <dimension ref="A1:I17"/>
  <sheetViews>
    <sheetView workbookViewId="0">
      <selection activeCell="A2" sqref="A2"/>
    </sheetView>
  </sheetViews>
  <sheetFormatPr defaultRowHeight="12.75" x14ac:dyDescent="0.2"/>
  <cols>
    <col min="1" max="1" width="13.85546875" bestFit="1" customWidth="1"/>
    <col min="2" max="2" width="13.7109375" bestFit="1" customWidth="1"/>
    <col min="3" max="3" width="12" bestFit="1" customWidth="1"/>
    <col min="4" max="4" width="11.7109375" bestFit="1" customWidth="1"/>
    <col min="5" max="5" width="15" bestFit="1" customWidth="1"/>
    <col min="6" max="6" width="13.28515625" bestFit="1" customWidth="1"/>
    <col min="7" max="7" width="9.28515625" bestFit="1" customWidth="1"/>
    <col min="8" max="8" width="10" bestFit="1" customWidth="1"/>
  </cols>
  <sheetData>
    <row r="1" spans="1:8" x14ac:dyDescent="0.2">
      <c r="A1" t="s">
        <v>255</v>
      </c>
      <c r="B1" t="s">
        <v>256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262</v>
      </c>
    </row>
    <row r="5" spans="1:8" x14ac:dyDescent="0.2">
      <c r="B5" t="s">
        <v>263</v>
      </c>
      <c r="D5" t="s">
        <v>264</v>
      </c>
      <c r="F5" t="s">
        <v>265</v>
      </c>
      <c r="H5" t="s">
        <v>266</v>
      </c>
    </row>
    <row r="8" spans="1:8" x14ac:dyDescent="0.2">
      <c r="B8" t="s">
        <v>411</v>
      </c>
      <c r="D8" t="s">
        <v>412</v>
      </c>
    </row>
    <row r="11" spans="1:8" x14ac:dyDescent="0.2">
      <c r="B11" t="s">
        <v>267</v>
      </c>
      <c r="D11" t="s">
        <v>268</v>
      </c>
    </row>
    <row r="14" spans="1:8" x14ac:dyDescent="0.2">
      <c r="B14" t="s">
        <v>269</v>
      </c>
      <c r="D14" t="s">
        <v>270</v>
      </c>
    </row>
    <row r="17" spans="1:9" x14ac:dyDescent="0.2">
      <c r="A17" s="27" t="s">
        <v>399</v>
      </c>
      <c r="B17" s="27" t="s">
        <v>400</v>
      </c>
      <c r="C17" t="s">
        <v>413</v>
      </c>
      <c r="D17" s="27" t="s">
        <v>401</v>
      </c>
      <c r="E17" s="27" t="s">
        <v>402</v>
      </c>
      <c r="F17" s="27" t="s">
        <v>414</v>
      </c>
      <c r="G17" s="27" t="s">
        <v>403</v>
      </c>
      <c r="H17" s="27" t="s">
        <v>404</v>
      </c>
      <c r="I17" s="27" t="s">
        <v>405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6"/>
  <dimension ref="A1:AI8"/>
  <sheetViews>
    <sheetView zoomScaleNormal="100" workbookViewId="0">
      <pane xSplit="3" ySplit="3" topLeftCell="D4" activePane="bottomRight" state="frozen"/>
      <selection pane="topRight" activeCell="D1" sqref="D1"/>
      <selection pane="bottomLeft" activeCell="A3" sqref="A3"/>
      <selection pane="bottomRight"/>
    </sheetView>
  </sheetViews>
  <sheetFormatPr defaultColWidth="8.85546875" defaultRowHeight="12.75" x14ac:dyDescent="0.2"/>
  <cols>
    <col min="1" max="1" width="12.42578125" style="27" bestFit="1" customWidth="1"/>
    <col min="2" max="2" width="8.5703125" style="27" bestFit="1" customWidth="1"/>
    <col min="3" max="3" width="8.5703125" style="27" customWidth="1"/>
    <col min="4" max="4" width="12.7109375" style="27" bestFit="1" customWidth="1"/>
    <col min="5" max="5" width="12.28515625" style="27" bestFit="1" customWidth="1"/>
    <col min="6" max="16384" width="8.85546875" style="27"/>
  </cols>
  <sheetData>
    <row r="1" spans="1:35" x14ac:dyDescent="0.2">
      <c r="A1" s="27" t="s">
        <v>408</v>
      </c>
    </row>
    <row r="2" spans="1:35" x14ac:dyDescent="0.2">
      <c r="A2" s="27" t="s">
        <v>186</v>
      </c>
    </row>
    <row r="3" spans="1:35" x14ac:dyDescent="0.2">
      <c r="B3" s="27" t="s">
        <v>243</v>
      </c>
      <c r="C3" s="27" t="s">
        <v>349</v>
      </c>
      <c r="D3" s="27" t="s">
        <v>187</v>
      </c>
      <c r="E3" s="27" t="s">
        <v>188</v>
      </c>
      <c r="F3" s="27" t="s">
        <v>189</v>
      </c>
      <c r="G3" s="27" t="s">
        <v>190</v>
      </c>
      <c r="H3" s="27" t="s">
        <v>191</v>
      </c>
      <c r="I3" s="27" t="s">
        <v>192</v>
      </c>
      <c r="J3" s="27" t="s">
        <v>193</v>
      </c>
      <c r="K3" s="27" t="s">
        <v>194</v>
      </c>
      <c r="L3" s="27" t="s">
        <v>195</v>
      </c>
      <c r="M3" s="27" t="s">
        <v>196</v>
      </c>
      <c r="N3" s="27" t="s">
        <v>197</v>
      </c>
      <c r="O3" s="27" t="s">
        <v>198</v>
      </c>
      <c r="P3" s="27" t="s">
        <v>199</v>
      </c>
      <c r="Q3" s="27" t="s">
        <v>200</v>
      </c>
      <c r="R3" s="27" t="s">
        <v>201</v>
      </c>
      <c r="S3" s="27" t="s">
        <v>202</v>
      </c>
      <c r="T3" s="27" t="s">
        <v>203</v>
      </c>
      <c r="U3" s="27" t="s">
        <v>204</v>
      </c>
      <c r="V3" s="27" t="s">
        <v>205</v>
      </c>
      <c r="W3" s="27" t="s">
        <v>206</v>
      </c>
      <c r="X3" s="27" t="s">
        <v>221</v>
      </c>
      <c r="Y3" s="27" t="s">
        <v>222</v>
      </c>
      <c r="Z3" s="27" t="s">
        <v>223</v>
      </c>
      <c r="AA3" s="27" t="s">
        <v>224</v>
      </c>
      <c r="AB3" s="27" t="s">
        <v>225</v>
      </c>
      <c r="AC3" s="27" t="s">
        <v>226</v>
      </c>
      <c r="AD3" s="27" t="s">
        <v>227</v>
      </c>
      <c r="AE3" s="27" t="s">
        <v>228</v>
      </c>
      <c r="AF3" s="27" t="s">
        <v>229</v>
      </c>
      <c r="AG3" s="27" t="s">
        <v>230</v>
      </c>
      <c r="AH3" s="27" t="s">
        <v>231</v>
      </c>
      <c r="AI3" s="27" t="s">
        <v>232</v>
      </c>
    </row>
    <row r="4" spans="1:35" x14ac:dyDescent="0.2">
      <c r="A4" s="27" t="s">
        <v>244</v>
      </c>
    </row>
    <row r="5" spans="1:35" x14ac:dyDescent="0.2">
      <c r="A5" s="27" t="s">
        <v>245</v>
      </c>
    </row>
    <row r="6" spans="1:35" x14ac:dyDescent="0.2">
      <c r="A6" s="27" t="s">
        <v>246</v>
      </c>
    </row>
    <row r="7" spans="1:35" x14ac:dyDescent="0.2">
      <c r="A7" s="27" t="s">
        <v>333</v>
      </c>
    </row>
    <row r="8" spans="1:35" x14ac:dyDescent="0.2">
      <c r="A8" s="27" t="s">
        <v>334</v>
      </c>
    </row>
  </sheetData>
  <dataValidations count="2">
    <dataValidation type="list" allowBlank="1" showInputMessage="1" showErrorMessage="1" sqref="B2" xr:uid="{00000000-0002-0000-0900-000000000000}">
      <formula1>typeMD_BU</formula1>
    </dataValidation>
    <dataValidation type="list" allowBlank="1" showInputMessage="1" showErrorMessage="1" sqref="E4:E8 G4:G8 I4:I8 K4:K8 M4:M8 O4:O8 Q4:Q8 S4:S8 U4:U8 W4:W8 Y4:Y8 AA4:AA8 AC4:AC8 AE4:AE8 AG4:AG8 AI4:AI8" xr:uid="{00000000-0002-0000-0900-000001000000}">
      <formula1>measTypeMD_BU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/>
  <dimension ref="A1:AH9"/>
  <sheetViews>
    <sheetView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12.75" x14ac:dyDescent="0.2"/>
  <cols>
    <col min="1" max="1" width="15.5703125" bestFit="1" customWidth="1"/>
    <col min="2" max="3" width="12.7109375" bestFit="1" customWidth="1"/>
    <col min="4" max="4" width="12.28515625" bestFit="1" customWidth="1"/>
    <col min="5" max="5" width="12.7109375" bestFit="1" customWidth="1"/>
    <col min="6" max="6" width="12.28515625" bestFit="1" customWidth="1"/>
    <col min="7" max="7" width="12.7109375" bestFit="1" customWidth="1"/>
    <col min="8" max="8" width="12.28515625" bestFit="1" customWidth="1"/>
    <col min="9" max="9" width="12.7109375" bestFit="1" customWidth="1"/>
    <col min="10" max="10" width="12.28515625" bestFit="1" customWidth="1"/>
    <col min="11" max="11" width="12.7109375" bestFit="1" customWidth="1"/>
    <col min="12" max="12" width="12.28515625" bestFit="1" customWidth="1"/>
    <col min="13" max="13" width="12.7109375" bestFit="1" customWidth="1"/>
    <col min="14" max="14" width="12.28515625" bestFit="1" customWidth="1"/>
    <col min="15" max="15" width="12.7109375" bestFit="1" customWidth="1"/>
    <col min="16" max="16" width="12.28515625" bestFit="1" customWidth="1"/>
    <col min="17" max="17" width="12.7109375" bestFit="1" customWidth="1"/>
    <col min="18" max="18" width="12.28515625" bestFit="1" customWidth="1"/>
    <col min="19" max="19" width="12.7109375" bestFit="1" customWidth="1"/>
    <col min="20" max="20" width="12.28515625" bestFit="1" customWidth="1"/>
    <col min="21" max="21" width="13.85546875" bestFit="1" customWidth="1"/>
    <col min="22" max="22" width="13.42578125" bestFit="1" customWidth="1"/>
    <col min="23" max="23" width="12.7109375" bestFit="1" customWidth="1"/>
    <col min="24" max="24" width="12.28515625" bestFit="1" customWidth="1"/>
    <col min="25" max="25" width="12.7109375" bestFit="1" customWidth="1"/>
    <col min="26" max="26" width="12.28515625" bestFit="1" customWidth="1"/>
    <col min="27" max="27" width="12.7109375" bestFit="1" customWidth="1"/>
    <col min="28" max="28" width="12.28515625" bestFit="1" customWidth="1"/>
    <col min="29" max="29" width="12.7109375" bestFit="1" customWidth="1"/>
    <col min="30" max="30" width="12.28515625" bestFit="1" customWidth="1"/>
    <col min="31" max="31" width="12.7109375" bestFit="1" customWidth="1"/>
    <col min="32" max="32" width="12.28515625" bestFit="1" customWidth="1"/>
    <col min="33" max="33" width="12.7109375" bestFit="1" customWidth="1"/>
    <col min="34" max="34" width="12.28515625" bestFit="1" customWidth="1"/>
  </cols>
  <sheetData>
    <row r="1" spans="1:34" x14ac:dyDescent="0.2">
      <c r="A1" s="27" t="s">
        <v>409</v>
      </c>
    </row>
    <row r="2" spans="1:34" x14ac:dyDescent="0.2">
      <c r="A2" s="27" t="s">
        <v>186</v>
      </c>
    </row>
    <row r="3" spans="1:34" x14ac:dyDescent="0.2">
      <c r="B3" s="27" t="s">
        <v>243</v>
      </c>
      <c r="C3" s="27" t="s">
        <v>187</v>
      </c>
      <c r="D3" s="27" t="s">
        <v>188</v>
      </c>
      <c r="E3" s="27" t="s">
        <v>189</v>
      </c>
      <c r="F3" s="27" t="s">
        <v>190</v>
      </c>
      <c r="G3" s="27" t="s">
        <v>191</v>
      </c>
      <c r="H3" s="27" t="s">
        <v>192</v>
      </c>
      <c r="I3" s="27" t="s">
        <v>193</v>
      </c>
      <c r="J3" s="27" t="s">
        <v>194</v>
      </c>
      <c r="K3" s="27" t="s">
        <v>195</v>
      </c>
      <c r="L3" s="27" t="s">
        <v>196</v>
      </c>
      <c r="M3" s="27" t="s">
        <v>197</v>
      </c>
      <c r="N3" s="27" t="s">
        <v>198</v>
      </c>
      <c r="O3" s="27" t="s">
        <v>199</v>
      </c>
      <c r="P3" s="27" t="s">
        <v>200</v>
      </c>
      <c r="Q3" s="27" t="s">
        <v>201</v>
      </c>
      <c r="R3" s="27" t="s">
        <v>202</v>
      </c>
      <c r="S3" s="27" t="s">
        <v>203</v>
      </c>
      <c r="T3" s="27" t="s">
        <v>204</v>
      </c>
      <c r="U3" s="27" t="s">
        <v>205</v>
      </c>
      <c r="V3" s="27" t="s">
        <v>206</v>
      </c>
      <c r="W3" s="27" t="s">
        <v>221</v>
      </c>
      <c r="X3" s="27" t="s">
        <v>222</v>
      </c>
      <c r="Y3" s="27" t="s">
        <v>223</v>
      </c>
      <c r="Z3" s="27" t="s">
        <v>224</v>
      </c>
      <c r="AA3" s="27" t="s">
        <v>225</v>
      </c>
      <c r="AB3" s="27" t="s">
        <v>226</v>
      </c>
      <c r="AC3" s="27" t="s">
        <v>227</v>
      </c>
      <c r="AD3" s="27" t="s">
        <v>228</v>
      </c>
      <c r="AE3" s="27" t="s">
        <v>229</v>
      </c>
      <c r="AF3" s="27" t="s">
        <v>230</v>
      </c>
      <c r="AG3" s="27" t="s">
        <v>231</v>
      </c>
      <c r="AH3" s="27" t="s">
        <v>232</v>
      </c>
    </row>
    <row r="4" spans="1:34" x14ac:dyDescent="0.2">
      <c r="A4" s="27" t="s">
        <v>250</v>
      </c>
    </row>
    <row r="5" spans="1:34" x14ac:dyDescent="0.2">
      <c r="A5" s="27" t="s">
        <v>247</v>
      </c>
    </row>
    <row r="6" spans="1:34" x14ac:dyDescent="0.2">
      <c r="A6" s="27" t="s">
        <v>248</v>
      </c>
    </row>
    <row r="7" spans="1:34" x14ac:dyDescent="0.2">
      <c r="A7" s="27" t="s">
        <v>249</v>
      </c>
    </row>
    <row r="8" spans="1:34" x14ac:dyDescent="0.2">
      <c r="A8" s="27" t="s">
        <v>324</v>
      </c>
    </row>
    <row r="9" spans="1:34" x14ac:dyDescent="0.2">
      <c r="A9" s="27" t="s">
        <v>325</v>
      </c>
    </row>
  </sheetData>
  <dataValidations count="5">
    <dataValidation type="list" allowBlank="1" showInputMessage="1" showErrorMessage="1" sqref="B2" xr:uid="{00000000-0002-0000-0A00-000000000000}">
      <formula1>typeMD_HTU</formula1>
    </dataValidation>
    <dataValidation type="list" allowBlank="1" showInputMessage="1" showErrorMessage="1" sqref="AB5 AD5 AF5 D5 F5 H5 J5 L5 N5 P5 R5 T5 V5 X5 Z5 AH5" xr:uid="{00000000-0002-0000-0A00-000001000000}">
      <formula1>measTypeMD_HTUT</formula1>
    </dataValidation>
    <dataValidation type="list" allowBlank="1" showInputMessage="1" showErrorMessage="1" sqref="D4 D8:D9 F4 F8:F9 H4 H8:H9 J4 J8:J9 L4 L8:L9 N4 N8:N9 P4 P8:P9 R4 R8:R9 T4 T8:T9 V4 V8:V9 X4 X8:X9 Z4 Z8:Z9 AB4 AB8:AB9 AD4 AD8:AD9 AF4 AF8:AF9 AH4 AH8:AH9" xr:uid="{00000000-0002-0000-0A00-000002000000}">
      <formula1>measTypeGenMD_HTU</formula1>
    </dataValidation>
    <dataValidation type="list" allowBlank="1" showInputMessage="1" showErrorMessage="1" sqref="D6 F6 H6 J6 L6 N6 P6 R6 T6 V6 X6 Z6 AB6 AD6 AF6 AH6" xr:uid="{00000000-0002-0000-0A00-000003000000}">
      <formula1>measTypeMD_HTUP</formula1>
    </dataValidation>
    <dataValidation type="list" allowBlank="1" showInputMessage="1" showErrorMessage="1" sqref="D7 F7 H7 J7 L7 N7 P7 R7 T7 V7 X7 Z7 AB7 AD7 AF7 AH7" xr:uid="{00000000-0002-0000-0A00-000004000000}">
      <formula1>measTypeMD_HTUSUL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/>
  <dimension ref="A1:B5"/>
  <sheetViews>
    <sheetView workbookViewId="0">
      <selection activeCell="F12" sqref="F12"/>
    </sheetView>
  </sheetViews>
  <sheetFormatPr defaultColWidth="9.140625" defaultRowHeight="12.75" x14ac:dyDescent="0.2"/>
  <cols>
    <col min="1" max="16384" width="9.140625" style="38"/>
  </cols>
  <sheetData>
    <row r="1" spans="1:2" ht="15" x14ac:dyDescent="0.25">
      <c r="A1" s="45" t="s">
        <v>176</v>
      </c>
      <c r="B1" s="38">
        <v>1</v>
      </c>
    </row>
    <row r="2" spans="1:2" ht="15" x14ac:dyDescent="0.25">
      <c r="A2" s="45"/>
      <c r="B2" s="46"/>
    </row>
    <row r="3" spans="1:2" ht="15" x14ac:dyDescent="0.25">
      <c r="A3" s="45" t="s">
        <v>484</v>
      </c>
    </row>
    <row r="4" spans="1:2" ht="15" x14ac:dyDescent="0.25">
      <c r="A4" s="45" t="s">
        <v>485</v>
      </c>
    </row>
    <row r="5" spans="1:2" ht="15" x14ac:dyDescent="0.25">
      <c r="A5" s="45" t="s">
        <v>486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/>
  <dimension ref="A1:S2"/>
  <sheetViews>
    <sheetView workbookViewId="0">
      <selection activeCell="J13" sqref="J13"/>
    </sheetView>
  </sheetViews>
  <sheetFormatPr defaultRowHeight="12.75" x14ac:dyDescent="0.2"/>
  <cols>
    <col min="1" max="1" width="9" customWidth="1"/>
    <col min="2" max="2" width="12.85546875" customWidth="1"/>
    <col min="3" max="3" width="11.140625" customWidth="1"/>
    <col min="4" max="4" width="11.28515625" customWidth="1"/>
    <col min="5" max="5" width="12.42578125" customWidth="1"/>
    <col min="6" max="6" width="11" customWidth="1"/>
    <col min="7" max="7" width="11.42578125" customWidth="1"/>
    <col min="8" max="8" width="11.85546875" customWidth="1"/>
    <col min="9" max="9" width="12.28515625" customWidth="1"/>
    <col min="10" max="10" width="16.5703125" customWidth="1"/>
    <col min="11" max="11" width="10" customWidth="1"/>
    <col min="12" max="12" width="11.7109375" customWidth="1"/>
    <col min="13" max="13" width="12.5703125" customWidth="1"/>
    <col min="14" max="14" width="13.5703125" customWidth="1"/>
    <col min="15" max="15" width="12.42578125" customWidth="1"/>
    <col min="16" max="16" width="14" customWidth="1"/>
    <col min="17" max="17" width="10.28515625" customWidth="1"/>
    <col min="18" max="18" width="10" customWidth="1"/>
    <col min="19" max="19" width="10.5703125" customWidth="1"/>
  </cols>
  <sheetData>
    <row r="1" spans="1:19" ht="15" x14ac:dyDescent="0.25">
      <c r="A1" s="47" t="s">
        <v>79</v>
      </c>
      <c r="B1" s="47" t="s">
        <v>281</v>
      </c>
      <c r="C1" s="47" t="s">
        <v>420</v>
      </c>
      <c r="D1" s="47" t="s">
        <v>421</v>
      </c>
      <c r="E1" s="47" t="s">
        <v>422</v>
      </c>
      <c r="F1" s="47" t="s">
        <v>423</v>
      </c>
      <c r="G1" s="47"/>
      <c r="H1" s="47"/>
      <c r="I1" s="47" t="s">
        <v>434</v>
      </c>
      <c r="J1" s="47" t="s">
        <v>427</v>
      </c>
      <c r="K1" s="47" t="s">
        <v>428</v>
      </c>
      <c r="L1" s="47"/>
      <c r="M1" s="47"/>
      <c r="N1" s="47"/>
      <c r="O1" s="47" t="s">
        <v>435</v>
      </c>
      <c r="P1" s="47" t="s">
        <v>430</v>
      </c>
      <c r="Q1" s="47" t="s">
        <v>431</v>
      </c>
      <c r="R1" s="47" t="s">
        <v>432</v>
      </c>
      <c r="S1" s="47" t="s">
        <v>433</v>
      </c>
    </row>
    <row r="2" spans="1:19" ht="15" x14ac:dyDescent="0.25">
      <c r="A2" s="47"/>
      <c r="B2" s="47"/>
      <c r="C2" s="47" t="s">
        <v>503</v>
      </c>
      <c r="D2" s="47" t="s">
        <v>504</v>
      </c>
      <c r="E2" s="47"/>
      <c r="F2" s="47" t="s">
        <v>424</v>
      </c>
      <c r="G2" s="47" t="s">
        <v>425</v>
      </c>
      <c r="H2" s="47" t="s">
        <v>426</v>
      </c>
      <c r="I2" s="47" t="s">
        <v>501</v>
      </c>
      <c r="J2" s="47" t="s">
        <v>505</v>
      </c>
      <c r="K2" s="47" t="s">
        <v>429</v>
      </c>
      <c r="L2" s="47" t="s">
        <v>424</v>
      </c>
      <c r="M2" s="47" t="s">
        <v>425</v>
      </c>
      <c r="N2" s="47" t="s">
        <v>426</v>
      </c>
      <c r="O2" s="47" t="s">
        <v>501</v>
      </c>
      <c r="P2" s="47" t="s">
        <v>505</v>
      </c>
      <c r="Q2" s="47"/>
      <c r="R2" s="47"/>
      <c r="S2" s="4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L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7" sqref="F7"/>
    </sheetView>
  </sheetViews>
  <sheetFormatPr defaultColWidth="9.140625" defaultRowHeight="12.75" x14ac:dyDescent="0.2"/>
  <cols>
    <col min="1" max="1" width="6.28515625" style="37" customWidth="1"/>
    <col min="2" max="2" width="18.7109375" style="37" bestFit="1" customWidth="1"/>
    <col min="3" max="3" width="10.140625" style="37" customWidth="1"/>
    <col min="4" max="4" width="17" style="37" customWidth="1"/>
    <col min="5" max="5" width="21" style="37" customWidth="1"/>
    <col min="6" max="6" width="18.28515625" style="37" customWidth="1"/>
    <col min="7" max="7" width="9.140625" style="37"/>
    <col min="8" max="8" width="13.42578125" style="37" customWidth="1"/>
    <col min="9" max="16384" width="9.140625" style="37"/>
  </cols>
  <sheetData>
    <row r="1" spans="1:12" ht="15" x14ac:dyDescent="0.25">
      <c r="A1" s="45" t="s">
        <v>79</v>
      </c>
      <c r="B1" s="45" t="s">
        <v>281</v>
      </c>
      <c r="C1" s="45" t="s">
        <v>419</v>
      </c>
      <c r="D1" s="45" t="s">
        <v>321</v>
      </c>
      <c r="E1" s="45" t="s">
        <v>322</v>
      </c>
      <c r="F1" s="45" t="s">
        <v>323</v>
      </c>
      <c r="G1" s="45" t="s">
        <v>169</v>
      </c>
      <c r="H1" s="45" t="s">
        <v>415</v>
      </c>
      <c r="I1" s="45" t="s">
        <v>416</v>
      </c>
      <c r="J1" s="45" t="s">
        <v>417</v>
      </c>
      <c r="K1" s="45" t="s">
        <v>418</v>
      </c>
      <c r="L1" s="51" t="s">
        <v>170</v>
      </c>
    </row>
    <row r="2" spans="1:12" ht="15" x14ac:dyDescent="0.25">
      <c r="A2" s="45"/>
      <c r="B2" s="45"/>
      <c r="C2" s="45" t="s">
        <v>500</v>
      </c>
      <c r="D2" s="45" t="s">
        <v>320</v>
      </c>
      <c r="E2" s="45"/>
      <c r="F2" s="45"/>
      <c r="G2" s="45"/>
      <c r="H2" s="45" t="s">
        <v>501</v>
      </c>
      <c r="I2" s="45"/>
      <c r="J2" s="45"/>
      <c r="K2" s="45"/>
      <c r="L2" s="56" t="s">
        <v>502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4"/>
  <dimension ref="A1:AD3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H7" sqref="H7"/>
    </sheetView>
  </sheetViews>
  <sheetFormatPr defaultColWidth="9.140625" defaultRowHeight="12.75" x14ac:dyDescent="0.2"/>
  <cols>
    <col min="1" max="1" width="4.7109375" style="37" customWidth="1"/>
    <col min="2" max="2" width="4.85546875" style="37" customWidth="1"/>
    <col min="3" max="3" width="17.85546875" style="37" customWidth="1"/>
    <col min="4" max="4" width="4.140625" style="37" customWidth="1"/>
    <col min="5" max="12" width="4.28515625" style="37" customWidth="1"/>
    <col min="13" max="13" width="4.42578125" style="37" customWidth="1"/>
    <col min="14" max="15" width="4.28515625" style="37" customWidth="1"/>
    <col min="16" max="16" width="4.140625" style="37" customWidth="1"/>
    <col min="17" max="17" width="4.42578125" style="37" customWidth="1"/>
    <col min="18" max="18" width="4.28515625" style="37" customWidth="1"/>
    <col min="19" max="19" width="4.140625" style="37" customWidth="1"/>
    <col min="20" max="30" width="4.28515625" style="37" customWidth="1"/>
    <col min="31" max="16384" width="9.140625" style="37"/>
  </cols>
  <sheetData>
    <row r="1" spans="1:30" ht="15" x14ac:dyDescent="0.25">
      <c r="A1" s="45" t="s">
        <v>79</v>
      </c>
      <c r="B1" s="45"/>
      <c r="C1" s="45"/>
      <c r="D1" s="45">
        <v>1</v>
      </c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0" ht="58.5" x14ac:dyDescent="0.2">
      <c r="A2" s="49"/>
      <c r="B2" s="49" t="s">
        <v>291</v>
      </c>
      <c r="C2" s="50" t="s">
        <v>9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</row>
    <row r="3" spans="1:30" x14ac:dyDescent="0.2">
      <c r="A3" s="41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/>
  <dimension ref="A1:C1"/>
  <sheetViews>
    <sheetView workbookViewId="0">
      <pane ySplit="1" topLeftCell="A2" activePane="bottomLeft" state="frozen"/>
      <selection pane="bottomLeft" activeCell="G9" sqref="G9"/>
    </sheetView>
  </sheetViews>
  <sheetFormatPr defaultColWidth="6.7109375" defaultRowHeight="12.75" x14ac:dyDescent="0.2"/>
  <cols>
    <col min="1" max="1" width="9.140625" style="41" customWidth="1"/>
    <col min="2" max="2" width="13.5703125" style="37" customWidth="1"/>
    <col min="3" max="3" width="15.140625" style="37" customWidth="1"/>
    <col min="4" max="16384" width="6.7109375" style="37"/>
  </cols>
  <sheetData>
    <row r="1" spans="1:3" ht="15" x14ac:dyDescent="0.25">
      <c r="A1" s="48" t="s">
        <v>79</v>
      </c>
      <c r="B1" s="45" t="s">
        <v>281</v>
      </c>
      <c r="C1" s="45" t="s">
        <v>290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5"/>
  <dimension ref="A1:Z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L39" sqref="L39"/>
    </sheetView>
  </sheetViews>
  <sheetFormatPr defaultRowHeight="12.75" x14ac:dyDescent="0.2"/>
  <cols>
    <col min="1" max="1" width="7" customWidth="1"/>
    <col min="2" max="2" width="13.140625" customWidth="1"/>
    <col min="3" max="3" width="14.85546875" bestFit="1" customWidth="1"/>
    <col min="4" max="4" width="13.5703125" bestFit="1" customWidth="1"/>
    <col min="5" max="5" width="14.85546875" bestFit="1" customWidth="1"/>
    <col min="6" max="6" width="13.5703125" bestFit="1" customWidth="1"/>
    <col min="7" max="7" width="14.85546875" bestFit="1" customWidth="1"/>
    <col min="8" max="8" width="13.5703125" bestFit="1" customWidth="1"/>
    <col min="9" max="9" width="14.85546875" bestFit="1" customWidth="1"/>
    <col min="10" max="10" width="13.5703125" bestFit="1" customWidth="1"/>
    <col min="11" max="11" width="14.85546875" bestFit="1" customWidth="1"/>
    <col min="12" max="12" width="13.5703125" bestFit="1" customWidth="1"/>
    <col min="13" max="13" width="14.85546875" bestFit="1" customWidth="1"/>
    <col min="14" max="14" width="13.5703125" bestFit="1" customWidth="1"/>
    <col min="15" max="15" width="14.85546875" bestFit="1" customWidth="1"/>
    <col min="16" max="16" width="13.5703125" bestFit="1" customWidth="1"/>
    <col min="17" max="17" width="14.85546875" bestFit="1" customWidth="1"/>
    <col min="18" max="18" width="13.5703125" bestFit="1" customWidth="1"/>
    <col min="19" max="19" width="14.85546875" bestFit="1" customWidth="1"/>
    <col min="20" max="20" width="13.5703125" bestFit="1" customWidth="1"/>
    <col min="21" max="21" width="15.85546875" bestFit="1" customWidth="1"/>
    <col min="22" max="22" width="14.5703125" bestFit="1" customWidth="1"/>
    <col min="23" max="23" width="15.85546875" bestFit="1" customWidth="1"/>
    <col min="24" max="24" width="14.5703125" bestFit="1" customWidth="1"/>
    <col min="25" max="25" width="15.85546875" bestFit="1" customWidth="1"/>
    <col min="26" max="26" width="14.5703125" bestFit="1" customWidth="1"/>
  </cols>
  <sheetData>
    <row r="1" spans="1:26" ht="15" x14ac:dyDescent="0.25">
      <c r="A1" s="48" t="s">
        <v>79</v>
      </c>
      <c r="B1" s="45" t="s">
        <v>281</v>
      </c>
      <c r="C1" s="45" t="s">
        <v>460</v>
      </c>
      <c r="D1" s="45" t="s">
        <v>472</v>
      </c>
      <c r="E1" s="45" t="s">
        <v>461</v>
      </c>
      <c r="F1" s="45" t="s">
        <v>473</v>
      </c>
      <c r="G1" s="45" t="s">
        <v>462</v>
      </c>
      <c r="H1" s="45" t="s">
        <v>474</v>
      </c>
      <c r="I1" s="45" t="s">
        <v>463</v>
      </c>
      <c r="J1" s="45" t="s">
        <v>475</v>
      </c>
      <c r="K1" s="45" t="s">
        <v>464</v>
      </c>
      <c r="L1" s="45" t="s">
        <v>476</v>
      </c>
      <c r="M1" s="45" t="s">
        <v>465</v>
      </c>
      <c r="N1" s="45" t="s">
        <v>477</v>
      </c>
      <c r="O1" s="45" t="s">
        <v>466</v>
      </c>
      <c r="P1" s="45" t="s">
        <v>478</v>
      </c>
      <c r="Q1" s="45" t="s">
        <v>467</v>
      </c>
      <c r="R1" s="45" t="s">
        <v>479</v>
      </c>
      <c r="S1" s="45" t="s">
        <v>468</v>
      </c>
      <c r="T1" s="45" t="s">
        <v>480</v>
      </c>
      <c r="U1" s="45" t="s">
        <v>469</v>
      </c>
      <c r="V1" s="45" t="s">
        <v>481</v>
      </c>
      <c r="W1" s="45" t="s">
        <v>470</v>
      </c>
      <c r="X1" s="45" t="s">
        <v>482</v>
      </c>
      <c r="Y1" s="45" t="s">
        <v>471</v>
      </c>
      <c r="Z1" s="45" t="s">
        <v>483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4"/>
  <dimension ref="A1:AA2"/>
  <sheetViews>
    <sheetView workbookViewId="0">
      <pane xSplit="2" ySplit="1" topLeftCell="M2" activePane="bottomRight" state="frozen"/>
      <selection pane="topRight" activeCell="C1" sqref="C1"/>
      <selection pane="bottomLeft" activeCell="A2" sqref="A2"/>
      <selection pane="bottomRight" sqref="A1:Z1"/>
    </sheetView>
  </sheetViews>
  <sheetFormatPr defaultColWidth="9.140625" defaultRowHeight="12.75" x14ac:dyDescent="0.2"/>
  <cols>
    <col min="1" max="1" width="8.7109375" style="41" customWidth="1"/>
    <col min="2" max="2" width="13.85546875" style="37" customWidth="1"/>
    <col min="3" max="3" width="15.42578125" style="37" bestFit="1" customWidth="1"/>
    <col min="4" max="4" width="17.42578125" style="37" bestFit="1" customWidth="1"/>
    <col min="5" max="5" width="15.42578125" style="37" bestFit="1" customWidth="1"/>
    <col min="6" max="6" width="17.42578125" style="37" bestFit="1" customWidth="1"/>
    <col min="7" max="7" width="15.42578125" style="37" bestFit="1" customWidth="1"/>
    <col min="8" max="8" width="17.42578125" style="37" bestFit="1" customWidth="1"/>
    <col min="9" max="9" width="15.42578125" style="37" bestFit="1" customWidth="1"/>
    <col min="10" max="10" width="17.42578125" style="37" bestFit="1" customWidth="1"/>
    <col min="11" max="11" width="15.42578125" style="37" bestFit="1" customWidth="1"/>
    <col min="12" max="12" width="17.42578125" style="37" bestFit="1" customWidth="1"/>
    <col min="13" max="13" width="15.42578125" style="37" bestFit="1" customWidth="1"/>
    <col min="14" max="14" width="17.42578125" style="37" bestFit="1" customWidth="1"/>
    <col min="15" max="15" width="15.42578125" style="37" bestFit="1" customWidth="1"/>
    <col min="16" max="16" width="17.42578125" style="37" bestFit="1" customWidth="1"/>
    <col min="17" max="17" width="15.42578125" style="37" bestFit="1" customWidth="1"/>
    <col min="18" max="18" width="17.42578125" style="37" bestFit="1" customWidth="1"/>
    <col min="19" max="19" width="15.42578125" style="37" bestFit="1" customWidth="1"/>
    <col min="20" max="20" width="17.42578125" style="37" bestFit="1" customWidth="1"/>
    <col min="21" max="21" width="16.42578125" style="37" bestFit="1" customWidth="1"/>
    <col min="22" max="22" width="18.42578125" style="37" bestFit="1" customWidth="1"/>
    <col min="23" max="23" width="16.42578125" style="37" bestFit="1" customWidth="1"/>
    <col min="24" max="24" width="18.42578125" style="37" bestFit="1" customWidth="1"/>
    <col min="25" max="25" width="16.42578125" style="37" bestFit="1" customWidth="1"/>
    <col min="26" max="26" width="18.42578125" style="37" bestFit="1" customWidth="1"/>
    <col min="27" max="16384" width="9.140625" style="37"/>
  </cols>
  <sheetData>
    <row r="1" spans="1:27" ht="15" x14ac:dyDescent="0.25">
      <c r="A1" s="48" t="s">
        <v>79</v>
      </c>
      <c r="B1" s="45" t="s">
        <v>281</v>
      </c>
      <c r="C1" s="45" t="s">
        <v>436</v>
      </c>
      <c r="D1" s="45" t="s">
        <v>437</v>
      </c>
      <c r="E1" s="45" t="s">
        <v>438</v>
      </c>
      <c r="F1" s="45" t="s">
        <v>439</v>
      </c>
      <c r="G1" s="45" t="s">
        <v>440</v>
      </c>
      <c r="H1" s="45" t="s">
        <v>441</v>
      </c>
      <c r="I1" s="45" t="s">
        <v>442</v>
      </c>
      <c r="J1" s="45" t="s">
        <v>443</v>
      </c>
      <c r="K1" s="45" t="s">
        <v>444</v>
      </c>
      <c r="L1" s="45" t="s">
        <v>445</v>
      </c>
      <c r="M1" s="45" t="s">
        <v>446</v>
      </c>
      <c r="N1" s="45" t="s">
        <v>447</v>
      </c>
      <c r="O1" s="45" t="s">
        <v>448</v>
      </c>
      <c r="P1" s="45" t="s">
        <v>449</v>
      </c>
      <c r="Q1" s="45" t="s">
        <v>450</v>
      </c>
      <c r="R1" s="45" t="s">
        <v>451</v>
      </c>
      <c r="S1" s="45" t="s">
        <v>452</v>
      </c>
      <c r="T1" s="45" t="s">
        <v>453</v>
      </c>
      <c r="U1" s="45" t="s">
        <v>454</v>
      </c>
      <c r="V1" s="45" t="s">
        <v>455</v>
      </c>
      <c r="W1" s="45" t="s">
        <v>456</v>
      </c>
      <c r="X1" s="45" t="s">
        <v>457</v>
      </c>
      <c r="Y1" s="45" t="s">
        <v>458</v>
      </c>
      <c r="Z1" s="45" t="s">
        <v>459</v>
      </c>
      <c r="AA1" s="45"/>
    </row>
    <row r="2" spans="1:27" x14ac:dyDescent="0.2">
      <c r="A2" s="4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6"/>
  <dimension ref="A1:AA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ColWidth="9.140625" defaultRowHeight="12.75" x14ac:dyDescent="0.2"/>
  <cols>
    <col min="1" max="1" width="9.28515625" style="41" customWidth="1"/>
    <col min="2" max="2" width="15.5703125" style="37" customWidth="1"/>
    <col min="3" max="3" width="14.5703125" style="37" bestFit="1" customWidth="1"/>
    <col min="4" max="4" width="16.42578125" style="37" bestFit="1" customWidth="1"/>
    <col min="5" max="5" width="14.5703125" style="37" bestFit="1" customWidth="1"/>
    <col min="6" max="6" width="16.42578125" style="37" bestFit="1" customWidth="1"/>
    <col min="7" max="7" width="14.5703125" style="37" bestFit="1" customWidth="1"/>
    <col min="8" max="8" width="16.42578125" style="37" bestFit="1" customWidth="1"/>
    <col min="9" max="9" width="14.5703125" style="37" bestFit="1" customWidth="1"/>
    <col min="10" max="10" width="16.42578125" style="37" bestFit="1" customWidth="1"/>
    <col min="11" max="11" width="14.5703125" style="37" bestFit="1" customWidth="1"/>
    <col min="12" max="12" width="16.42578125" style="37" bestFit="1" customWidth="1"/>
    <col min="13" max="13" width="14.5703125" style="37" bestFit="1" customWidth="1"/>
    <col min="14" max="14" width="16.42578125" style="37" bestFit="1" customWidth="1"/>
    <col min="15" max="15" width="14.5703125" style="37" bestFit="1" customWidth="1"/>
    <col min="16" max="16" width="16.42578125" style="37" bestFit="1" customWidth="1"/>
    <col min="17" max="17" width="14.5703125" style="37" bestFit="1" customWidth="1"/>
    <col min="18" max="18" width="16.42578125" style="37" bestFit="1" customWidth="1"/>
    <col min="19" max="19" width="14.5703125" style="37" bestFit="1" customWidth="1"/>
    <col min="20" max="20" width="16.42578125" style="37" bestFit="1" customWidth="1"/>
    <col min="21" max="21" width="15.5703125" style="37" bestFit="1" customWidth="1"/>
    <col min="22" max="22" width="17.5703125" style="37" bestFit="1" customWidth="1"/>
    <col min="23" max="23" width="15.5703125" style="37" bestFit="1" customWidth="1"/>
    <col min="24" max="24" width="17.5703125" style="37" bestFit="1" customWidth="1"/>
    <col min="25" max="25" width="15.5703125" style="37" bestFit="1" customWidth="1"/>
    <col min="26" max="26" width="17.5703125" style="37" bestFit="1" customWidth="1"/>
    <col min="27" max="16384" width="9.140625" style="37"/>
  </cols>
  <sheetData>
    <row r="1" spans="1:27" ht="15" x14ac:dyDescent="0.25">
      <c r="A1" s="48" t="s">
        <v>79</v>
      </c>
      <c r="B1" s="45" t="s">
        <v>281</v>
      </c>
      <c r="C1" s="45" t="s">
        <v>282</v>
      </c>
      <c r="D1" s="45" t="s">
        <v>283</v>
      </c>
      <c r="E1" s="45" t="s">
        <v>284</v>
      </c>
      <c r="F1" s="45" t="s">
        <v>285</v>
      </c>
      <c r="G1" s="45" t="s">
        <v>286</v>
      </c>
      <c r="H1" s="45" t="s">
        <v>287</v>
      </c>
      <c r="I1" s="45" t="s">
        <v>288</v>
      </c>
      <c r="J1" s="45" t="s">
        <v>289</v>
      </c>
      <c r="K1" s="45" t="s">
        <v>369</v>
      </c>
      <c r="L1" s="45" t="s">
        <v>370</v>
      </c>
      <c r="M1" s="45" t="s">
        <v>371</v>
      </c>
      <c r="N1" s="45" t="s">
        <v>372</v>
      </c>
      <c r="O1" s="45" t="s">
        <v>373</v>
      </c>
      <c r="P1" s="45" t="s">
        <v>374</v>
      </c>
      <c r="Q1" s="45" t="s">
        <v>375</v>
      </c>
      <c r="R1" s="45" t="s">
        <v>376</v>
      </c>
      <c r="S1" s="45" t="s">
        <v>377</v>
      </c>
      <c r="T1" s="45" t="s">
        <v>378</v>
      </c>
      <c r="U1" s="45" t="s">
        <v>379</v>
      </c>
      <c r="V1" s="45" t="s">
        <v>380</v>
      </c>
      <c r="W1" s="45" t="s">
        <v>381</v>
      </c>
      <c r="X1" s="45" t="s">
        <v>382</v>
      </c>
      <c r="Y1" s="45" t="s">
        <v>383</v>
      </c>
      <c r="Z1" s="45" t="s">
        <v>384</v>
      </c>
      <c r="AA1" s="45"/>
    </row>
    <row r="2" spans="1:27" x14ac:dyDescent="0.2">
      <c r="A2" s="4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6"/>
  <dimension ref="A1:C3"/>
  <sheetViews>
    <sheetView workbookViewId="0">
      <selection activeCell="C2" sqref="C2"/>
    </sheetView>
  </sheetViews>
  <sheetFormatPr defaultRowHeight="12.75" x14ac:dyDescent="0.2"/>
  <cols>
    <col min="1" max="1" width="12.5703125" bestFit="1" customWidth="1"/>
    <col min="2" max="2" width="13.5703125" customWidth="1"/>
    <col min="3" max="3" width="10.5703125" bestFit="1" customWidth="1"/>
  </cols>
  <sheetData>
    <row r="1" spans="1:3" ht="15" x14ac:dyDescent="0.25">
      <c r="A1" s="47" t="s">
        <v>336</v>
      </c>
      <c r="B1" s="47"/>
      <c r="C1" s="47" t="s">
        <v>487</v>
      </c>
    </row>
    <row r="2" spans="1:3" ht="15" x14ac:dyDescent="0.25">
      <c r="A2" s="47" t="s">
        <v>488</v>
      </c>
      <c r="B2" s="47" t="s">
        <v>79</v>
      </c>
      <c r="C2" s="46"/>
    </row>
    <row r="3" spans="1:3" ht="15" x14ac:dyDescent="0.25">
      <c r="A3" s="47" t="s">
        <v>489</v>
      </c>
      <c r="B3" s="46"/>
      <c r="C3" s="47" t="s">
        <v>490</v>
      </c>
    </row>
  </sheetData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7"/>
  <dimension ref="A1:B4"/>
  <sheetViews>
    <sheetView workbookViewId="0">
      <selection activeCell="D11" sqref="D11"/>
    </sheetView>
  </sheetViews>
  <sheetFormatPr defaultRowHeight="12.75" x14ac:dyDescent="0.2"/>
  <cols>
    <col min="1" max="1" width="11.140625" bestFit="1" customWidth="1"/>
    <col min="2" max="2" width="8.42578125" bestFit="1" customWidth="1"/>
    <col min="3" max="3" width="8.85546875" bestFit="1" customWidth="1"/>
  </cols>
  <sheetData>
    <row r="1" spans="1:2" ht="15" x14ac:dyDescent="0.25">
      <c r="A1" s="45" t="s">
        <v>336</v>
      </c>
      <c r="B1" s="47"/>
    </row>
    <row r="2" spans="1:2" ht="15" x14ac:dyDescent="0.25">
      <c r="A2" s="47" t="s">
        <v>488</v>
      </c>
      <c r="B2" s="45" t="s">
        <v>280</v>
      </c>
    </row>
    <row r="3" spans="1:2" ht="15" x14ac:dyDescent="0.25">
      <c r="A3" s="45" t="s">
        <v>339</v>
      </c>
    </row>
    <row r="4" spans="1:2" ht="15" x14ac:dyDescent="0.25">
      <c r="A4" s="45" t="s">
        <v>340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8"/>
  <dimension ref="A1:C4"/>
  <sheetViews>
    <sheetView workbookViewId="0">
      <selection activeCell="B3" sqref="B3"/>
    </sheetView>
  </sheetViews>
  <sheetFormatPr defaultColWidth="9.140625" defaultRowHeight="12.75" x14ac:dyDescent="0.2"/>
  <cols>
    <col min="1" max="16384" width="9.140625" style="37"/>
  </cols>
  <sheetData>
    <row r="1" spans="1:3" ht="15" x14ac:dyDescent="0.25">
      <c r="A1" s="45" t="s">
        <v>279</v>
      </c>
      <c r="B1" s="45"/>
      <c r="C1" s="45"/>
    </row>
    <row r="2" spans="1:3" ht="15" x14ac:dyDescent="0.25">
      <c r="A2" s="45"/>
      <c r="B2" s="45" t="s">
        <v>280</v>
      </c>
      <c r="C2" s="45" t="s">
        <v>385</v>
      </c>
    </row>
    <row r="3" spans="1:3" ht="15" x14ac:dyDescent="0.25">
      <c r="A3" s="45" t="s">
        <v>386</v>
      </c>
    </row>
    <row r="4" spans="1:3" ht="15" x14ac:dyDescent="0.25">
      <c r="A4" s="45" t="s">
        <v>387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9"/>
  <dimension ref="A1:B5"/>
  <sheetViews>
    <sheetView workbookViewId="0">
      <selection activeCell="B3" sqref="B3"/>
    </sheetView>
  </sheetViews>
  <sheetFormatPr defaultRowHeight="12.75" x14ac:dyDescent="0.2"/>
  <cols>
    <col min="1" max="1" width="22.42578125" bestFit="1" customWidth="1"/>
  </cols>
  <sheetData>
    <row r="1" spans="1:2" ht="15" x14ac:dyDescent="0.25">
      <c r="A1" s="45" t="s">
        <v>357</v>
      </c>
      <c r="B1" s="47"/>
    </row>
    <row r="2" spans="1:2" ht="15" x14ac:dyDescent="0.25">
      <c r="A2" s="47"/>
      <c r="B2" s="45" t="s">
        <v>337</v>
      </c>
    </row>
    <row r="3" spans="1:2" ht="15" x14ac:dyDescent="0.25">
      <c r="A3" s="47" t="s">
        <v>354</v>
      </c>
    </row>
    <row r="4" spans="1:2" ht="15" x14ac:dyDescent="0.25">
      <c r="A4" s="47" t="s">
        <v>356</v>
      </c>
    </row>
    <row r="5" spans="1:2" ht="15" x14ac:dyDescent="0.25">
      <c r="A5" s="47" t="s">
        <v>355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0"/>
  <dimension ref="A1:E20"/>
  <sheetViews>
    <sheetView workbookViewId="0">
      <selection activeCell="E13" sqref="E13"/>
    </sheetView>
  </sheetViews>
  <sheetFormatPr defaultRowHeight="12.75" x14ac:dyDescent="0.2"/>
  <cols>
    <col min="1" max="1" width="22.42578125" bestFit="1" customWidth="1"/>
    <col min="2" max="2" width="11.7109375" bestFit="1" customWidth="1"/>
  </cols>
  <sheetData>
    <row r="1" spans="1:5" ht="15" x14ac:dyDescent="0.25">
      <c r="A1" s="45" t="s">
        <v>397</v>
      </c>
      <c r="B1" s="47"/>
    </row>
    <row r="2" spans="1:5" ht="15" x14ac:dyDescent="0.25">
      <c r="A2" s="47"/>
      <c r="B2" s="45" t="s">
        <v>337</v>
      </c>
    </row>
    <row r="3" spans="1:5" ht="15" x14ac:dyDescent="0.25">
      <c r="A3" s="47" t="s">
        <v>354</v>
      </c>
    </row>
    <row r="4" spans="1:5" ht="15" x14ac:dyDescent="0.25">
      <c r="A4" s="47" t="s">
        <v>356</v>
      </c>
    </row>
    <row r="5" spans="1:5" ht="15" x14ac:dyDescent="0.25">
      <c r="A5" s="47" t="s">
        <v>355</v>
      </c>
    </row>
    <row r="6" spans="1:5" ht="15" x14ac:dyDescent="0.25">
      <c r="A6" s="47"/>
      <c r="B6" s="47"/>
    </row>
    <row r="7" spans="1:5" ht="15" x14ac:dyDescent="0.25">
      <c r="A7" s="47"/>
      <c r="B7" s="47" t="s">
        <v>362</v>
      </c>
    </row>
    <row r="8" spans="1:5" ht="15" x14ac:dyDescent="0.25">
      <c r="A8" s="47" t="s">
        <v>492</v>
      </c>
      <c r="B8" s="27"/>
    </row>
    <row r="9" spans="1:5" ht="15" x14ac:dyDescent="0.25">
      <c r="A9" s="47" t="s">
        <v>493</v>
      </c>
      <c r="B9" s="27"/>
    </row>
    <row r="10" spans="1:5" ht="15" x14ac:dyDescent="0.25">
      <c r="A10" s="47" t="s">
        <v>494</v>
      </c>
      <c r="B10" s="27"/>
    </row>
    <row r="11" spans="1:5" ht="15" x14ac:dyDescent="0.25">
      <c r="A11" s="47" t="s">
        <v>495</v>
      </c>
      <c r="B11" s="27"/>
    </row>
    <row r="12" spans="1:5" ht="15" x14ac:dyDescent="0.25">
      <c r="A12" s="47" t="s">
        <v>496</v>
      </c>
      <c r="B12" s="52"/>
      <c r="E12" s="55"/>
    </row>
    <row r="13" spans="1:5" ht="15" x14ac:dyDescent="0.25">
      <c r="A13" s="47" t="s">
        <v>497</v>
      </c>
      <c r="B13" s="52"/>
    </row>
    <row r="14" spans="1:5" ht="15" x14ac:dyDescent="0.25">
      <c r="A14" s="47" t="s">
        <v>498</v>
      </c>
      <c r="B14" s="52"/>
    </row>
    <row r="15" spans="1:5" ht="15" x14ac:dyDescent="0.25">
      <c r="A15" s="53" t="s">
        <v>499</v>
      </c>
      <c r="B15" s="52"/>
    </row>
    <row r="16" spans="1:5" ht="15" x14ac:dyDescent="0.25">
      <c r="A16" s="47"/>
      <c r="B16" s="47"/>
    </row>
    <row r="17" spans="1:2" ht="15" x14ac:dyDescent="0.25">
      <c r="A17" s="47"/>
      <c r="B17" s="47" t="s">
        <v>363</v>
      </c>
    </row>
    <row r="18" spans="1:2" ht="15" x14ac:dyDescent="0.25">
      <c r="A18" s="47" t="s">
        <v>361</v>
      </c>
    </row>
    <row r="19" spans="1:2" ht="15" x14ac:dyDescent="0.25">
      <c r="A19" s="47" t="s">
        <v>398</v>
      </c>
    </row>
    <row r="20" spans="1:2" ht="15" x14ac:dyDescent="0.25">
      <c r="A20" s="54" t="s">
        <v>491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1"/>
  <dimension ref="A1:B10"/>
  <sheetViews>
    <sheetView workbookViewId="0">
      <selection activeCell="J5" sqref="J5"/>
    </sheetView>
  </sheetViews>
  <sheetFormatPr defaultRowHeight="12.75" x14ac:dyDescent="0.2"/>
  <cols>
    <col min="1" max="1" width="13.85546875" bestFit="1" customWidth="1"/>
    <col min="2" max="2" width="11.7109375" bestFit="1" customWidth="1"/>
  </cols>
  <sheetData>
    <row r="1" spans="1:2" ht="15" x14ac:dyDescent="0.25">
      <c r="A1" s="47" t="s">
        <v>344</v>
      </c>
      <c r="B1" s="47"/>
    </row>
    <row r="2" spans="1:2" ht="15" x14ac:dyDescent="0.25">
      <c r="A2" s="47"/>
      <c r="B2" s="47" t="s">
        <v>337</v>
      </c>
    </row>
    <row r="3" spans="1:2" ht="15" x14ac:dyDescent="0.25">
      <c r="A3" s="47" t="s">
        <v>345</v>
      </c>
    </row>
    <row r="4" spans="1:2" ht="15" x14ac:dyDescent="0.25">
      <c r="A4" s="47"/>
      <c r="B4" s="47"/>
    </row>
    <row r="5" spans="1:2" ht="15" x14ac:dyDescent="0.25">
      <c r="A5" s="47"/>
      <c r="B5" s="47" t="s">
        <v>362</v>
      </c>
    </row>
    <row r="6" spans="1:2" ht="15" x14ac:dyDescent="0.25">
      <c r="A6" s="47" t="s">
        <v>346</v>
      </c>
    </row>
    <row r="7" spans="1:2" ht="15" x14ac:dyDescent="0.25">
      <c r="A7" s="47" t="s">
        <v>347</v>
      </c>
    </row>
    <row r="8" spans="1:2" ht="15" x14ac:dyDescent="0.25">
      <c r="A8" s="47"/>
      <c r="B8" s="47"/>
    </row>
    <row r="9" spans="1:2" ht="15" x14ac:dyDescent="0.25">
      <c r="A9" s="47"/>
      <c r="B9" s="47" t="s">
        <v>363</v>
      </c>
    </row>
    <row r="10" spans="1:2" ht="15" x14ac:dyDescent="0.25">
      <c r="A10" s="47" t="s">
        <v>348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2"/>
  <dimension ref="A1:B4"/>
  <sheetViews>
    <sheetView workbookViewId="0">
      <selection activeCell="B3" sqref="B3"/>
    </sheetView>
  </sheetViews>
  <sheetFormatPr defaultRowHeight="12.75" x14ac:dyDescent="0.2"/>
  <sheetData>
    <row r="1" spans="1:2" ht="15" x14ac:dyDescent="0.25">
      <c r="A1" s="47" t="s">
        <v>388</v>
      </c>
      <c r="B1" s="47"/>
    </row>
    <row r="2" spans="1:2" ht="15" x14ac:dyDescent="0.25">
      <c r="A2" s="47"/>
      <c r="B2" s="47" t="s">
        <v>280</v>
      </c>
    </row>
    <row r="3" spans="1:2" ht="15" x14ac:dyDescent="0.25">
      <c r="A3" s="47" t="s">
        <v>389</v>
      </c>
    </row>
    <row r="4" spans="1:2" ht="15" x14ac:dyDescent="0.25">
      <c r="A4" s="47" t="s">
        <v>390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9"/>
  <dimension ref="A1:B1"/>
  <sheetViews>
    <sheetView workbookViewId="0">
      <selection activeCell="B1" sqref="B1"/>
    </sheetView>
  </sheetViews>
  <sheetFormatPr defaultColWidth="9.140625" defaultRowHeight="12.75" x14ac:dyDescent="0.2"/>
  <cols>
    <col min="1" max="16384" width="9.140625" style="38"/>
  </cols>
  <sheetData>
    <row r="1" spans="1:2" x14ac:dyDescent="0.2">
      <c r="A1" s="37" t="s">
        <v>176</v>
      </c>
      <c r="B1" s="38">
        <v>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0"/>
  <dimension ref="A1:F2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9.140625" defaultRowHeight="12.75" x14ac:dyDescent="0.2"/>
  <cols>
    <col min="1" max="1" width="6.28515625" style="37" customWidth="1"/>
    <col min="2" max="2" width="18.7109375" style="37" bestFit="1" customWidth="1"/>
    <col min="3" max="3" width="15.28515625" style="37" bestFit="1" customWidth="1"/>
    <col min="4" max="4" width="9.28515625" style="37" customWidth="1"/>
    <col min="5" max="5" width="9.140625" style="37" customWidth="1"/>
    <col min="6" max="6" width="11.42578125" style="37" customWidth="1"/>
    <col min="7" max="16384" width="9.140625" style="37"/>
  </cols>
  <sheetData>
    <row r="1" spans="1:6" x14ac:dyDescent="0.2">
      <c r="D1" s="37" t="s">
        <v>320</v>
      </c>
    </row>
    <row r="2" spans="1:6" x14ac:dyDescent="0.2">
      <c r="A2" s="37" t="s">
        <v>79</v>
      </c>
      <c r="B2" s="37" t="s">
        <v>281</v>
      </c>
      <c r="C2" s="37" t="s">
        <v>368</v>
      </c>
      <c r="D2" s="37" t="s">
        <v>321</v>
      </c>
      <c r="E2" s="37" t="s">
        <v>322</v>
      </c>
      <c r="F2" s="37" t="s">
        <v>323</v>
      </c>
    </row>
    <row r="3" spans="1:6" x14ac:dyDescent="0.2">
      <c r="A3" s="37">
        <v>1</v>
      </c>
      <c r="B3" s="37" t="s">
        <v>293</v>
      </c>
    </row>
    <row r="4" spans="1:6" x14ac:dyDescent="0.2">
      <c r="A4" s="37">
        <v>2</v>
      </c>
      <c r="B4" s="37" t="s">
        <v>294</v>
      </c>
    </row>
    <row r="5" spans="1:6" x14ac:dyDescent="0.2">
      <c r="A5" s="37">
        <v>3</v>
      </c>
      <c r="B5" s="37" t="s">
        <v>295</v>
      </c>
    </row>
    <row r="6" spans="1:6" x14ac:dyDescent="0.2">
      <c r="A6" s="37">
        <v>4</v>
      </c>
      <c r="B6" s="37" t="s">
        <v>296</v>
      </c>
    </row>
    <row r="7" spans="1:6" x14ac:dyDescent="0.2">
      <c r="A7" s="37">
        <v>5</v>
      </c>
      <c r="B7" s="37" t="s">
        <v>297</v>
      </c>
    </row>
    <row r="8" spans="1:6" x14ac:dyDescent="0.2">
      <c r="A8" s="37">
        <v>6</v>
      </c>
      <c r="B8" s="37" t="s">
        <v>298</v>
      </c>
    </row>
    <row r="9" spans="1:6" x14ac:dyDescent="0.2">
      <c r="A9" s="37">
        <v>7</v>
      </c>
      <c r="B9" s="37" t="s">
        <v>299</v>
      </c>
    </row>
    <row r="10" spans="1:6" x14ac:dyDescent="0.2">
      <c r="A10" s="37">
        <v>8</v>
      </c>
      <c r="B10" s="37" t="s">
        <v>300</v>
      </c>
    </row>
    <row r="11" spans="1:6" x14ac:dyDescent="0.2">
      <c r="A11" s="37">
        <v>9</v>
      </c>
      <c r="B11" s="37" t="s">
        <v>301</v>
      </c>
    </row>
    <row r="12" spans="1:6" x14ac:dyDescent="0.2">
      <c r="A12" s="37">
        <v>10</v>
      </c>
      <c r="B12" s="37" t="s">
        <v>302</v>
      </c>
    </row>
    <row r="13" spans="1:6" x14ac:dyDescent="0.2">
      <c r="A13" s="37">
        <v>11</v>
      </c>
      <c r="B13" s="37" t="s">
        <v>303</v>
      </c>
    </row>
    <row r="14" spans="1:6" x14ac:dyDescent="0.2">
      <c r="A14" s="37">
        <v>12</v>
      </c>
      <c r="B14" s="37" t="s">
        <v>304</v>
      </c>
    </row>
    <row r="15" spans="1:6" x14ac:dyDescent="0.2">
      <c r="A15" s="37">
        <v>13</v>
      </c>
      <c r="B15" s="37" t="s">
        <v>305</v>
      </c>
    </row>
    <row r="16" spans="1:6" x14ac:dyDescent="0.2">
      <c r="A16" s="37">
        <v>14</v>
      </c>
      <c r="B16" s="37" t="s">
        <v>306</v>
      </c>
    </row>
    <row r="17" spans="1:2" x14ac:dyDescent="0.2">
      <c r="A17" s="37">
        <v>15</v>
      </c>
      <c r="B17" s="37" t="s">
        <v>307</v>
      </c>
    </row>
    <row r="18" spans="1:2" x14ac:dyDescent="0.2">
      <c r="A18" s="37">
        <v>16</v>
      </c>
      <c r="B18" s="37" t="s">
        <v>308</v>
      </c>
    </row>
    <row r="19" spans="1:2" x14ac:dyDescent="0.2">
      <c r="A19" s="37">
        <v>17</v>
      </c>
      <c r="B19" s="37" t="s">
        <v>309</v>
      </c>
    </row>
    <row r="20" spans="1:2" x14ac:dyDescent="0.2">
      <c r="A20" s="37">
        <v>18</v>
      </c>
      <c r="B20" s="37" t="s">
        <v>310</v>
      </c>
    </row>
    <row r="21" spans="1:2" x14ac:dyDescent="0.2">
      <c r="A21" s="37">
        <v>19</v>
      </c>
      <c r="B21" s="37" t="s">
        <v>311</v>
      </c>
    </row>
    <row r="22" spans="1:2" x14ac:dyDescent="0.2">
      <c r="A22" s="37">
        <v>20</v>
      </c>
      <c r="B22" s="37" t="s">
        <v>312</v>
      </c>
    </row>
    <row r="23" spans="1:2" x14ac:dyDescent="0.2">
      <c r="A23" s="37">
        <v>21</v>
      </c>
      <c r="B23" s="37" t="s">
        <v>313</v>
      </c>
    </row>
    <row r="24" spans="1:2" x14ac:dyDescent="0.2">
      <c r="A24" s="37">
        <v>22</v>
      </c>
      <c r="B24" s="37" t="s">
        <v>314</v>
      </c>
    </row>
    <row r="25" spans="1:2" x14ac:dyDescent="0.2">
      <c r="A25" s="37">
        <v>23</v>
      </c>
      <c r="B25" s="37" t="s">
        <v>315</v>
      </c>
    </row>
    <row r="26" spans="1:2" x14ac:dyDescent="0.2">
      <c r="A26" s="37">
        <v>24</v>
      </c>
      <c r="B26" s="37" t="s">
        <v>316</v>
      </c>
    </row>
    <row r="27" spans="1:2" x14ac:dyDescent="0.2">
      <c r="A27" s="37">
        <v>25</v>
      </c>
      <c r="B27" s="37" t="s">
        <v>317</v>
      </c>
    </row>
    <row r="28" spans="1:2" x14ac:dyDescent="0.2">
      <c r="A28" s="37">
        <v>26</v>
      </c>
      <c r="B28" s="37" t="s">
        <v>318</v>
      </c>
    </row>
    <row r="29" spans="1:2" x14ac:dyDescent="0.2">
      <c r="A29" s="37">
        <v>27</v>
      </c>
      <c r="B29" s="37" t="s">
        <v>319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1"/>
  <dimension ref="A1:AE3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E1" sqref="E1:E2"/>
    </sheetView>
  </sheetViews>
  <sheetFormatPr defaultColWidth="9.140625" defaultRowHeight="12.75" x14ac:dyDescent="0.2"/>
  <cols>
    <col min="1" max="1" width="4.7109375" style="37" customWidth="1"/>
    <col min="2" max="2" width="4.85546875" style="37" customWidth="1"/>
    <col min="3" max="3" width="4.42578125" style="37" customWidth="1"/>
    <col min="4" max="4" width="17.85546875" style="37" customWidth="1"/>
    <col min="5" max="5" width="4.140625" style="37" customWidth="1"/>
    <col min="6" max="13" width="4.28515625" style="37" customWidth="1"/>
    <col min="14" max="14" width="4.42578125" style="37" customWidth="1"/>
    <col min="15" max="16" width="4.28515625" style="37" customWidth="1"/>
    <col min="17" max="17" width="4.140625" style="37" customWidth="1"/>
    <col min="18" max="18" width="4.42578125" style="37" customWidth="1"/>
    <col min="19" max="19" width="4.28515625" style="37" customWidth="1"/>
    <col min="20" max="20" width="4.140625" style="37" customWidth="1"/>
    <col min="21" max="31" width="4.28515625" style="37" customWidth="1"/>
    <col min="32" max="16384" width="9.140625" style="37"/>
  </cols>
  <sheetData>
    <row r="1" spans="1:31" x14ac:dyDescent="0.2">
      <c r="A1" s="37" t="s">
        <v>79</v>
      </c>
      <c r="E1" s="37">
        <v>1</v>
      </c>
      <c r="F1" s="37">
        <v>2</v>
      </c>
      <c r="G1" s="37">
        <v>3</v>
      </c>
      <c r="H1" s="37">
        <v>4</v>
      </c>
      <c r="I1" s="37">
        <v>5</v>
      </c>
      <c r="J1" s="37">
        <v>6</v>
      </c>
      <c r="K1" s="37">
        <v>7</v>
      </c>
      <c r="L1" s="37">
        <v>8</v>
      </c>
      <c r="M1" s="37">
        <v>9</v>
      </c>
      <c r="N1" s="37">
        <v>10</v>
      </c>
      <c r="O1" s="37">
        <v>11</v>
      </c>
      <c r="P1" s="37">
        <v>12</v>
      </c>
      <c r="Q1" s="37">
        <v>13</v>
      </c>
      <c r="R1" s="37">
        <v>14</v>
      </c>
      <c r="S1" s="37">
        <v>15</v>
      </c>
      <c r="T1" s="37">
        <v>16</v>
      </c>
      <c r="U1" s="37">
        <v>17</v>
      </c>
      <c r="V1" s="37">
        <v>18</v>
      </c>
      <c r="W1" s="37">
        <v>19</v>
      </c>
      <c r="X1" s="37">
        <v>20</v>
      </c>
      <c r="Y1" s="37">
        <v>21</v>
      </c>
      <c r="Z1" s="37">
        <v>22</v>
      </c>
      <c r="AA1" s="37">
        <v>23</v>
      </c>
      <c r="AB1" s="37">
        <v>24</v>
      </c>
      <c r="AC1" s="37">
        <v>25</v>
      </c>
      <c r="AD1" s="37">
        <v>26</v>
      </c>
      <c r="AE1" s="37">
        <v>27</v>
      </c>
    </row>
    <row r="2" spans="1:31" ht="99" x14ac:dyDescent="0.2">
      <c r="A2" s="39"/>
      <c r="B2" s="39" t="s">
        <v>291</v>
      </c>
      <c r="C2" s="39" t="s">
        <v>292</v>
      </c>
      <c r="D2" s="40" t="s">
        <v>9</v>
      </c>
      <c r="E2" s="39" t="s">
        <v>293</v>
      </c>
      <c r="F2" s="39" t="s">
        <v>294</v>
      </c>
      <c r="G2" s="39" t="s">
        <v>295</v>
      </c>
      <c r="H2" s="39" t="s">
        <v>296</v>
      </c>
      <c r="I2" s="39" t="s">
        <v>297</v>
      </c>
      <c r="J2" s="39" t="s">
        <v>298</v>
      </c>
      <c r="K2" s="39" t="s">
        <v>299</v>
      </c>
      <c r="L2" s="39" t="s">
        <v>300</v>
      </c>
      <c r="M2" s="39" t="s">
        <v>301</v>
      </c>
      <c r="N2" s="39" t="s">
        <v>302</v>
      </c>
      <c r="O2" s="39" t="s">
        <v>303</v>
      </c>
      <c r="P2" s="39" t="s">
        <v>304</v>
      </c>
      <c r="Q2" s="39" t="s">
        <v>305</v>
      </c>
      <c r="R2" s="39" t="s">
        <v>306</v>
      </c>
      <c r="S2" s="39" t="s">
        <v>307</v>
      </c>
      <c r="T2" s="39" t="s">
        <v>308</v>
      </c>
      <c r="U2" s="39" t="s">
        <v>309</v>
      </c>
      <c r="V2" s="39" t="s">
        <v>310</v>
      </c>
      <c r="W2" s="39" t="s">
        <v>311</v>
      </c>
      <c r="X2" s="39" t="s">
        <v>312</v>
      </c>
      <c r="Y2" s="39" t="s">
        <v>313</v>
      </c>
      <c r="Z2" s="39" t="s">
        <v>314</v>
      </c>
      <c r="AA2" s="39" t="s">
        <v>315</v>
      </c>
      <c r="AB2" s="39" t="s">
        <v>316</v>
      </c>
      <c r="AC2" s="39" t="s">
        <v>317</v>
      </c>
      <c r="AD2" s="39" t="s">
        <v>318</v>
      </c>
      <c r="AE2" s="39" t="s">
        <v>319</v>
      </c>
    </row>
    <row r="3" spans="1:31" x14ac:dyDescent="0.2">
      <c r="A3" s="41">
        <v>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2"/>
  <dimension ref="A1:C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ColWidth="6.7109375" defaultRowHeight="12.75" x14ac:dyDescent="0.2"/>
  <cols>
    <col min="1" max="1" width="6.85546875" style="41" customWidth="1"/>
    <col min="2" max="2" width="11.85546875" style="37" customWidth="1"/>
    <col min="3" max="3" width="12.85546875" style="37" bestFit="1" customWidth="1"/>
    <col min="4" max="16384" width="6.7109375" style="37"/>
  </cols>
  <sheetData>
    <row r="1" spans="1:3" x14ac:dyDescent="0.2">
      <c r="A1" s="41" t="s">
        <v>79</v>
      </c>
    </row>
    <row r="2" spans="1:3" x14ac:dyDescent="0.2">
      <c r="B2" s="37" t="s">
        <v>281</v>
      </c>
      <c r="C2" s="37" t="s">
        <v>290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3"/>
  <dimension ref="A1:Z2"/>
  <sheetViews>
    <sheetView workbookViewId="0">
      <pane xSplit="2" ySplit="2" topLeftCell="K3" activePane="bottomRight" state="frozen"/>
      <selection pane="topRight" activeCell="C1" sqref="C1"/>
      <selection pane="bottomLeft" activeCell="A3" sqref="A3"/>
      <selection pane="bottomRight" activeCell="K2" sqref="K2:Z2"/>
    </sheetView>
  </sheetViews>
  <sheetFormatPr defaultColWidth="9.140625" defaultRowHeight="12.75" x14ac:dyDescent="0.2"/>
  <cols>
    <col min="1" max="1" width="5.28515625" style="41" customWidth="1"/>
    <col min="2" max="2" width="12.28515625" style="37" customWidth="1"/>
    <col min="3" max="3" width="12.140625" style="37" bestFit="1" customWidth="1"/>
    <col min="4" max="4" width="13.85546875" style="37" bestFit="1" customWidth="1"/>
    <col min="5" max="5" width="12.140625" style="37" bestFit="1" customWidth="1"/>
    <col min="6" max="6" width="13.85546875" style="37" bestFit="1" customWidth="1"/>
    <col min="7" max="7" width="12.140625" style="37" bestFit="1" customWidth="1"/>
    <col min="8" max="8" width="13.85546875" style="37" bestFit="1" customWidth="1"/>
    <col min="9" max="9" width="12.140625" style="37" bestFit="1" customWidth="1"/>
    <col min="10" max="10" width="13.85546875" style="37" bestFit="1" customWidth="1"/>
    <col min="11" max="16384" width="9.140625" style="37"/>
  </cols>
  <sheetData>
    <row r="1" spans="1:26" x14ac:dyDescent="0.2">
      <c r="A1" s="42" t="s">
        <v>79</v>
      </c>
      <c r="B1" s="43"/>
    </row>
    <row r="2" spans="1:26" x14ac:dyDescent="0.2">
      <c r="A2" s="42"/>
      <c r="B2" s="43" t="s">
        <v>281</v>
      </c>
      <c r="C2" s="43" t="s">
        <v>282</v>
      </c>
      <c r="D2" s="43" t="s">
        <v>283</v>
      </c>
      <c r="E2" s="43" t="s">
        <v>284</v>
      </c>
      <c r="F2" s="43" t="s">
        <v>285</v>
      </c>
      <c r="G2" s="43" t="s">
        <v>286</v>
      </c>
      <c r="H2" s="43" t="s">
        <v>287</v>
      </c>
      <c r="I2" s="43" t="s">
        <v>288</v>
      </c>
      <c r="J2" s="43" t="s">
        <v>289</v>
      </c>
      <c r="K2" s="43" t="s">
        <v>369</v>
      </c>
      <c r="L2" s="43" t="s">
        <v>370</v>
      </c>
      <c r="M2" s="43" t="s">
        <v>371</v>
      </c>
      <c r="N2" s="43" t="s">
        <v>372</v>
      </c>
      <c r="O2" s="43" t="s">
        <v>373</v>
      </c>
      <c r="P2" s="43" t="s">
        <v>374</v>
      </c>
      <c r="Q2" s="43" t="s">
        <v>375</v>
      </c>
      <c r="R2" s="43" t="s">
        <v>376</v>
      </c>
      <c r="S2" s="43" t="s">
        <v>377</v>
      </c>
      <c r="T2" s="43" t="s">
        <v>378</v>
      </c>
      <c r="U2" s="43" t="s">
        <v>379</v>
      </c>
      <c r="V2" s="43" t="s">
        <v>380</v>
      </c>
      <c r="W2" s="43" t="s">
        <v>381</v>
      </c>
      <c r="X2" s="43" t="s">
        <v>382</v>
      </c>
      <c r="Y2" s="43" t="s">
        <v>383</v>
      </c>
      <c r="Z2" s="43" t="s">
        <v>384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6"/>
  <dimension ref="A1:C4"/>
  <sheetViews>
    <sheetView workbookViewId="0">
      <selection activeCell="B3" sqref="B3"/>
    </sheetView>
  </sheetViews>
  <sheetFormatPr defaultRowHeight="12.75" x14ac:dyDescent="0.2"/>
  <cols>
    <col min="1" max="1" width="11.140625" bestFit="1" customWidth="1"/>
    <col min="2" max="2" width="8.42578125" bestFit="1" customWidth="1"/>
    <col min="3" max="3" width="8.85546875" bestFit="1" customWidth="1"/>
  </cols>
  <sheetData>
    <row r="1" spans="1:3" x14ac:dyDescent="0.2">
      <c r="A1" s="38" t="s">
        <v>336</v>
      </c>
    </row>
    <row r="2" spans="1:3" x14ac:dyDescent="0.2">
      <c r="B2" s="38" t="s">
        <v>337</v>
      </c>
      <c r="C2" s="38" t="s">
        <v>338</v>
      </c>
    </row>
    <row r="3" spans="1:3" x14ac:dyDescent="0.2">
      <c r="A3" s="37" t="s">
        <v>339</v>
      </c>
    </row>
    <row r="4" spans="1:3" x14ac:dyDescent="0.2">
      <c r="A4" s="37" t="s">
        <v>340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C4"/>
  <sheetViews>
    <sheetView workbookViewId="0">
      <selection activeCell="E7" sqref="E7"/>
    </sheetView>
  </sheetViews>
  <sheetFormatPr defaultColWidth="9.140625" defaultRowHeight="12.75" x14ac:dyDescent="0.2"/>
  <cols>
    <col min="1" max="16384" width="9.140625" style="37"/>
  </cols>
  <sheetData>
    <row r="1" spans="1:3" x14ac:dyDescent="0.2">
      <c r="A1" s="37" t="s">
        <v>279</v>
      </c>
    </row>
    <row r="2" spans="1:3" x14ac:dyDescent="0.2">
      <c r="B2" s="37" t="s">
        <v>280</v>
      </c>
      <c r="C2" s="37" t="s">
        <v>385</v>
      </c>
    </row>
    <row r="3" spans="1:3" x14ac:dyDescent="0.2">
      <c r="A3" s="37" t="s">
        <v>386</v>
      </c>
    </row>
    <row r="4" spans="1:3" x14ac:dyDescent="0.2">
      <c r="A4" s="37" t="s">
        <v>387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O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3" sqref="A3"/>
    </sheetView>
  </sheetViews>
  <sheetFormatPr defaultColWidth="9.140625" defaultRowHeight="12.75" x14ac:dyDescent="0.2"/>
  <cols>
    <col min="1" max="1" width="9.85546875" style="37" bestFit="1" customWidth="1"/>
    <col min="2" max="2" width="13.85546875" style="37" bestFit="1" customWidth="1"/>
    <col min="3" max="3" width="14.5703125" style="37" bestFit="1" customWidth="1"/>
    <col min="4" max="4" width="16.140625" style="37" bestFit="1" customWidth="1"/>
    <col min="5" max="5" width="8.5703125" style="37" bestFit="1" customWidth="1"/>
    <col min="6" max="6" width="13.5703125" style="37" bestFit="1" customWidth="1"/>
    <col min="7" max="7" width="4.7109375" style="37" bestFit="1" customWidth="1"/>
    <col min="8" max="8" width="5" style="37" bestFit="1" customWidth="1"/>
    <col min="9" max="9" width="10.85546875" style="37" bestFit="1" customWidth="1"/>
    <col min="10" max="10" width="8" style="37" bestFit="1" customWidth="1"/>
    <col min="11" max="11" width="10.85546875" style="37" bestFit="1" customWidth="1"/>
    <col min="12" max="12" width="8.140625" style="37" bestFit="1" customWidth="1"/>
    <col min="13" max="15" width="13.5703125" style="37" bestFit="1" customWidth="1"/>
    <col min="16" max="16384" width="9.140625" style="37"/>
  </cols>
  <sheetData>
    <row r="1" spans="1:15" x14ac:dyDescent="0.2">
      <c r="A1" s="37" t="s">
        <v>271</v>
      </c>
      <c r="B1" s="37" t="s">
        <v>349</v>
      </c>
    </row>
    <row r="2" spans="1:15" x14ac:dyDescent="0.2">
      <c r="A2" s="37" t="s">
        <v>272</v>
      </c>
      <c r="B2" s="37" t="s">
        <v>350</v>
      </c>
      <c r="C2" s="37" t="s">
        <v>351</v>
      </c>
      <c r="D2" s="37" t="s">
        <v>352</v>
      </c>
      <c r="E2" s="37" t="s">
        <v>273</v>
      </c>
      <c r="F2" s="37" t="s">
        <v>274</v>
      </c>
      <c r="G2" s="37" t="s">
        <v>275</v>
      </c>
      <c r="H2" s="37" t="s">
        <v>276</v>
      </c>
      <c r="I2" s="37" t="s">
        <v>277</v>
      </c>
      <c r="J2" s="37" t="s">
        <v>278</v>
      </c>
      <c r="K2" s="37" t="s">
        <v>391</v>
      </c>
      <c r="L2" s="37" t="s">
        <v>353</v>
      </c>
      <c r="M2" s="37" t="s">
        <v>187</v>
      </c>
      <c r="N2" s="37" t="s">
        <v>189</v>
      </c>
      <c r="O2" s="37" t="s">
        <v>191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7"/>
  <dimension ref="A1:B5"/>
  <sheetViews>
    <sheetView workbookViewId="0">
      <selection activeCell="B2" sqref="B2"/>
    </sheetView>
  </sheetViews>
  <sheetFormatPr defaultRowHeight="12.75" x14ac:dyDescent="0.2"/>
  <cols>
    <col min="1" max="1" width="22.42578125" bestFit="1" customWidth="1"/>
  </cols>
  <sheetData>
    <row r="1" spans="1:2" x14ac:dyDescent="0.2">
      <c r="A1" s="38" t="s">
        <v>357</v>
      </c>
    </row>
    <row r="2" spans="1:2" x14ac:dyDescent="0.2">
      <c r="B2" s="38" t="s">
        <v>337</v>
      </c>
    </row>
    <row r="3" spans="1:2" x14ac:dyDescent="0.2">
      <c r="A3" t="s">
        <v>354</v>
      </c>
    </row>
    <row r="4" spans="1:2" x14ac:dyDescent="0.2">
      <c r="A4" t="s">
        <v>356</v>
      </c>
    </row>
    <row r="5" spans="1:2" x14ac:dyDescent="0.2">
      <c r="A5" t="s">
        <v>355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9"/>
  <dimension ref="A1:B15"/>
  <sheetViews>
    <sheetView workbookViewId="0">
      <selection activeCell="B15" sqref="B15"/>
    </sheetView>
  </sheetViews>
  <sheetFormatPr defaultRowHeight="12.75" x14ac:dyDescent="0.2"/>
  <cols>
    <col min="1" max="1" width="22.42578125" bestFit="1" customWidth="1"/>
    <col min="2" max="2" width="11.7109375" bestFit="1" customWidth="1"/>
  </cols>
  <sheetData>
    <row r="1" spans="1:2" x14ac:dyDescent="0.2">
      <c r="A1" s="37" t="s">
        <v>397</v>
      </c>
    </row>
    <row r="2" spans="1:2" x14ac:dyDescent="0.2">
      <c r="B2" s="38" t="s">
        <v>337</v>
      </c>
    </row>
    <row r="3" spans="1:2" x14ac:dyDescent="0.2">
      <c r="A3" t="s">
        <v>358</v>
      </c>
    </row>
    <row r="4" spans="1:2" x14ac:dyDescent="0.2">
      <c r="A4" t="s">
        <v>359</v>
      </c>
    </row>
    <row r="5" spans="1:2" x14ac:dyDescent="0.2">
      <c r="A5" t="s">
        <v>360</v>
      </c>
    </row>
    <row r="7" spans="1:2" x14ac:dyDescent="0.2">
      <c r="B7" t="s">
        <v>362</v>
      </c>
    </row>
    <row r="8" spans="1:2" x14ac:dyDescent="0.2">
      <c r="A8" t="s">
        <v>364</v>
      </c>
    </row>
    <row r="9" spans="1:2" x14ac:dyDescent="0.2">
      <c r="A9" t="s">
        <v>365</v>
      </c>
    </row>
    <row r="10" spans="1:2" x14ac:dyDescent="0.2">
      <c r="A10" t="s">
        <v>366</v>
      </c>
    </row>
    <row r="11" spans="1:2" x14ac:dyDescent="0.2">
      <c r="A11" t="s">
        <v>367</v>
      </c>
    </row>
    <row r="13" spans="1:2" x14ac:dyDescent="0.2">
      <c r="B13" t="s">
        <v>363</v>
      </c>
    </row>
    <row r="14" spans="1:2" x14ac:dyDescent="0.2">
      <c r="A14" t="s">
        <v>361</v>
      </c>
    </row>
    <row r="15" spans="1:2" x14ac:dyDescent="0.2">
      <c r="A15" s="27" t="s">
        <v>398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8"/>
  <dimension ref="A1:B10"/>
  <sheetViews>
    <sheetView workbookViewId="0">
      <selection activeCell="D13" sqref="D13"/>
    </sheetView>
  </sheetViews>
  <sheetFormatPr defaultRowHeight="12.75" x14ac:dyDescent="0.2"/>
  <cols>
    <col min="1" max="1" width="13.85546875" bestFit="1" customWidth="1"/>
    <col min="2" max="2" width="11.7109375" bestFit="1" customWidth="1"/>
  </cols>
  <sheetData>
    <row r="1" spans="1:2" x14ac:dyDescent="0.2">
      <c r="A1" t="s">
        <v>344</v>
      </c>
    </row>
    <row r="2" spans="1:2" x14ac:dyDescent="0.2">
      <c r="B2" t="s">
        <v>337</v>
      </c>
    </row>
    <row r="3" spans="1:2" x14ac:dyDescent="0.2">
      <c r="A3" t="s">
        <v>345</v>
      </c>
    </row>
    <row r="5" spans="1:2" x14ac:dyDescent="0.2">
      <c r="B5" t="s">
        <v>362</v>
      </c>
    </row>
    <row r="6" spans="1:2" x14ac:dyDescent="0.2">
      <c r="A6" t="s">
        <v>346</v>
      </c>
    </row>
    <row r="7" spans="1:2" x14ac:dyDescent="0.2">
      <c r="A7" t="s">
        <v>347</v>
      </c>
    </row>
    <row r="9" spans="1:2" x14ac:dyDescent="0.2">
      <c r="B9" t="s">
        <v>363</v>
      </c>
    </row>
    <row r="10" spans="1:2" x14ac:dyDescent="0.2">
      <c r="A10" t="s">
        <v>348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40"/>
  <dimension ref="A1:B4"/>
  <sheetViews>
    <sheetView workbookViewId="0">
      <selection activeCell="B3" sqref="B3"/>
    </sheetView>
  </sheetViews>
  <sheetFormatPr defaultRowHeight="12.75" x14ac:dyDescent="0.2"/>
  <sheetData>
    <row r="1" spans="1:2" x14ac:dyDescent="0.2">
      <c r="A1" t="s">
        <v>388</v>
      </c>
    </row>
    <row r="2" spans="1:2" x14ac:dyDescent="0.2">
      <c r="B2" t="s">
        <v>280</v>
      </c>
    </row>
    <row r="3" spans="1:2" x14ac:dyDescent="0.2">
      <c r="A3" t="s">
        <v>389</v>
      </c>
    </row>
    <row r="4" spans="1:2" x14ac:dyDescent="0.2">
      <c r="A4" t="s">
        <v>390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9"/>
  <dimension ref="A1:J515"/>
  <sheetViews>
    <sheetView workbookViewId="0">
      <selection activeCell="P14" sqref="P14"/>
    </sheetView>
  </sheetViews>
  <sheetFormatPr defaultRowHeight="12.75" x14ac:dyDescent="0.2"/>
  <cols>
    <col min="1" max="1" width="39.28515625" bestFit="1" customWidth="1"/>
    <col min="2" max="2" width="21.42578125" bestFit="1" customWidth="1"/>
    <col min="3" max="3" width="21.85546875" bestFit="1" customWidth="1"/>
    <col min="4" max="4" width="5.5703125" bestFit="1" customWidth="1"/>
    <col min="5" max="5" width="8.5703125" bestFit="1" customWidth="1"/>
    <col min="6" max="6" width="4.42578125" bestFit="1" customWidth="1"/>
    <col min="7" max="7" width="10.28515625" bestFit="1" customWidth="1"/>
    <col min="8" max="8" width="5.42578125" bestFit="1" customWidth="1"/>
    <col min="9" max="9" width="6.140625" style="58" bestFit="1" customWidth="1"/>
    <col min="10" max="10" width="12.5703125" bestFit="1" customWidth="1"/>
  </cols>
  <sheetData>
    <row r="1" spans="1:10" x14ac:dyDescent="0.2">
      <c r="A1" s="1" t="s">
        <v>142</v>
      </c>
      <c r="B1" s="1" t="s">
        <v>143</v>
      </c>
      <c r="C1" s="1" t="s">
        <v>144</v>
      </c>
      <c r="D1" s="1" t="s">
        <v>147</v>
      </c>
      <c r="E1" s="1" t="s">
        <v>148</v>
      </c>
      <c r="F1" s="1" t="s">
        <v>146</v>
      </c>
      <c r="G1" s="1" t="s">
        <v>145</v>
      </c>
      <c r="H1" s="1" t="s">
        <v>100</v>
      </c>
    </row>
    <row r="2" spans="1:10" x14ac:dyDescent="0.2">
      <c r="A2" t="s">
        <v>717</v>
      </c>
      <c r="B2" t="s">
        <v>570</v>
      </c>
      <c r="C2" t="s">
        <v>521</v>
      </c>
      <c r="D2">
        <v>0</v>
      </c>
      <c r="E2">
        <v>0</v>
      </c>
      <c r="F2">
        <v>0</v>
      </c>
      <c r="G2">
        <v>0</v>
      </c>
      <c r="H2">
        <v>0</v>
      </c>
      <c r="I2" s="58" t="s">
        <v>718</v>
      </c>
      <c r="J2">
        <v>1</v>
      </c>
    </row>
    <row r="3" spans="1:10" x14ac:dyDescent="0.2">
      <c r="A3" t="s">
        <v>719</v>
      </c>
      <c r="B3" t="s">
        <v>571</v>
      </c>
      <c r="C3" t="s">
        <v>535</v>
      </c>
      <c r="D3">
        <v>0</v>
      </c>
      <c r="E3">
        <v>0</v>
      </c>
      <c r="F3">
        <v>0</v>
      </c>
      <c r="G3">
        <v>0</v>
      </c>
      <c r="H3">
        <v>0</v>
      </c>
      <c r="I3" s="58" t="s">
        <v>720</v>
      </c>
      <c r="J3">
        <v>1</v>
      </c>
    </row>
    <row r="4" spans="1:10" x14ac:dyDescent="0.2">
      <c r="A4" t="s">
        <v>721</v>
      </c>
      <c r="B4" t="s">
        <v>572</v>
      </c>
      <c r="C4" t="s">
        <v>538</v>
      </c>
      <c r="D4">
        <v>0</v>
      </c>
      <c r="E4">
        <v>0</v>
      </c>
      <c r="F4">
        <v>0</v>
      </c>
      <c r="G4">
        <v>0</v>
      </c>
      <c r="H4">
        <v>0</v>
      </c>
      <c r="I4" s="58" t="s">
        <v>722</v>
      </c>
      <c r="J4">
        <v>1</v>
      </c>
    </row>
    <row r="5" spans="1:10" x14ac:dyDescent="0.2">
      <c r="A5" t="s">
        <v>723</v>
      </c>
      <c r="B5" t="s">
        <v>573</v>
      </c>
      <c r="C5" t="s">
        <v>534</v>
      </c>
      <c r="D5">
        <v>0</v>
      </c>
      <c r="E5">
        <v>0</v>
      </c>
      <c r="F5">
        <v>0</v>
      </c>
      <c r="G5">
        <v>0</v>
      </c>
      <c r="H5">
        <v>0</v>
      </c>
      <c r="I5" s="58" t="s">
        <v>724</v>
      </c>
      <c r="J5">
        <v>1</v>
      </c>
    </row>
    <row r="6" spans="1:10" x14ac:dyDescent="0.2">
      <c r="A6" t="s">
        <v>725</v>
      </c>
      <c r="B6" t="s">
        <v>574</v>
      </c>
      <c r="C6" t="s">
        <v>536</v>
      </c>
      <c r="D6">
        <v>0</v>
      </c>
      <c r="E6">
        <v>0</v>
      </c>
      <c r="F6">
        <v>0</v>
      </c>
      <c r="G6">
        <v>0</v>
      </c>
      <c r="H6">
        <v>0</v>
      </c>
      <c r="I6" s="58" t="s">
        <v>726</v>
      </c>
      <c r="J6">
        <v>1</v>
      </c>
    </row>
    <row r="7" spans="1:10" x14ac:dyDescent="0.2">
      <c r="A7" t="s">
        <v>727</v>
      </c>
      <c r="B7" t="s">
        <v>575</v>
      </c>
      <c r="C7" t="s">
        <v>537</v>
      </c>
      <c r="D7">
        <v>0</v>
      </c>
      <c r="E7">
        <v>0</v>
      </c>
      <c r="F7">
        <v>0</v>
      </c>
      <c r="G7">
        <v>0</v>
      </c>
      <c r="H7">
        <v>0</v>
      </c>
      <c r="I7" s="58" t="s">
        <v>728</v>
      </c>
      <c r="J7">
        <v>1</v>
      </c>
    </row>
    <row r="8" spans="1:10" x14ac:dyDescent="0.2">
      <c r="A8" t="s">
        <v>729</v>
      </c>
      <c r="B8" t="s">
        <v>576</v>
      </c>
      <c r="C8" t="s">
        <v>539</v>
      </c>
      <c r="D8">
        <v>0</v>
      </c>
      <c r="E8">
        <v>0</v>
      </c>
      <c r="F8">
        <v>0</v>
      </c>
      <c r="G8">
        <v>0</v>
      </c>
      <c r="H8">
        <v>0</v>
      </c>
      <c r="I8" s="58" t="s">
        <v>730</v>
      </c>
      <c r="J8">
        <v>1</v>
      </c>
    </row>
    <row r="9" spans="1:10" x14ac:dyDescent="0.2">
      <c r="A9" t="s">
        <v>731</v>
      </c>
      <c r="B9" t="s">
        <v>577</v>
      </c>
      <c r="C9" t="s">
        <v>527</v>
      </c>
      <c r="D9">
        <v>0</v>
      </c>
      <c r="E9">
        <v>0</v>
      </c>
      <c r="F9">
        <v>0</v>
      </c>
      <c r="G9">
        <v>0</v>
      </c>
      <c r="H9">
        <v>0</v>
      </c>
      <c r="I9" s="58" t="s">
        <v>732</v>
      </c>
      <c r="J9">
        <v>1</v>
      </c>
    </row>
    <row r="10" spans="1:10" x14ac:dyDescent="0.2">
      <c r="A10" t="s">
        <v>733</v>
      </c>
      <c r="B10" t="s">
        <v>578</v>
      </c>
      <c r="C10" t="s">
        <v>523</v>
      </c>
      <c r="D10">
        <v>0</v>
      </c>
      <c r="E10">
        <v>0</v>
      </c>
      <c r="F10">
        <v>0</v>
      </c>
      <c r="G10">
        <v>0</v>
      </c>
      <c r="H10">
        <v>0</v>
      </c>
      <c r="I10" s="58" t="s">
        <v>734</v>
      </c>
      <c r="J10">
        <v>1</v>
      </c>
    </row>
    <row r="11" spans="1:10" x14ac:dyDescent="0.2">
      <c r="A11" t="s">
        <v>735</v>
      </c>
      <c r="B11" t="s">
        <v>579</v>
      </c>
      <c r="C11" t="s">
        <v>526</v>
      </c>
      <c r="D11">
        <v>0</v>
      </c>
      <c r="E11">
        <v>0</v>
      </c>
      <c r="F11">
        <v>0</v>
      </c>
      <c r="G11">
        <v>0</v>
      </c>
      <c r="H11">
        <v>0</v>
      </c>
      <c r="I11" s="58" t="s">
        <v>736</v>
      </c>
      <c r="J11">
        <v>1</v>
      </c>
    </row>
    <row r="12" spans="1:10" x14ac:dyDescent="0.2">
      <c r="A12" t="s">
        <v>737</v>
      </c>
      <c r="B12" t="s">
        <v>580</v>
      </c>
      <c r="C12" t="s">
        <v>522</v>
      </c>
      <c r="D12">
        <v>0</v>
      </c>
      <c r="E12">
        <v>0</v>
      </c>
      <c r="F12">
        <v>0</v>
      </c>
      <c r="G12">
        <v>0</v>
      </c>
      <c r="H12">
        <v>0</v>
      </c>
      <c r="I12" s="58" t="s">
        <v>738</v>
      </c>
      <c r="J12">
        <v>1</v>
      </c>
    </row>
    <row r="13" spans="1:10" x14ac:dyDescent="0.2">
      <c r="A13" t="s">
        <v>739</v>
      </c>
      <c r="B13" t="s">
        <v>581</v>
      </c>
      <c r="C13" t="s">
        <v>524</v>
      </c>
      <c r="D13">
        <v>0</v>
      </c>
      <c r="E13">
        <v>0</v>
      </c>
      <c r="F13">
        <v>0</v>
      </c>
      <c r="G13">
        <v>0</v>
      </c>
      <c r="H13">
        <v>0</v>
      </c>
      <c r="I13" s="58" t="s">
        <v>740</v>
      </c>
      <c r="J13">
        <v>1</v>
      </c>
    </row>
    <row r="14" spans="1:10" x14ac:dyDescent="0.2">
      <c r="A14" t="s">
        <v>741</v>
      </c>
      <c r="B14" t="s">
        <v>582</v>
      </c>
      <c r="C14" t="s">
        <v>525</v>
      </c>
      <c r="D14">
        <v>0</v>
      </c>
      <c r="E14">
        <v>0</v>
      </c>
      <c r="F14">
        <v>0</v>
      </c>
      <c r="G14">
        <v>0</v>
      </c>
      <c r="H14">
        <v>0</v>
      </c>
      <c r="I14" s="58" t="s">
        <v>742</v>
      </c>
      <c r="J14">
        <v>1</v>
      </c>
    </row>
    <row r="15" spans="1:10" x14ac:dyDescent="0.2">
      <c r="A15" t="s">
        <v>743</v>
      </c>
      <c r="B15" t="s">
        <v>583</v>
      </c>
      <c r="C15" t="s">
        <v>533</v>
      </c>
      <c r="D15">
        <v>0</v>
      </c>
      <c r="E15">
        <v>0</v>
      </c>
      <c r="F15">
        <v>0</v>
      </c>
      <c r="G15">
        <v>0</v>
      </c>
      <c r="H15">
        <v>0</v>
      </c>
      <c r="I15" s="58" t="s">
        <v>744</v>
      </c>
      <c r="J15">
        <v>1</v>
      </c>
    </row>
    <row r="16" spans="1:10" x14ac:dyDescent="0.2">
      <c r="A16" t="s">
        <v>745</v>
      </c>
      <c r="B16" t="s">
        <v>584</v>
      </c>
      <c r="C16" t="s">
        <v>529</v>
      </c>
      <c r="D16">
        <v>0</v>
      </c>
      <c r="E16">
        <v>0</v>
      </c>
      <c r="F16">
        <v>0</v>
      </c>
      <c r="G16">
        <v>0</v>
      </c>
      <c r="H16">
        <v>0</v>
      </c>
      <c r="I16" s="58" t="s">
        <v>746</v>
      </c>
      <c r="J16">
        <v>1</v>
      </c>
    </row>
    <row r="17" spans="1:10" x14ac:dyDescent="0.2">
      <c r="A17" t="s">
        <v>747</v>
      </c>
      <c r="B17" t="s">
        <v>585</v>
      </c>
      <c r="C17" t="s">
        <v>532</v>
      </c>
      <c r="D17">
        <v>0</v>
      </c>
      <c r="E17">
        <v>0</v>
      </c>
      <c r="F17">
        <v>0</v>
      </c>
      <c r="G17">
        <v>0</v>
      </c>
      <c r="H17">
        <v>0</v>
      </c>
      <c r="I17" s="58" t="s">
        <v>748</v>
      </c>
      <c r="J17">
        <v>1</v>
      </c>
    </row>
    <row r="18" spans="1:10" x14ac:dyDescent="0.2">
      <c r="A18" t="s">
        <v>749</v>
      </c>
      <c r="B18" t="s">
        <v>586</v>
      </c>
      <c r="C18" t="s">
        <v>528</v>
      </c>
      <c r="D18">
        <v>0</v>
      </c>
      <c r="E18">
        <v>0</v>
      </c>
      <c r="F18">
        <v>0</v>
      </c>
      <c r="G18">
        <v>0</v>
      </c>
      <c r="H18">
        <v>0</v>
      </c>
      <c r="I18" s="58" t="s">
        <v>750</v>
      </c>
      <c r="J18">
        <v>1</v>
      </c>
    </row>
    <row r="19" spans="1:10" x14ac:dyDescent="0.2">
      <c r="A19" t="s">
        <v>751</v>
      </c>
      <c r="B19" t="s">
        <v>587</v>
      </c>
      <c r="C19" t="s">
        <v>530</v>
      </c>
      <c r="D19">
        <v>0</v>
      </c>
      <c r="E19">
        <v>0</v>
      </c>
      <c r="F19">
        <v>0</v>
      </c>
      <c r="G19">
        <v>0</v>
      </c>
      <c r="H19">
        <v>0</v>
      </c>
      <c r="I19" s="58" t="s">
        <v>752</v>
      </c>
      <c r="J19">
        <v>1</v>
      </c>
    </row>
    <row r="20" spans="1:10" x14ac:dyDescent="0.2">
      <c r="A20" t="s">
        <v>753</v>
      </c>
      <c r="B20" t="s">
        <v>588</v>
      </c>
      <c r="C20" t="s">
        <v>531</v>
      </c>
      <c r="D20">
        <v>0</v>
      </c>
      <c r="E20">
        <v>0</v>
      </c>
      <c r="F20">
        <v>0</v>
      </c>
      <c r="G20">
        <v>0</v>
      </c>
      <c r="H20">
        <v>0</v>
      </c>
      <c r="I20" s="58" t="s">
        <v>754</v>
      </c>
      <c r="J20">
        <v>1</v>
      </c>
    </row>
    <row r="21" spans="1:10" x14ac:dyDescent="0.2">
      <c r="A21" t="s">
        <v>979</v>
      </c>
      <c r="B21" t="s">
        <v>666</v>
      </c>
      <c r="C21" t="s">
        <v>553</v>
      </c>
      <c r="D21">
        <v>0</v>
      </c>
      <c r="E21">
        <v>0</v>
      </c>
      <c r="F21">
        <v>0</v>
      </c>
      <c r="G21">
        <v>0</v>
      </c>
      <c r="H21">
        <v>0</v>
      </c>
      <c r="I21" s="58" t="s">
        <v>1904</v>
      </c>
      <c r="J21">
        <v>1</v>
      </c>
    </row>
    <row r="22" spans="1:10" x14ac:dyDescent="0.2">
      <c r="A22" t="s">
        <v>980</v>
      </c>
      <c r="B22" t="s">
        <v>667</v>
      </c>
      <c r="C22" t="s">
        <v>549</v>
      </c>
      <c r="D22">
        <v>0</v>
      </c>
      <c r="E22">
        <v>0</v>
      </c>
      <c r="F22">
        <v>0</v>
      </c>
      <c r="G22">
        <v>0</v>
      </c>
      <c r="H22">
        <v>0</v>
      </c>
      <c r="I22" s="58" t="s">
        <v>1905</v>
      </c>
      <c r="J22">
        <v>1</v>
      </c>
    </row>
    <row r="23" spans="1:10" x14ac:dyDescent="0.2">
      <c r="A23" t="s">
        <v>981</v>
      </c>
      <c r="B23" t="s">
        <v>668</v>
      </c>
      <c r="C23" t="s">
        <v>552</v>
      </c>
      <c r="D23">
        <v>0</v>
      </c>
      <c r="E23">
        <v>0</v>
      </c>
      <c r="F23">
        <v>0</v>
      </c>
      <c r="G23">
        <v>0</v>
      </c>
      <c r="H23">
        <v>0</v>
      </c>
      <c r="I23" s="58" t="s">
        <v>1906</v>
      </c>
      <c r="J23">
        <v>1</v>
      </c>
    </row>
    <row r="24" spans="1:10" x14ac:dyDescent="0.2">
      <c r="A24" t="s">
        <v>982</v>
      </c>
      <c r="B24" t="s">
        <v>669</v>
      </c>
      <c r="C24" t="s">
        <v>548</v>
      </c>
      <c r="D24">
        <v>0</v>
      </c>
      <c r="E24">
        <v>0</v>
      </c>
      <c r="F24">
        <v>0</v>
      </c>
      <c r="G24">
        <v>0</v>
      </c>
      <c r="H24">
        <v>0</v>
      </c>
      <c r="I24" s="58" t="s">
        <v>1907</v>
      </c>
      <c r="J24">
        <v>1</v>
      </c>
    </row>
    <row r="25" spans="1:10" x14ac:dyDescent="0.2">
      <c r="A25" t="s">
        <v>983</v>
      </c>
      <c r="B25" t="s">
        <v>670</v>
      </c>
      <c r="C25" t="s">
        <v>550</v>
      </c>
      <c r="D25">
        <v>0</v>
      </c>
      <c r="E25">
        <v>0</v>
      </c>
      <c r="F25">
        <v>0</v>
      </c>
      <c r="G25">
        <v>0</v>
      </c>
      <c r="H25">
        <v>0</v>
      </c>
      <c r="I25" s="58" t="s">
        <v>1908</v>
      </c>
      <c r="J25">
        <v>1</v>
      </c>
    </row>
    <row r="26" spans="1:10" x14ac:dyDescent="0.2">
      <c r="A26" t="s">
        <v>984</v>
      </c>
      <c r="B26" t="s">
        <v>671</v>
      </c>
      <c r="C26" t="s">
        <v>551</v>
      </c>
      <c r="D26">
        <v>0</v>
      </c>
      <c r="E26">
        <v>0</v>
      </c>
      <c r="F26">
        <v>0</v>
      </c>
      <c r="G26">
        <v>0</v>
      </c>
      <c r="H26">
        <v>0</v>
      </c>
      <c r="I26" s="58" t="s">
        <v>1909</v>
      </c>
      <c r="J26">
        <v>1</v>
      </c>
    </row>
    <row r="27" spans="1:10" x14ac:dyDescent="0.2">
      <c r="A27" t="s">
        <v>1742</v>
      </c>
      <c r="B27" t="s">
        <v>1550</v>
      </c>
      <c r="C27" t="s">
        <v>1300</v>
      </c>
      <c r="D27">
        <v>0</v>
      </c>
      <c r="E27">
        <v>0</v>
      </c>
      <c r="F27">
        <v>0</v>
      </c>
      <c r="G27">
        <v>0</v>
      </c>
      <c r="H27">
        <v>0</v>
      </c>
      <c r="I27" s="58" t="s">
        <v>2117</v>
      </c>
      <c r="J27">
        <v>1</v>
      </c>
    </row>
    <row r="28" spans="1:10" x14ac:dyDescent="0.2">
      <c r="A28" t="s">
        <v>1744</v>
      </c>
      <c r="B28" t="s">
        <v>1548</v>
      </c>
      <c r="C28" t="s">
        <v>1297</v>
      </c>
      <c r="D28">
        <v>0</v>
      </c>
      <c r="E28">
        <v>0</v>
      </c>
      <c r="F28">
        <v>0</v>
      </c>
      <c r="G28">
        <v>0</v>
      </c>
      <c r="H28">
        <v>0</v>
      </c>
      <c r="I28" s="58" t="s">
        <v>2118</v>
      </c>
      <c r="J28">
        <v>1</v>
      </c>
    </row>
    <row r="29" spans="1:10" x14ac:dyDescent="0.2">
      <c r="A29" t="s">
        <v>1632</v>
      </c>
      <c r="B29" t="s">
        <v>1534</v>
      </c>
      <c r="C29" t="s">
        <v>1287</v>
      </c>
      <c r="D29">
        <v>0</v>
      </c>
      <c r="E29">
        <v>0</v>
      </c>
      <c r="F29">
        <v>0</v>
      </c>
      <c r="G29">
        <v>0</v>
      </c>
      <c r="H29">
        <v>0</v>
      </c>
      <c r="I29" s="58" t="s">
        <v>2111</v>
      </c>
      <c r="J29">
        <v>1</v>
      </c>
    </row>
    <row r="30" spans="1:10" x14ac:dyDescent="0.2">
      <c r="A30" t="s">
        <v>1745</v>
      </c>
      <c r="B30" t="s">
        <v>1563</v>
      </c>
      <c r="C30" t="s">
        <v>1298</v>
      </c>
      <c r="D30">
        <v>0</v>
      </c>
      <c r="E30">
        <v>0</v>
      </c>
      <c r="F30">
        <v>0</v>
      </c>
      <c r="G30">
        <v>0</v>
      </c>
      <c r="H30">
        <v>0</v>
      </c>
      <c r="I30" s="58" t="s">
        <v>2119</v>
      </c>
      <c r="J30">
        <v>1</v>
      </c>
    </row>
    <row r="31" spans="1:10" x14ac:dyDescent="0.2">
      <c r="A31" t="s">
        <v>1746</v>
      </c>
      <c r="B31" t="s">
        <v>1566</v>
      </c>
      <c r="C31" t="s">
        <v>1299</v>
      </c>
      <c r="D31">
        <v>0</v>
      </c>
      <c r="E31">
        <v>0</v>
      </c>
      <c r="F31">
        <v>0</v>
      </c>
      <c r="G31">
        <v>0</v>
      </c>
      <c r="H31">
        <v>0</v>
      </c>
      <c r="I31" s="58" t="s">
        <v>2120</v>
      </c>
      <c r="J31">
        <v>1</v>
      </c>
    </row>
    <row r="32" spans="1:10" x14ac:dyDescent="0.2">
      <c r="A32" t="s">
        <v>1734</v>
      </c>
      <c r="B32" t="s">
        <v>1320</v>
      </c>
      <c r="C32" t="s">
        <v>1293</v>
      </c>
      <c r="D32">
        <v>0</v>
      </c>
      <c r="E32">
        <v>0</v>
      </c>
      <c r="F32">
        <v>0</v>
      </c>
      <c r="G32">
        <v>0</v>
      </c>
      <c r="H32">
        <v>0</v>
      </c>
      <c r="I32" s="58" t="s">
        <v>2054</v>
      </c>
      <c r="J32">
        <v>1</v>
      </c>
    </row>
    <row r="33" spans="1:10" x14ac:dyDescent="0.2">
      <c r="A33" t="s">
        <v>1340</v>
      </c>
      <c r="B33" t="s">
        <v>1307</v>
      </c>
      <c r="C33" t="s">
        <v>1290</v>
      </c>
      <c r="D33">
        <v>0</v>
      </c>
      <c r="E33">
        <v>0</v>
      </c>
      <c r="F33">
        <v>0</v>
      </c>
      <c r="G33">
        <v>0</v>
      </c>
      <c r="H33">
        <v>0</v>
      </c>
      <c r="I33" s="58" t="s">
        <v>2048</v>
      </c>
      <c r="J33" s="59">
        <v>1</v>
      </c>
    </row>
    <row r="34" spans="1:10" x14ac:dyDescent="0.2">
      <c r="A34" t="s">
        <v>1735</v>
      </c>
      <c r="B34" t="s">
        <v>1329</v>
      </c>
      <c r="C34" t="s">
        <v>1294</v>
      </c>
      <c r="D34">
        <v>0</v>
      </c>
      <c r="E34">
        <v>0</v>
      </c>
      <c r="F34">
        <v>0</v>
      </c>
      <c r="G34">
        <v>0</v>
      </c>
      <c r="H34">
        <v>0</v>
      </c>
      <c r="I34" s="58" t="s">
        <v>2055</v>
      </c>
      <c r="J34">
        <v>1</v>
      </c>
    </row>
    <row r="35" spans="1:10" x14ac:dyDescent="0.2">
      <c r="A35" t="s">
        <v>1736</v>
      </c>
      <c r="B35" t="s">
        <v>1335</v>
      </c>
      <c r="C35" t="s">
        <v>1295</v>
      </c>
      <c r="D35">
        <v>0</v>
      </c>
      <c r="E35">
        <v>0</v>
      </c>
      <c r="F35">
        <v>0</v>
      </c>
      <c r="G35">
        <v>0</v>
      </c>
      <c r="H35">
        <v>0</v>
      </c>
      <c r="I35" s="58" t="s">
        <v>1738</v>
      </c>
      <c r="J35">
        <v>1</v>
      </c>
    </row>
    <row r="36" spans="1:10" x14ac:dyDescent="0.2">
      <c r="A36" t="s">
        <v>1737</v>
      </c>
      <c r="B36" t="s">
        <v>1332</v>
      </c>
      <c r="C36" t="s">
        <v>1296</v>
      </c>
      <c r="D36">
        <v>0</v>
      </c>
      <c r="E36">
        <v>0</v>
      </c>
      <c r="F36">
        <v>0</v>
      </c>
      <c r="G36">
        <v>0</v>
      </c>
      <c r="H36">
        <v>0</v>
      </c>
      <c r="I36" s="58" t="s">
        <v>2056</v>
      </c>
      <c r="J36">
        <v>1</v>
      </c>
    </row>
    <row r="37" spans="1:10" x14ac:dyDescent="0.2">
      <c r="A37" t="s">
        <v>703</v>
      </c>
      <c r="B37" t="s">
        <v>564</v>
      </c>
      <c r="C37" t="s">
        <v>557</v>
      </c>
      <c r="D37">
        <v>0</v>
      </c>
      <c r="E37">
        <v>0</v>
      </c>
      <c r="F37">
        <v>0</v>
      </c>
      <c r="G37">
        <v>0</v>
      </c>
      <c r="H37">
        <v>0</v>
      </c>
      <c r="I37" s="58" t="s">
        <v>704</v>
      </c>
      <c r="J37" s="59">
        <v>-1</v>
      </c>
    </row>
    <row r="38" spans="1:10" x14ac:dyDescent="0.2">
      <c r="A38" t="s">
        <v>691</v>
      </c>
      <c r="B38" t="s">
        <v>514</v>
      </c>
      <c r="C38" t="s">
        <v>557</v>
      </c>
      <c r="D38">
        <v>0</v>
      </c>
      <c r="E38">
        <v>0</v>
      </c>
      <c r="F38">
        <v>0</v>
      </c>
      <c r="G38">
        <v>0</v>
      </c>
      <c r="H38">
        <v>0</v>
      </c>
      <c r="I38" s="58" t="s">
        <v>692</v>
      </c>
      <c r="J38">
        <v>1</v>
      </c>
    </row>
    <row r="39" spans="1:10" x14ac:dyDescent="0.2">
      <c r="A39" t="s">
        <v>761</v>
      </c>
      <c r="B39" t="s">
        <v>564</v>
      </c>
      <c r="C39" t="s">
        <v>621</v>
      </c>
      <c r="D39">
        <v>0</v>
      </c>
      <c r="E39">
        <v>0</v>
      </c>
      <c r="F39">
        <v>0</v>
      </c>
      <c r="G39">
        <v>0</v>
      </c>
      <c r="H39">
        <v>0</v>
      </c>
      <c r="I39" s="58" t="s">
        <v>1775</v>
      </c>
      <c r="J39" s="59">
        <v>0.2</v>
      </c>
    </row>
    <row r="40" spans="1:10" x14ac:dyDescent="0.2">
      <c r="A40" t="s">
        <v>965</v>
      </c>
      <c r="B40" t="s">
        <v>565</v>
      </c>
      <c r="C40" t="s">
        <v>621</v>
      </c>
      <c r="D40">
        <v>0</v>
      </c>
      <c r="E40">
        <v>0</v>
      </c>
      <c r="F40">
        <v>0</v>
      </c>
      <c r="G40">
        <v>0</v>
      </c>
      <c r="H40">
        <v>0</v>
      </c>
      <c r="I40" s="58" t="s">
        <v>1891</v>
      </c>
      <c r="J40" s="59">
        <v>-1</v>
      </c>
    </row>
    <row r="41" spans="1:10" x14ac:dyDescent="0.2">
      <c r="A41" t="s">
        <v>811</v>
      </c>
      <c r="B41" t="s">
        <v>570</v>
      </c>
      <c r="C41" t="s">
        <v>621</v>
      </c>
      <c r="D41">
        <v>0</v>
      </c>
      <c r="E41">
        <v>0</v>
      </c>
      <c r="F41">
        <v>0</v>
      </c>
      <c r="G41">
        <v>0</v>
      </c>
      <c r="H41">
        <v>0</v>
      </c>
      <c r="I41" s="58" t="s">
        <v>1793</v>
      </c>
      <c r="J41" s="59">
        <v>8.8888888888888906E-2</v>
      </c>
    </row>
    <row r="42" spans="1:10" x14ac:dyDescent="0.2">
      <c r="A42" t="s">
        <v>705</v>
      </c>
      <c r="B42" t="s">
        <v>565</v>
      </c>
      <c r="C42" t="s">
        <v>558</v>
      </c>
      <c r="D42">
        <v>0</v>
      </c>
      <c r="E42">
        <v>0</v>
      </c>
      <c r="F42">
        <v>0</v>
      </c>
      <c r="G42">
        <v>0</v>
      </c>
      <c r="H42">
        <v>0</v>
      </c>
      <c r="I42" s="58" t="s">
        <v>706</v>
      </c>
      <c r="J42" s="59">
        <v>-1</v>
      </c>
    </row>
    <row r="43" spans="1:10" x14ac:dyDescent="0.2">
      <c r="A43" t="s">
        <v>693</v>
      </c>
      <c r="B43" t="s">
        <v>515</v>
      </c>
      <c r="C43" t="s">
        <v>558</v>
      </c>
      <c r="D43">
        <v>0</v>
      </c>
      <c r="E43">
        <v>0</v>
      </c>
      <c r="F43">
        <v>0</v>
      </c>
      <c r="G43">
        <v>0</v>
      </c>
      <c r="H43">
        <v>0</v>
      </c>
      <c r="I43" s="58" t="s">
        <v>694</v>
      </c>
      <c r="J43" s="59">
        <v>1</v>
      </c>
    </row>
    <row r="44" spans="1:10" x14ac:dyDescent="0.2">
      <c r="A44" t="s">
        <v>715</v>
      </c>
      <c r="B44" t="s">
        <v>570</v>
      </c>
      <c r="C44" t="s">
        <v>563</v>
      </c>
      <c r="D44">
        <v>0</v>
      </c>
      <c r="E44">
        <v>0</v>
      </c>
      <c r="F44">
        <v>0</v>
      </c>
      <c r="G44">
        <v>0</v>
      </c>
      <c r="H44">
        <v>0</v>
      </c>
      <c r="I44" s="58" t="s">
        <v>716</v>
      </c>
      <c r="J44" s="59">
        <v>-1</v>
      </c>
    </row>
    <row r="45" spans="1:10" x14ac:dyDescent="0.2">
      <c r="A45" t="s">
        <v>689</v>
      </c>
      <c r="B45" t="s">
        <v>513</v>
      </c>
      <c r="C45" t="s">
        <v>563</v>
      </c>
      <c r="D45">
        <v>0</v>
      </c>
      <c r="E45">
        <v>0</v>
      </c>
      <c r="F45">
        <v>0</v>
      </c>
      <c r="G45">
        <v>0</v>
      </c>
      <c r="H45">
        <v>0</v>
      </c>
      <c r="I45" s="58" t="s">
        <v>690</v>
      </c>
      <c r="J45" s="59">
        <v>-2.54</v>
      </c>
    </row>
    <row r="46" spans="1:10" x14ac:dyDescent="0.2">
      <c r="A46" t="s">
        <v>687</v>
      </c>
      <c r="B46" t="s">
        <v>512</v>
      </c>
      <c r="C46" t="s">
        <v>563</v>
      </c>
      <c r="D46">
        <v>0</v>
      </c>
      <c r="E46">
        <v>0</v>
      </c>
      <c r="F46">
        <v>0</v>
      </c>
      <c r="G46">
        <v>0</v>
      </c>
      <c r="H46">
        <v>0</v>
      </c>
      <c r="I46" s="58" t="s">
        <v>688</v>
      </c>
      <c r="J46" s="59">
        <v>1.4</v>
      </c>
    </row>
    <row r="47" spans="1:10" x14ac:dyDescent="0.2">
      <c r="A47" t="s">
        <v>762</v>
      </c>
      <c r="B47" t="s">
        <v>564</v>
      </c>
      <c r="C47" t="s">
        <v>622</v>
      </c>
      <c r="D47">
        <v>0</v>
      </c>
      <c r="E47">
        <v>0</v>
      </c>
      <c r="F47">
        <v>0</v>
      </c>
      <c r="G47">
        <v>0</v>
      </c>
      <c r="H47">
        <v>0</v>
      </c>
      <c r="I47" s="58" t="s">
        <v>1776</v>
      </c>
      <c r="J47">
        <v>1</v>
      </c>
    </row>
    <row r="48" spans="1:10" x14ac:dyDescent="0.2">
      <c r="A48" t="s">
        <v>966</v>
      </c>
      <c r="B48" t="s">
        <v>565</v>
      </c>
      <c r="C48" t="s">
        <v>622</v>
      </c>
      <c r="D48">
        <v>0</v>
      </c>
      <c r="E48">
        <v>0</v>
      </c>
      <c r="F48">
        <v>0</v>
      </c>
      <c r="G48">
        <v>0</v>
      </c>
      <c r="H48">
        <v>0</v>
      </c>
      <c r="I48" s="58" t="s">
        <v>1892</v>
      </c>
      <c r="J48" s="59">
        <v>-1</v>
      </c>
    </row>
    <row r="49" spans="1:10" x14ac:dyDescent="0.2">
      <c r="A49" t="s">
        <v>967</v>
      </c>
      <c r="B49" t="s">
        <v>569</v>
      </c>
      <c r="C49" t="s">
        <v>622</v>
      </c>
      <c r="D49">
        <v>0</v>
      </c>
      <c r="E49">
        <v>0</v>
      </c>
      <c r="F49">
        <v>0</v>
      </c>
      <c r="G49">
        <v>0</v>
      </c>
      <c r="H49">
        <v>0</v>
      </c>
      <c r="I49" s="58" t="s">
        <v>1893</v>
      </c>
      <c r="J49">
        <v>-1</v>
      </c>
    </row>
    <row r="50" spans="1:10" x14ac:dyDescent="0.2">
      <c r="A50" t="s">
        <v>771</v>
      </c>
      <c r="B50" t="s">
        <v>566</v>
      </c>
      <c r="C50" t="s">
        <v>622</v>
      </c>
      <c r="D50">
        <v>0</v>
      </c>
      <c r="E50">
        <v>0</v>
      </c>
      <c r="F50">
        <v>0</v>
      </c>
      <c r="G50">
        <v>0</v>
      </c>
      <c r="H50">
        <v>0</v>
      </c>
      <c r="I50" s="58" t="s">
        <v>1777</v>
      </c>
      <c r="J50" s="59">
        <v>-1</v>
      </c>
    </row>
    <row r="51" spans="1:10" x14ac:dyDescent="0.2">
      <c r="A51" t="s">
        <v>814</v>
      </c>
      <c r="B51" t="s">
        <v>567</v>
      </c>
      <c r="C51" t="s">
        <v>622</v>
      </c>
      <c r="D51">
        <v>0</v>
      </c>
      <c r="E51">
        <v>0</v>
      </c>
      <c r="F51">
        <v>0</v>
      </c>
      <c r="G51">
        <v>0</v>
      </c>
      <c r="H51">
        <v>0</v>
      </c>
      <c r="I51" s="58" t="s">
        <v>1794</v>
      </c>
      <c r="J51">
        <v>-1</v>
      </c>
    </row>
    <row r="52" spans="1:10" x14ac:dyDescent="0.2">
      <c r="A52" t="s">
        <v>842</v>
      </c>
      <c r="B52" t="s">
        <v>568</v>
      </c>
      <c r="C52" t="s">
        <v>622</v>
      </c>
      <c r="D52">
        <v>0</v>
      </c>
      <c r="E52">
        <v>0</v>
      </c>
      <c r="F52">
        <v>0</v>
      </c>
      <c r="G52">
        <v>0</v>
      </c>
      <c r="H52">
        <v>0</v>
      </c>
      <c r="I52" s="58" t="s">
        <v>1804</v>
      </c>
      <c r="J52">
        <v>-1</v>
      </c>
    </row>
    <row r="53" spans="1:10" x14ac:dyDescent="0.2">
      <c r="A53" t="s">
        <v>713</v>
      </c>
      <c r="B53" t="s">
        <v>569</v>
      </c>
      <c r="C53" t="s">
        <v>562</v>
      </c>
      <c r="D53">
        <v>0</v>
      </c>
      <c r="E53">
        <v>0</v>
      </c>
      <c r="F53">
        <v>0</v>
      </c>
      <c r="G53">
        <v>0</v>
      </c>
      <c r="H53">
        <v>0</v>
      </c>
      <c r="I53" s="58" t="s">
        <v>714</v>
      </c>
      <c r="J53" s="59">
        <v>-1</v>
      </c>
    </row>
    <row r="54" spans="1:10" x14ac:dyDescent="0.2">
      <c r="A54" t="s">
        <v>701</v>
      </c>
      <c r="B54" t="s">
        <v>520</v>
      </c>
      <c r="C54" t="s">
        <v>562</v>
      </c>
      <c r="D54">
        <v>0</v>
      </c>
      <c r="E54">
        <v>0</v>
      </c>
      <c r="F54">
        <v>0</v>
      </c>
      <c r="G54">
        <v>0</v>
      </c>
      <c r="H54">
        <v>0</v>
      </c>
      <c r="I54" s="58" t="s">
        <v>702</v>
      </c>
      <c r="J54" s="59">
        <v>1</v>
      </c>
    </row>
    <row r="55" spans="1:10" x14ac:dyDescent="0.2">
      <c r="A55" t="s">
        <v>913</v>
      </c>
      <c r="B55" t="s">
        <v>643</v>
      </c>
      <c r="C55" t="s">
        <v>606</v>
      </c>
      <c r="D55">
        <v>0</v>
      </c>
      <c r="E55">
        <v>0</v>
      </c>
      <c r="F55">
        <v>0</v>
      </c>
      <c r="G55">
        <v>0</v>
      </c>
      <c r="H55">
        <v>0</v>
      </c>
      <c r="I55" s="58" t="s">
        <v>1851</v>
      </c>
      <c r="J55" s="59">
        <v>30.521838557745401</v>
      </c>
    </row>
    <row r="56" spans="1:10" x14ac:dyDescent="0.2">
      <c r="A56" t="s">
        <v>806</v>
      </c>
      <c r="B56" t="s">
        <v>570</v>
      </c>
      <c r="C56" t="s">
        <v>606</v>
      </c>
      <c r="D56">
        <v>0</v>
      </c>
      <c r="E56">
        <v>0</v>
      </c>
      <c r="F56">
        <v>0</v>
      </c>
      <c r="G56">
        <v>0</v>
      </c>
      <c r="H56">
        <v>0</v>
      </c>
      <c r="I56" s="58" t="s">
        <v>1788</v>
      </c>
      <c r="J56" s="59">
        <v>4.7229737869893401E-2</v>
      </c>
    </row>
    <row r="57" spans="1:10" x14ac:dyDescent="0.2">
      <c r="A57" t="s">
        <v>919</v>
      </c>
      <c r="B57" t="s">
        <v>644</v>
      </c>
      <c r="C57" t="s">
        <v>606</v>
      </c>
      <c r="D57">
        <v>0</v>
      </c>
      <c r="E57">
        <v>0</v>
      </c>
      <c r="F57">
        <v>0</v>
      </c>
      <c r="G57">
        <v>0</v>
      </c>
      <c r="H57">
        <v>0</v>
      </c>
      <c r="I57" s="58" t="s">
        <v>1856</v>
      </c>
      <c r="J57" s="59">
        <v>-1</v>
      </c>
    </row>
    <row r="58" spans="1:10" x14ac:dyDescent="0.2">
      <c r="A58" t="s">
        <v>786</v>
      </c>
      <c r="B58" t="s">
        <v>573</v>
      </c>
      <c r="C58" t="s">
        <v>606</v>
      </c>
      <c r="D58">
        <v>0</v>
      </c>
      <c r="E58">
        <v>0</v>
      </c>
      <c r="F58">
        <v>0</v>
      </c>
      <c r="G58">
        <v>0</v>
      </c>
      <c r="H58">
        <v>0</v>
      </c>
      <c r="I58" s="58" t="s">
        <v>1781</v>
      </c>
      <c r="J58" s="59">
        <v>5.0623560654366302E-2</v>
      </c>
    </row>
    <row r="59" spans="1:10" x14ac:dyDescent="0.2">
      <c r="A59" t="s">
        <v>801</v>
      </c>
      <c r="B59" t="s">
        <v>570</v>
      </c>
      <c r="C59" t="s">
        <v>595</v>
      </c>
      <c r="D59">
        <v>0</v>
      </c>
      <c r="E59">
        <v>0</v>
      </c>
      <c r="F59">
        <v>0</v>
      </c>
      <c r="G59">
        <v>0</v>
      </c>
      <c r="H59">
        <v>0</v>
      </c>
      <c r="I59" s="58" t="s">
        <v>802</v>
      </c>
      <c r="J59" s="59">
        <v>-0.27777777777777801</v>
      </c>
    </row>
    <row r="60" spans="1:10" x14ac:dyDescent="0.2">
      <c r="A60" t="s">
        <v>900</v>
      </c>
      <c r="B60" t="s">
        <v>635</v>
      </c>
      <c r="C60" t="s">
        <v>595</v>
      </c>
      <c r="D60">
        <v>0</v>
      </c>
      <c r="E60">
        <v>0</v>
      </c>
      <c r="F60">
        <v>0</v>
      </c>
      <c r="G60">
        <v>0</v>
      </c>
      <c r="H60">
        <v>0</v>
      </c>
      <c r="I60" s="58" t="s">
        <v>1834</v>
      </c>
      <c r="J60">
        <v>-1</v>
      </c>
    </row>
    <row r="61" spans="1:10" x14ac:dyDescent="0.2">
      <c r="A61" t="s">
        <v>856</v>
      </c>
      <c r="B61" t="s">
        <v>625</v>
      </c>
      <c r="C61" t="s">
        <v>595</v>
      </c>
      <c r="D61">
        <v>0</v>
      </c>
      <c r="E61">
        <v>0</v>
      </c>
      <c r="F61">
        <v>0</v>
      </c>
      <c r="G61">
        <v>0</v>
      </c>
      <c r="H61">
        <v>0</v>
      </c>
      <c r="I61" s="58" t="s">
        <v>857</v>
      </c>
      <c r="J61">
        <v>-0.27777777777777801</v>
      </c>
    </row>
    <row r="62" spans="1:10" x14ac:dyDescent="0.2">
      <c r="A62" t="s">
        <v>860</v>
      </c>
      <c r="B62" t="s">
        <v>626</v>
      </c>
      <c r="C62" t="s">
        <v>595</v>
      </c>
      <c r="D62">
        <v>0</v>
      </c>
      <c r="E62">
        <v>0</v>
      </c>
      <c r="F62">
        <v>0</v>
      </c>
      <c r="G62">
        <v>0</v>
      </c>
      <c r="H62">
        <v>0</v>
      </c>
      <c r="I62" s="58" t="s">
        <v>861</v>
      </c>
      <c r="J62">
        <v>-0.27777777777777801</v>
      </c>
    </row>
    <row r="63" spans="1:10" x14ac:dyDescent="0.2">
      <c r="A63" t="s">
        <v>803</v>
      </c>
      <c r="B63" t="s">
        <v>570</v>
      </c>
      <c r="C63" t="s">
        <v>596</v>
      </c>
      <c r="D63">
        <v>0</v>
      </c>
      <c r="E63">
        <v>0</v>
      </c>
      <c r="F63">
        <v>0</v>
      </c>
      <c r="G63">
        <v>0</v>
      </c>
      <c r="H63">
        <v>0</v>
      </c>
      <c r="I63" s="58" t="s">
        <v>804</v>
      </c>
      <c r="J63">
        <v>0</v>
      </c>
    </row>
    <row r="64" spans="1:10" x14ac:dyDescent="0.2">
      <c r="A64" t="s">
        <v>901</v>
      </c>
      <c r="B64" t="s">
        <v>636</v>
      </c>
      <c r="C64" t="s">
        <v>596</v>
      </c>
      <c r="D64">
        <v>0</v>
      </c>
      <c r="E64">
        <v>0</v>
      </c>
      <c r="F64">
        <v>0</v>
      </c>
      <c r="G64">
        <v>0</v>
      </c>
      <c r="H64">
        <v>0</v>
      </c>
      <c r="I64" s="58" t="s">
        <v>1835</v>
      </c>
      <c r="J64" s="59">
        <v>-1</v>
      </c>
    </row>
    <row r="65" spans="1:10" x14ac:dyDescent="0.2">
      <c r="A65" t="s">
        <v>862</v>
      </c>
      <c r="B65" t="s">
        <v>626</v>
      </c>
      <c r="C65" t="s">
        <v>596</v>
      </c>
      <c r="D65">
        <v>0</v>
      </c>
      <c r="E65">
        <v>0</v>
      </c>
      <c r="F65">
        <v>0</v>
      </c>
      <c r="G65">
        <v>0</v>
      </c>
      <c r="H65">
        <v>0</v>
      </c>
      <c r="I65" s="58" t="s">
        <v>863</v>
      </c>
      <c r="J65" s="59">
        <v>-0.50505050505050497</v>
      </c>
    </row>
    <row r="66" spans="1:10" x14ac:dyDescent="0.2">
      <c r="A66" t="s">
        <v>707</v>
      </c>
      <c r="B66" t="s">
        <v>566</v>
      </c>
      <c r="C66" t="s">
        <v>559</v>
      </c>
      <c r="D66">
        <v>0</v>
      </c>
      <c r="E66">
        <v>0</v>
      </c>
      <c r="F66">
        <v>0</v>
      </c>
      <c r="G66">
        <v>0</v>
      </c>
      <c r="H66">
        <v>0</v>
      </c>
      <c r="I66" s="58" t="s">
        <v>708</v>
      </c>
      <c r="J66">
        <v>-1</v>
      </c>
    </row>
    <row r="67" spans="1:10" x14ac:dyDescent="0.2">
      <c r="A67" t="s">
        <v>695</v>
      </c>
      <c r="B67" t="s">
        <v>516</v>
      </c>
      <c r="C67" t="s">
        <v>559</v>
      </c>
      <c r="D67">
        <v>0</v>
      </c>
      <c r="E67">
        <v>0</v>
      </c>
      <c r="F67">
        <v>0</v>
      </c>
      <c r="G67">
        <v>0</v>
      </c>
      <c r="H67">
        <v>0</v>
      </c>
      <c r="I67" s="58" t="s">
        <v>696</v>
      </c>
      <c r="J67" s="59">
        <v>1</v>
      </c>
    </row>
    <row r="68" spans="1:10" x14ac:dyDescent="0.2">
      <c r="A68" t="s">
        <v>776</v>
      </c>
      <c r="B68" t="s">
        <v>573</v>
      </c>
      <c r="C68" t="s">
        <v>592</v>
      </c>
      <c r="D68">
        <v>0</v>
      </c>
      <c r="E68">
        <v>0</v>
      </c>
      <c r="F68">
        <v>0</v>
      </c>
      <c r="G68">
        <v>0</v>
      </c>
      <c r="H68">
        <v>0</v>
      </c>
      <c r="I68" s="58" t="s">
        <v>777</v>
      </c>
      <c r="J68">
        <v>1</v>
      </c>
    </row>
    <row r="69" spans="1:10" x14ac:dyDescent="0.2">
      <c r="A69" t="s">
        <v>852</v>
      </c>
      <c r="B69" t="s">
        <v>624</v>
      </c>
      <c r="C69" t="s">
        <v>592</v>
      </c>
      <c r="D69">
        <v>0</v>
      </c>
      <c r="E69">
        <v>0</v>
      </c>
      <c r="F69">
        <v>0</v>
      </c>
      <c r="G69">
        <v>0</v>
      </c>
      <c r="H69">
        <v>0</v>
      </c>
      <c r="I69" s="58" t="s">
        <v>853</v>
      </c>
      <c r="J69">
        <v>-1</v>
      </c>
    </row>
    <row r="70" spans="1:10" x14ac:dyDescent="0.2">
      <c r="A70" t="s">
        <v>854</v>
      </c>
      <c r="B70" t="s">
        <v>625</v>
      </c>
      <c r="C70" t="s">
        <v>592</v>
      </c>
      <c r="D70">
        <v>0</v>
      </c>
      <c r="E70">
        <v>0</v>
      </c>
      <c r="F70">
        <v>0</v>
      </c>
      <c r="G70">
        <v>0</v>
      </c>
      <c r="H70">
        <v>0</v>
      </c>
      <c r="I70" s="58" t="s">
        <v>855</v>
      </c>
      <c r="J70">
        <v>-1</v>
      </c>
    </row>
    <row r="71" spans="1:10" x14ac:dyDescent="0.2">
      <c r="A71" t="s">
        <v>858</v>
      </c>
      <c r="B71" t="s">
        <v>626</v>
      </c>
      <c r="C71" t="s">
        <v>592</v>
      </c>
      <c r="D71">
        <v>0</v>
      </c>
      <c r="E71">
        <v>0</v>
      </c>
      <c r="F71">
        <v>0</v>
      </c>
      <c r="G71">
        <v>0</v>
      </c>
      <c r="H71">
        <v>0</v>
      </c>
      <c r="I71" s="58" t="s">
        <v>859</v>
      </c>
      <c r="J71">
        <v>-1</v>
      </c>
    </row>
    <row r="72" spans="1:10" x14ac:dyDescent="0.2">
      <c r="A72" t="s">
        <v>910</v>
      </c>
      <c r="B72" t="s">
        <v>643</v>
      </c>
      <c r="C72" t="s">
        <v>603</v>
      </c>
      <c r="D72">
        <v>0</v>
      </c>
      <c r="E72">
        <v>0</v>
      </c>
      <c r="F72">
        <v>0</v>
      </c>
      <c r="G72">
        <v>0</v>
      </c>
      <c r="H72">
        <v>0</v>
      </c>
      <c r="I72" s="58" t="s">
        <v>1848</v>
      </c>
      <c r="J72" s="59">
        <v>-6.5346414649073606E-2</v>
      </c>
    </row>
    <row r="73" spans="1:10" x14ac:dyDescent="0.2">
      <c r="A73" t="s">
        <v>805</v>
      </c>
      <c r="B73" t="s">
        <v>570</v>
      </c>
      <c r="C73" t="s">
        <v>603</v>
      </c>
      <c r="D73">
        <v>0</v>
      </c>
      <c r="E73">
        <v>0</v>
      </c>
      <c r="F73">
        <v>0</v>
      </c>
      <c r="G73">
        <v>0</v>
      </c>
      <c r="H73">
        <v>0</v>
      </c>
      <c r="I73" s="58" t="s">
        <v>1787</v>
      </c>
      <c r="J73" s="59">
        <v>1.57951555662326E-4</v>
      </c>
    </row>
    <row r="74" spans="1:10" x14ac:dyDescent="0.2">
      <c r="A74" t="s">
        <v>916</v>
      </c>
      <c r="B74" t="s">
        <v>571</v>
      </c>
      <c r="C74" t="s">
        <v>603</v>
      </c>
      <c r="D74">
        <v>0</v>
      </c>
      <c r="E74">
        <v>0</v>
      </c>
      <c r="F74">
        <v>0</v>
      </c>
      <c r="G74">
        <v>0</v>
      </c>
      <c r="H74">
        <v>0</v>
      </c>
      <c r="I74" s="58" t="s">
        <v>1853</v>
      </c>
      <c r="J74" s="59">
        <v>-1</v>
      </c>
    </row>
    <row r="75" spans="1:10" x14ac:dyDescent="0.2">
      <c r="A75" t="s">
        <v>784</v>
      </c>
      <c r="B75" t="s">
        <v>573</v>
      </c>
      <c r="C75" t="s">
        <v>603</v>
      </c>
      <c r="D75">
        <v>0</v>
      </c>
      <c r="E75">
        <v>0</v>
      </c>
      <c r="F75">
        <v>0</v>
      </c>
      <c r="G75">
        <v>0</v>
      </c>
      <c r="H75">
        <v>0</v>
      </c>
      <c r="I75" s="58" t="s">
        <v>1780</v>
      </c>
      <c r="J75" s="59">
        <v>1.5068547467247801E-4</v>
      </c>
    </row>
    <row r="76" spans="1:10" x14ac:dyDescent="0.2">
      <c r="A76" t="s">
        <v>936</v>
      </c>
      <c r="B76" t="s">
        <v>650</v>
      </c>
      <c r="C76" t="s">
        <v>612</v>
      </c>
      <c r="D76">
        <v>0</v>
      </c>
      <c r="E76">
        <v>0</v>
      </c>
      <c r="F76">
        <v>0</v>
      </c>
      <c r="G76">
        <v>0</v>
      </c>
      <c r="H76">
        <v>0</v>
      </c>
      <c r="I76" s="58" t="s">
        <v>1868</v>
      </c>
      <c r="J76">
        <v>394.31419164542399</v>
      </c>
    </row>
    <row r="77" spans="1:10" x14ac:dyDescent="0.2">
      <c r="A77" t="s">
        <v>941</v>
      </c>
      <c r="B77" t="s">
        <v>651</v>
      </c>
      <c r="C77" t="s">
        <v>612</v>
      </c>
      <c r="D77">
        <v>0</v>
      </c>
      <c r="E77">
        <v>0</v>
      </c>
      <c r="F77">
        <v>0</v>
      </c>
      <c r="G77">
        <v>0</v>
      </c>
      <c r="H77">
        <v>0</v>
      </c>
      <c r="I77" s="58" t="s">
        <v>1871</v>
      </c>
      <c r="J77">
        <v>1</v>
      </c>
    </row>
    <row r="78" spans="1:10" x14ac:dyDescent="0.2">
      <c r="A78" t="s">
        <v>808</v>
      </c>
      <c r="B78" t="s">
        <v>570</v>
      </c>
      <c r="C78" t="s">
        <v>612</v>
      </c>
      <c r="D78">
        <v>0</v>
      </c>
      <c r="E78">
        <v>0</v>
      </c>
      <c r="F78">
        <v>0</v>
      </c>
      <c r="G78">
        <v>0</v>
      </c>
      <c r="H78">
        <v>0</v>
      </c>
      <c r="I78" s="58" t="s">
        <v>1790</v>
      </c>
      <c r="J78">
        <v>4.0772656966995298</v>
      </c>
    </row>
    <row r="79" spans="1:10" x14ac:dyDescent="0.2">
      <c r="A79" t="s">
        <v>944</v>
      </c>
      <c r="B79" t="s">
        <v>572</v>
      </c>
      <c r="C79" t="s">
        <v>612</v>
      </c>
      <c r="D79">
        <v>0</v>
      </c>
      <c r="E79">
        <v>0</v>
      </c>
      <c r="F79">
        <v>0</v>
      </c>
      <c r="G79">
        <v>0</v>
      </c>
      <c r="H79">
        <v>0</v>
      </c>
      <c r="I79" s="58" t="s">
        <v>1874</v>
      </c>
      <c r="J79">
        <v>-1</v>
      </c>
    </row>
    <row r="80" spans="1:10" x14ac:dyDescent="0.2">
      <c r="A80" t="s">
        <v>792</v>
      </c>
      <c r="B80" t="s">
        <v>573</v>
      </c>
      <c r="C80" t="s">
        <v>612</v>
      </c>
      <c r="D80">
        <v>0</v>
      </c>
      <c r="E80">
        <v>0</v>
      </c>
      <c r="F80">
        <v>0</v>
      </c>
      <c r="G80">
        <v>0</v>
      </c>
      <c r="H80">
        <v>0</v>
      </c>
      <c r="I80" s="58" t="s">
        <v>1783</v>
      </c>
      <c r="J80" s="59">
        <v>4.5259513773707498</v>
      </c>
    </row>
    <row r="81" spans="1:10" x14ac:dyDescent="0.2">
      <c r="A81" t="s">
        <v>755</v>
      </c>
      <c r="B81" t="s">
        <v>564</v>
      </c>
      <c r="C81" t="s">
        <v>589</v>
      </c>
      <c r="D81">
        <v>0</v>
      </c>
      <c r="E81">
        <v>0</v>
      </c>
      <c r="F81">
        <v>0</v>
      </c>
      <c r="G81">
        <v>0</v>
      </c>
      <c r="H81">
        <v>0</v>
      </c>
      <c r="I81" s="58" t="s">
        <v>756</v>
      </c>
      <c r="J81">
        <v>-1.8</v>
      </c>
    </row>
    <row r="82" spans="1:10" x14ac:dyDescent="0.2">
      <c r="A82" t="s">
        <v>763</v>
      </c>
      <c r="B82" t="s">
        <v>623</v>
      </c>
      <c r="C82" t="s">
        <v>589</v>
      </c>
      <c r="D82">
        <v>0</v>
      </c>
      <c r="E82">
        <v>0</v>
      </c>
      <c r="F82">
        <v>0</v>
      </c>
      <c r="G82">
        <v>0</v>
      </c>
      <c r="H82">
        <v>0</v>
      </c>
      <c r="I82" s="58" t="s">
        <v>764</v>
      </c>
      <c r="J82" s="59">
        <v>16</v>
      </c>
    </row>
    <row r="83" spans="1:10" x14ac:dyDescent="0.2">
      <c r="A83" t="s">
        <v>799</v>
      </c>
      <c r="B83" t="s">
        <v>570</v>
      </c>
      <c r="C83" t="s">
        <v>589</v>
      </c>
      <c r="D83">
        <v>0</v>
      </c>
      <c r="E83">
        <v>0</v>
      </c>
      <c r="F83">
        <v>0</v>
      </c>
      <c r="G83">
        <v>0</v>
      </c>
      <c r="H83">
        <v>0</v>
      </c>
      <c r="I83" s="58" t="s">
        <v>800</v>
      </c>
      <c r="J83" s="59">
        <v>0.8</v>
      </c>
    </row>
    <row r="84" spans="1:10" x14ac:dyDescent="0.2">
      <c r="A84" t="s">
        <v>769</v>
      </c>
      <c r="B84" t="s">
        <v>566</v>
      </c>
      <c r="C84" t="s">
        <v>589</v>
      </c>
      <c r="D84">
        <v>0</v>
      </c>
      <c r="E84">
        <v>0</v>
      </c>
      <c r="F84">
        <v>0</v>
      </c>
      <c r="G84">
        <v>0</v>
      </c>
      <c r="H84">
        <v>0</v>
      </c>
      <c r="I84" s="58" t="s">
        <v>770</v>
      </c>
      <c r="J84" s="59">
        <v>9</v>
      </c>
    </row>
    <row r="85" spans="1:10" x14ac:dyDescent="0.2">
      <c r="A85" t="s">
        <v>772</v>
      </c>
      <c r="B85" t="s">
        <v>573</v>
      </c>
      <c r="C85" t="s">
        <v>589</v>
      </c>
      <c r="D85">
        <v>0</v>
      </c>
      <c r="E85">
        <v>0</v>
      </c>
      <c r="F85">
        <v>0</v>
      </c>
      <c r="G85">
        <v>0</v>
      </c>
      <c r="H85">
        <v>0</v>
      </c>
      <c r="I85" s="58" t="s">
        <v>773</v>
      </c>
      <c r="J85">
        <v>-0.8</v>
      </c>
    </row>
    <row r="86" spans="1:10" x14ac:dyDescent="0.2">
      <c r="A86" t="s">
        <v>953</v>
      </c>
      <c r="B86" t="s">
        <v>654</v>
      </c>
      <c r="C86" t="s">
        <v>617</v>
      </c>
      <c r="D86">
        <v>0</v>
      </c>
      <c r="E86">
        <v>0</v>
      </c>
      <c r="F86">
        <v>0</v>
      </c>
      <c r="G86">
        <v>0</v>
      </c>
      <c r="H86">
        <v>0</v>
      </c>
      <c r="I86" s="58" t="s">
        <v>1879</v>
      </c>
      <c r="J86" s="59">
        <v>429.314916601184</v>
      </c>
    </row>
    <row r="87" spans="1:10" x14ac:dyDescent="0.2">
      <c r="A87" t="s">
        <v>956</v>
      </c>
      <c r="B87" t="s">
        <v>655</v>
      </c>
      <c r="C87" t="s">
        <v>617</v>
      </c>
      <c r="D87">
        <v>0</v>
      </c>
      <c r="E87">
        <v>0</v>
      </c>
      <c r="F87">
        <v>0</v>
      </c>
      <c r="G87">
        <v>0</v>
      </c>
      <c r="H87">
        <v>0</v>
      </c>
      <c r="I87" s="58" t="s">
        <v>1882</v>
      </c>
      <c r="J87" s="59">
        <v>1</v>
      </c>
    </row>
    <row r="88" spans="1:10" x14ac:dyDescent="0.2">
      <c r="A88" t="s">
        <v>809</v>
      </c>
      <c r="B88" t="s">
        <v>570</v>
      </c>
      <c r="C88" t="s">
        <v>617</v>
      </c>
      <c r="D88">
        <v>0</v>
      </c>
      <c r="E88">
        <v>0</v>
      </c>
      <c r="F88">
        <v>0</v>
      </c>
      <c r="G88">
        <v>0</v>
      </c>
      <c r="H88">
        <v>0</v>
      </c>
      <c r="I88" s="58" t="s">
        <v>1791</v>
      </c>
      <c r="J88" s="59">
        <v>0.106294226666101</v>
      </c>
    </row>
    <row r="89" spans="1:10" x14ac:dyDescent="0.2">
      <c r="A89" t="s">
        <v>795</v>
      </c>
      <c r="B89" t="s">
        <v>573</v>
      </c>
      <c r="C89" t="s">
        <v>617</v>
      </c>
      <c r="D89">
        <v>0</v>
      </c>
      <c r="E89">
        <v>0</v>
      </c>
      <c r="F89">
        <v>0</v>
      </c>
      <c r="G89">
        <v>0</v>
      </c>
      <c r="H89">
        <v>0</v>
      </c>
      <c r="I89" s="58" t="s">
        <v>1785</v>
      </c>
      <c r="J89" s="59">
        <v>0.25686284864998499</v>
      </c>
    </row>
    <row r="90" spans="1:10" x14ac:dyDescent="0.2">
      <c r="A90" t="s">
        <v>959</v>
      </c>
      <c r="B90" t="s">
        <v>574</v>
      </c>
      <c r="C90" t="s">
        <v>617</v>
      </c>
      <c r="D90">
        <v>0</v>
      </c>
      <c r="E90">
        <v>0</v>
      </c>
      <c r="F90">
        <v>0</v>
      </c>
      <c r="G90">
        <v>0</v>
      </c>
      <c r="H90">
        <v>0</v>
      </c>
      <c r="I90" s="58" t="s">
        <v>1885</v>
      </c>
      <c r="J90">
        <v>-1</v>
      </c>
    </row>
    <row r="91" spans="1:10" x14ac:dyDescent="0.2">
      <c r="A91" t="s">
        <v>922</v>
      </c>
      <c r="B91" t="s">
        <v>645</v>
      </c>
      <c r="C91" t="s">
        <v>609</v>
      </c>
      <c r="D91">
        <v>0</v>
      </c>
      <c r="E91">
        <v>0</v>
      </c>
      <c r="F91">
        <v>0</v>
      </c>
      <c r="G91">
        <v>0</v>
      </c>
      <c r="H91">
        <v>0</v>
      </c>
      <c r="I91" s="58" t="s">
        <v>935</v>
      </c>
      <c r="J91" s="59">
        <v>357.08534222092902</v>
      </c>
    </row>
    <row r="92" spans="1:10" x14ac:dyDescent="0.2">
      <c r="A92" t="s">
        <v>925</v>
      </c>
      <c r="B92" t="s">
        <v>646</v>
      </c>
      <c r="C92" t="s">
        <v>609</v>
      </c>
      <c r="D92">
        <v>0</v>
      </c>
      <c r="E92">
        <v>0</v>
      </c>
      <c r="F92">
        <v>0</v>
      </c>
      <c r="G92">
        <v>0</v>
      </c>
      <c r="H92">
        <v>0</v>
      </c>
      <c r="I92" s="58" t="s">
        <v>1861</v>
      </c>
      <c r="J92">
        <v>1.0534076213558301</v>
      </c>
    </row>
    <row r="93" spans="1:10" x14ac:dyDescent="0.2">
      <c r="A93" t="s">
        <v>807</v>
      </c>
      <c r="B93" t="s">
        <v>570</v>
      </c>
      <c r="C93" t="s">
        <v>609</v>
      </c>
      <c r="D93">
        <v>0</v>
      </c>
      <c r="E93">
        <v>0</v>
      </c>
      <c r="F93">
        <v>0</v>
      </c>
      <c r="G93">
        <v>0</v>
      </c>
      <c r="H93">
        <v>0</v>
      </c>
      <c r="I93" s="58" t="s">
        <v>1789</v>
      </c>
      <c r="J93">
        <v>0.478045833993341</v>
      </c>
    </row>
    <row r="94" spans="1:10" x14ac:dyDescent="0.2">
      <c r="A94" t="s">
        <v>789</v>
      </c>
      <c r="B94" t="s">
        <v>573</v>
      </c>
      <c r="C94" t="s">
        <v>609</v>
      </c>
      <c r="D94">
        <v>0</v>
      </c>
      <c r="E94">
        <v>0</v>
      </c>
      <c r="F94">
        <v>0</v>
      </c>
      <c r="G94">
        <v>0</v>
      </c>
      <c r="H94">
        <v>0</v>
      </c>
      <c r="I94" s="58" t="s">
        <v>1782</v>
      </c>
      <c r="J94">
        <v>0.123610932691519</v>
      </c>
    </row>
    <row r="95" spans="1:10" x14ac:dyDescent="0.2">
      <c r="A95" t="s">
        <v>928</v>
      </c>
      <c r="B95" t="s">
        <v>575</v>
      </c>
      <c r="C95" t="s">
        <v>609</v>
      </c>
      <c r="D95">
        <v>0</v>
      </c>
      <c r="E95">
        <v>0</v>
      </c>
      <c r="F95">
        <v>0</v>
      </c>
      <c r="G95">
        <v>0</v>
      </c>
      <c r="H95">
        <v>0</v>
      </c>
      <c r="I95" s="58" t="s">
        <v>1862</v>
      </c>
      <c r="J95" s="59">
        <v>-1</v>
      </c>
    </row>
    <row r="96" spans="1:10" x14ac:dyDescent="0.2">
      <c r="A96" t="s">
        <v>929</v>
      </c>
      <c r="B96" t="s">
        <v>647</v>
      </c>
      <c r="C96" t="s">
        <v>609</v>
      </c>
      <c r="D96">
        <v>0</v>
      </c>
      <c r="E96">
        <v>0</v>
      </c>
      <c r="F96">
        <v>0</v>
      </c>
      <c r="G96">
        <v>0</v>
      </c>
      <c r="H96">
        <v>0</v>
      </c>
      <c r="I96" s="58" t="s">
        <v>1863</v>
      </c>
      <c r="J96">
        <v>1</v>
      </c>
    </row>
    <row r="97" spans="1:10" x14ac:dyDescent="0.2">
      <c r="A97" t="s">
        <v>962</v>
      </c>
      <c r="B97" t="s">
        <v>656</v>
      </c>
      <c r="C97" t="s">
        <v>620</v>
      </c>
      <c r="D97">
        <v>0</v>
      </c>
      <c r="E97">
        <v>0</v>
      </c>
      <c r="F97">
        <v>0</v>
      </c>
      <c r="G97">
        <v>0</v>
      </c>
      <c r="H97">
        <v>0</v>
      </c>
      <c r="I97" s="58" t="s">
        <v>1888</v>
      </c>
      <c r="J97" s="59">
        <v>413.26912844672501</v>
      </c>
    </row>
    <row r="98" spans="1:10" x14ac:dyDescent="0.2">
      <c r="A98" t="s">
        <v>963</v>
      </c>
      <c r="B98" t="s">
        <v>657</v>
      </c>
      <c r="C98" t="s">
        <v>620</v>
      </c>
      <c r="D98">
        <v>0</v>
      </c>
      <c r="E98">
        <v>0</v>
      </c>
      <c r="F98">
        <v>0</v>
      </c>
      <c r="G98">
        <v>0</v>
      </c>
      <c r="H98">
        <v>0</v>
      </c>
      <c r="I98" s="58" t="s">
        <v>1889</v>
      </c>
      <c r="J98">
        <v>1</v>
      </c>
    </row>
    <row r="99" spans="1:10" x14ac:dyDescent="0.2">
      <c r="A99" t="s">
        <v>810</v>
      </c>
      <c r="B99" t="s">
        <v>570</v>
      </c>
      <c r="C99" t="s">
        <v>620</v>
      </c>
      <c r="D99">
        <v>0</v>
      </c>
      <c r="E99">
        <v>0</v>
      </c>
      <c r="F99">
        <v>0</v>
      </c>
      <c r="G99">
        <v>0</v>
      </c>
      <c r="H99">
        <v>0</v>
      </c>
      <c r="I99" s="58" t="s">
        <v>1792</v>
      </c>
      <c r="J99" s="59">
        <v>7.2839613765923503E-2</v>
      </c>
    </row>
    <row r="100" spans="1:10" x14ac:dyDescent="0.2">
      <c r="A100" t="s">
        <v>797</v>
      </c>
      <c r="B100" t="s">
        <v>573</v>
      </c>
      <c r="C100" t="s">
        <v>620</v>
      </c>
      <c r="D100">
        <v>0</v>
      </c>
      <c r="E100">
        <v>0</v>
      </c>
      <c r="F100">
        <v>0</v>
      </c>
      <c r="G100">
        <v>0</v>
      </c>
      <c r="H100">
        <v>0</v>
      </c>
      <c r="I100" s="58" t="s">
        <v>1786</v>
      </c>
      <c r="J100">
        <v>0.117920814285735</v>
      </c>
    </row>
    <row r="101" spans="1:10" x14ac:dyDescent="0.2">
      <c r="A101" t="s">
        <v>964</v>
      </c>
      <c r="B101" t="s">
        <v>576</v>
      </c>
      <c r="C101" t="s">
        <v>620</v>
      </c>
      <c r="D101">
        <v>0</v>
      </c>
      <c r="E101">
        <v>0</v>
      </c>
      <c r="F101">
        <v>0</v>
      </c>
      <c r="G101">
        <v>0</v>
      </c>
      <c r="H101">
        <v>0</v>
      </c>
      <c r="I101" s="58" t="s">
        <v>1890</v>
      </c>
      <c r="J101">
        <v>-1</v>
      </c>
    </row>
    <row r="102" spans="1:10" x14ac:dyDescent="0.2">
      <c r="A102" t="s">
        <v>914</v>
      </c>
      <c r="B102" t="s">
        <v>643</v>
      </c>
      <c r="C102" t="s">
        <v>607</v>
      </c>
      <c r="D102">
        <v>0</v>
      </c>
      <c r="E102">
        <v>0</v>
      </c>
      <c r="F102">
        <v>0</v>
      </c>
      <c r="G102">
        <v>0</v>
      </c>
      <c r="H102">
        <v>0</v>
      </c>
      <c r="I102" s="58" t="s">
        <v>930</v>
      </c>
      <c r="J102">
        <v>24.0723644454634</v>
      </c>
    </row>
    <row r="103" spans="1:10" x14ac:dyDescent="0.2">
      <c r="A103" t="s">
        <v>788</v>
      </c>
      <c r="B103" t="s">
        <v>573</v>
      </c>
      <c r="C103" t="s">
        <v>607</v>
      </c>
      <c r="D103">
        <v>0</v>
      </c>
      <c r="E103">
        <v>0</v>
      </c>
      <c r="F103">
        <v>0</v>
      </c>
      <c r="G103">
        <v>0</v>
      </c>
      <c r="H103">
        <v>0</v>
      </c>
      <c r="I103" s="58" t="s">
        <v>790</v>
      </c>
      <c r="J103" s="59">
        <v>-1.24688873643682E-2</v>
      </c>
    </row>
    <row r="104" spans="1:10" x14ac:dyDescent="0.2">
      <c r="A104" t="s">
        <v>920</v>
      </c>
      <c r="B104" t="s">
        <v>577</v>
      </c>
      <c r="C104" t="s">
        <v>607</v>
      </c>
      <c r="D104">
        <v>0</v>
      </c>
      <c r="E104">
        <v>0</v>
      </c>
      <c r="F104">
        <v>0</v>
      </c>
      <c r="G104">
        <v>0</v>
      </c>
      <c r="H104">
        <v>0</v>
      </c>
      <c r="I104" s="58" t="s">
        <v>1857</v>
      </c>
      <c r="J104">
        <v>-1</v>
      </c>
    </row>
    <row r="105" spans="1:10" x14ac:dyDescent="0.2">
      <c r="A105" t="s">
        <v>829</v>
      </c>
      <c r="B105" t="s">
        <v>580</v>
      </c>
      <c r="C105" t="s">
        <v>607</v>
      </c>
      <c r="D105">
        <v>0</v>
      </c>
      <c r="E105">
        <v>0</v>
      </c>
      <c r="F105">
        <v>0</v>
      </c>
      <c r="G105">
        <v>0</v>
      </c>
      <c r="H105">
        <v>0</v>
      </c>
      <c r="I105" s="58" t="s">
        <v>1798</v>
      </c>
      <c r="J105" s="59">
        <v>-1.0647640769846201E-2</v>
      </c>
    </row>
    <row r="106" spans="1:10" x14ac:dyDescent="0.2">
      <c r="A106" t="s">
        <v>778</v>
      </c>
      <c r="B106" t="s">
        <v>573</v>
      </c>
      <c r="C106" t="s">
        <v>597</v>
      </c>
      <c r="D106">
        <v>0</v>
      </c>
      <c r="E106">
        <v>0</v>
      </c>
      <c r="F106">
        <v>0</v>
      </c>
      <c r="G106">
        <v>0</v>
      </c>
      <c r="H106">
        <v>0</v>
      </c>
      <c r="I106" s="58" t="s">
        <v>779</v>
      </c>
      <c r="J106">
        <v>-0.27777777777777801</v>
      </c>
    </row>
    <row r="107" spans="1:10" x14ac:dyDescent="0.2">
      <c r="A107" t="s">
        <v>902</v>
      </c>
      <c r="B107" t="s">
        <v>637</v>
      </c>
      <c r="C107" t="s">
        <v>597</v>
      </c>
      <c r="D107">
        <v>0</v>
      </c>
      <c r="E107">
        <v>0</v>
      </c>
      <c r="F107">
        <v>0</v>
      </c>
      <c r="G107">
        <v>0</v>
      </c>
      <c r="H107">
        <v>0</v>
      </c>
      <c r="I107" s="58" t="s">
        <v>1836</v>
      </c>
      <c r="J107" s="59">
        <v>-1</v>
      </c>
    </row>
    <row r="108" spans="1:10" x14ac:dyDescent="0.2">
      <c r="A108" t="s">
        <v>868</v>
      </c>
      <c r="B108" t="s">
        <v>628</v>
      </c>
      <c r="C108" t="s">
        <v>597</v>
      </c>
      <c r="D108">
        <v>0</v>
      </c>
      <c r="E108">
        <v>0</v>
      </c>
      <c r="F108">
        <v>0</v>
      </c>
      <c r="G108">
        <v>0</v>
      </c>
      <c r="H108">
        <v>0</v>
      </c>
      <c r="I108" s="58" t="s">
        <v>869</v>
      </c>
      <c r="J108">
        <v>-0.27777777777777801</v>
      </c>
    </row>
    <row r="109" spans="1:10" x14ac:dyDescent="0.2">
      <c r="A109" t="s">
        <v>872</v>
      </c>
      <c r="B109" t="s">
        <v>629</v>
      </c>
      <c r="C109" t="s">
        <v>597</v>
      </c>
      <c r="D109">
        <v>0</v>
      </c>
      <c r="E109">
        <v>0</v>
      </c>
      <c r="F109">
        <v>0</v>
      </c>
      <c r="G109">
        <v>0</v>
      </c>
      <c r="H109">
        <v>0</v>
      </c>
      <c r="I109" s="58" t="s">
        <v>873</v>
      </c>
      <c r="J109" s="59">
        <v>-0.27777777777777801</v>
      </c>
    </row>
    <row r="110" spans="1:10" x14ac:dyDescent="0.2">
      <c r="A110" t="s">
        <v>878</v>
      </c>
      <c r="B110" t="s">
        <v>630</v>
      </c>
      <c r="C110" t="s">
        <v>597</v>
      </c>
      <c r="D110">
        <v>0</v>
      </c>
      <c r="E110">
        <v>0</v>
      </c>
      <c r="F110">
        <v>0</v>
      </c>
      <c r="G110">
        <v>0</v>
      </c>
      <c r="H110">
        <v>0</v>
      </c>
      <c r="I110" s="58" t="s">
        <v>879</v>
      </c>
      <c r="J110" s="59">
        <v>-0.27777777777777801</v>
      </c>
    </row>
    <row r="111" spans="1:10" x14ac:dyDescent="0.2">
      <c r="A111" t="s">
        <v>1812</v>
      </c>
      <c r="B111" t="s">
        <v>1763</v>
      </c>
      <c r="C111" t="s">
        <v>597</v>
      </c>
      <c r="D111">
        <v>0</v>
      </c>
      <c r="E111">
        <v>0</v>
      </c>
      <c r="F111">
        <v>0</v>
      </c>
      <c r="G111">
        <v>0</v>
      </c>
      <c r="H111">
        <v>0</v>
      </c>
      <c r="I111" s="58" t="s">
        <v>1813</v>
      </c>
      <c r="J111" s="59">
        <v>-0.27777777777777801</v>
      </c>
    </row>
    <row r="112" spans="1:10" x14ac:dyDescent="0.2">
      <c r="A112" t="s">
        <v>780</v>
      </c>
      <c r="B112" t="s">
        <v>573</v>
      </c>
      <c r="C112" t="s">
        <v>598</v>
      </c>
      <c r="D112">
        <v>0</v>
      </c>
      <c r="E112">
        <v>0</v>
      </c>
      <c r="F112">
        <v>0</v>
      </c>
      <c r="G112">
        <v>0</v>
      </c>
      <c r="H112">
        <v>0</v>
      </c>
      <c r="I112" s="58" t="s">
        <v>781</v>
      </c>
      <c r="J112" s="59">
        <v>-5.5555555555555601E-2</v>
      </c>
    </row>
    <row r="113" spans="1:10" x14ac:dyDescent="0.2">
      <c r="A113" t="s">
        <v>904</v>
      </c>
      <c r="B113" t="s">
        <v>638</v>
      </c>
      <c r="C113" t="s">
        <v>598</v>
      </c>
      <c r="D113">
        <v>0</v>
      </c>
      <c r="E113">
        <v>0</v>
      </c>
      <c r="F113">
        <v>0</v>
      </c>
      <c r="G113">
        <v>0</v>
      </c>
      <c r="H113">
        <v>0</v>
      </c>
      <c r="I113" s="58" t="s">
        <v>1838</v>
      </c>
      <c r="J113">
        <v>-1</v>
      </c>
    </row>
    <row r="114" spans="1:10" x14ac:dyDescent="0.2">
      <c r="A114" t="s">
        <v>874</v>
      </c>
      <c r="B114" t="s">
        <v>629</v>
      </c>
      <c r="C114" t="s">
        <v>598</v>
      </c>
      <c r="D114">
        <v>0</v>
      </c>
      <c r="E114">
        <v>0</v>
      </c>
      <c r="F114">
        <v>0</v>
      </c>
      <c r="G114">
        <v>0</v>
      </c>
      <c r="H114">
        <v>0</v>
      </c>
      <c r="I114" s="58" t="s">
        <v>875</v>
      </c>
      <c r="J114">
        <v>-0.5</v>
      </c>
    </row>
    <row r="115" spans="1:10" x14ac:dyDescent="0.2">
      <c r="A115" t="s">
        <v>880</v>
      </c>
      <c r="B115" t="s">
        <v>630</v>
      </c>
      <c r="C115" t="s">
        <v>598</v>
      </c>
      <c r="D115">
        <v>0</v>
      </c>
      <c r="E115">
        <v>0</v>
      </c>
      <c r="F115">
        <v>0</v>
      </c>
      <c r="G115">
        <v>0</v>
      </c>
      <c r="H115">
        <v>0</v>
      </c>
      <c r="I115" s="58" t="s">
        <v>881</v>
      </c>
      <c r="J115">
        <v>-0.5</v>
      </c>
    </row>
    <row r="116" spans="1:10" x14ac:dyDescent="0.2">
      <c r="A116" t="s">
        <v>1814</v>
      </c>
      <c r="B116" t="s">
        <v>1763</v>
      </c>
      <c r="C116" t="s">
        <v>598</v>
      </c>
      <c r="D116">
        <v>0</v>
      </c>
      <c r="E116">
        <v>0</v>
      </c>
      <c r="F116">
        <v>0</v>
      </c>
      <c r="G116">
        <v>0</v>
      </c>
      <c r="H116">
        <v>0</v>
      </c>
      <c r="I116" s="58" t="s">
        <v>1815</v>
      </c>
      <c r="J116">
        <v>-0.5</v>
      </c>
    </row>
    <row r="117" spans="1:10" x14ac:dyDescent="0.2">
      <c r="A117" t="s">
        <v>782</v>
      </c>
      <c r="B117" t="s">
        <v>573</v>
      </c>
      <c r="C117" t="s">
        <v>599</v>
      </c>
      <c r="D117">
        <v>0</v>
      </c>
      <c r="E117">
        <v>0</v>
      </c>
      <c r="F117">
        <v>0</v>
      </c>
      <c r="G117">
        <v>0</v>
      </c>
      <c r="H117">
        <v>0</v>
      </c>
      <c r="I117" s="58" t="s">
        <v>783</v>
      </c>
      <c r="J117" s="59">
        <v>0</v>
      </c>
    </row>
    <row r="118" spans="1:10" x14ac:dyDescent="0.2">
      <c r="A118" t="s">
        <v>905</v>
      </c>
      <c r="B118" t="s">
        <v>639</v>
      </c>
      <c r="C118" t="s">
        <v>599</v>
      </c>
      <c r="D118">
        <v>0</v>
      </c>
      <c r="E118">
        <v>0</v>
      </c>
      <c r="F118">
        <v>0</v>
      </c>
      <c r="G118">
        <v>0</v>
      </c>
      <c r="H118">
        <v>0</v>
      </c>
      <c r="I118" s="58" t="s">
        <v>1839</v>
      </c>
      <c r="J118" s="59">
        <v>-1</v>
      </c>
    </row>
    <row r="119" spans="1:10" x14ac:dyDescent="0.2">
      <c r="A119" t="s">
        <v>882</v>
      </c>
      <c r="B119" t="s">
        <v>630</v>
      </c>
      <c r="C119" t="s">
        <v>599</v>
      </c>
      <c r="D119">
        <v>0</v>
      </c>
      <c r="E119">
        <v>0</v>
      </c>
      <c r="F119">
        <v>0</v>
      </c>
      <c r="G119">
        <v>0</v>
      </c>
      <c r="H119">
        <v>0</v>
      </c>
      <c r="I119" s="58" t="s">
        <v>883</v>
      </c>
      <c r="J119">
        <v>-0.31446540880503099</v>
      </c>
    </row>
    <row r="120" spans="1:10" x14ac:dyDescent="0.2">
      <c r="A120" t="s">
        <v>1816</v>
      </c>
      <c r="B120" t="s">
        <v>1763</v>
      </c>
      <c r="C120" t="s">
        <v>599</v>
      </c>
      <c r="D120">
        <v>0</v>
      </c>
      <c r="E120">
        <v>0</v>
      </c>
      <c r="F120">
        <v>0</v>
      </c>
      <c r="G120">
        <v>0</v>
      </c>
      <c r="H120">
        <v>0</v>
      </c>
      <c r="I120" s="58" t="s">
        <v>1817</v>
      </c>
      <c r="J120" s="59">
        <v>-0.31446540880503099</v>
      </c>
    </row>
    <row r="121" spans="1:10" x14ac:dyDescent="0.2">
      <c r="A121" t="s">
        <v>1778</v>
      </c>
      <c r="B121" t="s">
        <v>573</v>
      </c>
      <c r="C121" t="s">
        <v>1761</v>
      </c>
      <c r="D121">
        <v>0</v>
      </c>
      <c r="E121">
        <v>0</v>
      </c>
      <c r="F121">
        <v>0</v>
      </c>
      <c r="G121">
        <v>0</v>
      </c>
      <c r="H121">
        <v>0</v>
      </c>
      <c r="I121" s="58" t="s">
        <v>1779</v>
      </c>
      <c r="J121">
        <v>0</v>
      </c>
    </row>
    <row r="122" spans="1:10" x14ac:dyDescent="0.2">
      <c r="A122" t="s">
        <v>1840</v>
      </c>
      <c r="B122" t="s">
        <v>1765</v>
      </c>
      <c r="C122" t="s">
        <v>1761</v>
      </c>
      <c r="D122">
        <v>0</v>
      </c>
      <c r="E122">
        <v>0</v>
      </c>
      <c r="F122">
        <v>0</v>
      </c>
      <c r="G122">
        <v>0</v>
      </c>
      <c r="H122">
        <v>0</v>
      </c>
      <c r="I122" s="58" t="s">
        <v>1841</v>
      </c>
      <c r="J122">
        <v>-1</v>
      </c>
    </row>
    <row r="123" spans="1:10" x14ac:dyDescent="0.2">
      <c r="A123" t="s">
        <v>1818</v>
      </c>
      <c r="B123" t="s">
        <v>1763</v>
      </c>
      <c r="C123" t="s">
        <v>1761</v>
      </c>
      <c r="D123">
        <v>0</v>
      </c>
      <c r="E123">
        <v>0</v>
      </c>
      <c r="F123">
        <v>0</v>
      </c>
      <c r="G123">
        <v>0</v>
      </c>
      <c r="H123">
        <v>0</v>
      </c>
      <c r="I123" s="58" t="s">
        <v>1819</v>
      </c>
      <c r="J123">
        <v>-0.26455026455026498</v>
      </c>
    </row>
    <row r="124" spans="1:10" x14ac:dyDescent="0.2">
      <c r="A124" t="s">
        <v>709</v>
      </c>
      <c r="B124" t="s">
        <v>567</v>
      </c>
      <c r="C124" t="s">
        <v>560</v>
      </c>
      <c r="D124">
        <v>0</v>
      </c>
      <c r="E124">
        <v>0</v>
      </c>
      <c r="F124">
        <v>0</v>
      </c>
      <c r="G124">
        <v>0</v>
      </c>
      <c r="H124">
        <v>0</v>
      </c>
      <c r="I124" s="58" t="s">
        <v>710</v>
      </c>
      <c r="J124">
        <v>-1</v>
      </c>
    </row>
    <row r="125" spans="1:10" x14ac:dyDescent="0.2">
      <c r="A125" t="s">
        <v>697</v>
      </c>
      <c r="B125" t="s">
        <v>517</v>
      </c>
      <c r="C125" t="s">
        <v>560</v>
      </c>
      <c r="D125">
        <v>0</v>
      </c>
      <c r="E125">
        <v>0</v>
      </c>
      <c r="F125">
        <v>0</v>
      </c>
      <c r="G125">
        <v>0</v>
      </c>
      <c r="H125">
        <v>0</v>
      </c>
      <c r="I125" s="58" t="s">
        <v>698</v>
      </c>
      <c r="J125" s="59">
        <v>1</v>
      </c>
    </row>
    <row r="126" spans="1:10" x14ac:dyDescent="0.2">
      <c r="A126" t="s">
        <v>819</v>
      </c>
      <c r="B126" t="s">
        <v>580</v>
      </c>
      <c r="C126" t="s">
        <v>593</v>
      </c>
      <c r="D126">
        <v>0</v>
      </c>
      <c r="E126">
        <v>0</v>
      </c>
      <c r="F126">
        <v>0</v>
      </c>
      <c r="G126">
        <v>0</v>
      </c>
      <c r="H126">
        <v>0</v>
      </c>
      <c r="I126" s="58" t="s">
        <v>820</v>
      </c>
      <c r="J126" s="59">
        <v>1</v>
      </c>
    </row>
    <row r="127" spans="1:10" x14ac:dyDescent="0.2">
      <c r="A127" t="s">
        <v>864</v>
      </c>
      <c r="B127" t="s">
        <v>627</v>
      </c>
      <c r="C127" t="s">
        <v>593</v>
      </c>
      <c r="D127">
        <v>0</v>
      </c>
      <c r="E127">
        <v>0</v>
      </c>
      <c r="F127">
        <v>0</v>
      </c>
      <c r="G127">
        <v>0</v>
      </c>
      <c r="H127">
        <v>0</v>
      </c>
      <c r="I127" s="58" t="s">
        <v>865</v>
      </c>
      <c r="J127" s="59">
        <v>-1</v>
      </c>
    </row>
    <row r="128" spans="1:10" x14ac:dyDescent="0.2">
      <c r="A128" t="s">
        <v>866</v>
      </c>
      <c r="B128" t="s">
        <v>628</v>
      </c>
      <c r="C128" t="s">
        <v>593</v>
      </c>
      <c r="D128">
        <v>0</v>
      </c>
      <c r="E128">
        <v>0</v>
      </c>
      <c r="F128">
        <v>0</v>
      </c>
      <c r="G128">
        <v>0</v>
      </c>
      <c r="H128">
        <v>0</v>
      </c>
      <c r="I128" s="58" t="s">
        <v>867</v>
      </c>
      <c r="J128" s="59">
        <v>-1</v>
      </c>
    </row>
    <row r="129" spans="1:10" x14ac:dyDescent="0.2">
      <c r="A129" t="s">
        <v>870</v>
      </c>
      <c r="B129" t="s">
        <v>629</v>
      </c>
      <c r="C129" t="s">
        <v>593</v>
      </c>
      <c r="D129">
        <v>0</v>
      </c>
      <c r="E129">
        <v>0</v>
      </c>
      <c r="F129">
        <v>0</v>
      </c>
      <c r="G129">
        <v>0</v>
      </c>
      <c r="H129">
        <v>0</v>
      </c>
      <c r="I129" s="58" t="s">
        <v>871</v>
      </c>
      <c r="J129" s="59">
        <v>-1</v>
      </c>
    </row>
    <row r="130" spans="1:10" x14ac:dyDescent="0.2">
      <c r="A130" t="s">
        <v>876</v>
      </c>
      <c r="B130" t="s">
        <v>630</v>
      </c>
      <c r="C130" t="s">
        <v>593</v>
      </c>
      <c r="D130">
        <v>0</v>
      </c>
      <c r="E130">
        <v>0</v>
      </c>
      <c r="F130">
        <v>0</v>
      </c>
      <c r="G130">
        <v>0</v>
      </c>
      <c r="H130">
        <v>0</v>
      </c>
      <c r="I130" s="58" t="s">
        <v>877</v>
      </c>
      <c r="J130">
        <v>-1</v>
      </c>
    </row>
    <row r="131" spans="1:10" x14ac:dyDescent="0.2">
      <c r="A131" t="s">
        <v>1810</v>
      </c>
      <c r="B131" t="s">
        <v>1763</v>
      </c>
      <c r="C131" t="s">
        <v>593</v>
      </c>
      <c r="D131">
        <v>0</v>
      </c>
      <c r="E131">
        <v>0</v>
      </c>
      <c r="F131">
        <v>0</v>
      </c>
      <c r="G131">
        <v>0</v>
      </c>
      <c r="H131">
        <v>0</v>
      </c>
      <c r="I131" s="58" t="s">
        <v>1811</v>
      </c>
      <c r="J131">
        <v>-1</v>
      </c>
    </row>
    <row r="132" spans="1:10" x14ac:dyDescent="0.2">
      <c r="A132" t="s">
        <v>911</v>
      </c>
      <c r="B132" t="s">
        <v>643</v>
      </c>
      <c r="C132" t="s">
        <v>604</v>
      </c>
      <c r="D132">
        <v>0</v>
      </c>
      <c r="E132">
        <v>0</v>
      </c>
      <c r="F132">
        <v>0</v>
      </c>
      <c r="G132">
        <v>0</v>
      </c>
      <c r="H132">
        <v>0</v>
      </c>
      <c r="I132" s="58" t="s">
        <v>1849</v>
      </c>
      <c r="J132">
        <v>-6.9666802038393996E-2</v>
      </c>
    </row>
    <row r="133" spans="1:10" x14ac:dyDescent="0.2">
      <c r="A133" t="s">
        <v>785</v>
      </c>
      <c r="B133" t="s">
        <v>573</v>
      </c>
      <c r="C133" t="s">
        <v>604</v>
      </c>
      <c r="D133">
        <v>0</v>
      </c>
      <c r="E133">
        <v>0</v>
      </c>
      <c r="F133">
        <v>0</v>
      </c>
      <c r="G133">
        <v>0</v>
      </c>
      <c r="H133">
        <v>0</v>
      </c>
      <c r="I133" s="58" t="s">
        <v>787</v>
      </c>
      <c r="J133" s="59">
        <v>1.3835317348383501E-4</v>
      </c>
    </row>
    <row r="134" spans="1:10" x14ac:dyDescent="0.2">
      <c r="A134" t="s">
        <v>917</v>
      </c>
      <c r="B134" t="s">
        <v>578</v>
      </c>
      <c r="C134" t="s">
        <v>604</v>
      </c>
      <c r="D134">
        <v>0</v>
      </c>
      <c r="E134">
        <v>0</v>
      </c>
      <c r="F134">
        <v>0</v>
      </c>
      <c r="G134">
        <v>0</v>
      </c>
      <c r="H134">
        <v>0</v>
      </c>
      <c r="I134" s="58" t="s">
        <v>1854</v>
      </c>
      <c r="J134">
        <v>-1</v>
      </c>
    </row>
    <row r="135" spans="1:10" x14ac:dyDescent="0.2">
      <c r="A135" t="s">
        <v>826</v>
      </c>
      <c r="B135" t="s">
        <v>580</v>
      </c>
      <c r="C135" t="s">
        <v>604</v>
      </c>
      <c r="D135">
        <v>0</v>
      </c>
      <c r="E135">
        <v>0</v>
      </c>
      <c r="F135">
        <v>0</v>
      </c>
      <c r="G135">
        <v>0</v>
      </c>
      <c r="H135">
        <v>0</v>
      </c>
      <c r="I135" s="58" t="s">
        <v>1797</v>
      </c>
      <c r="J135" s="59">
        <v>1.3308238148286201E-4</v>
      </c>
    </row>
    <row r="136" spans="1:10" x14ac:dyDescent="0.2">
      <c r="A136" t="s">
        <v>938</v>
      </c>
      <c r="B136" t="s">
        <v>650</v>
      </c>
      <c r="C136" t="s">
        <v>613</v>
      </c>
      <c r="D136">
        <v>0</v>
      </c>
      <c r="E136">
        <v>0</v>
      </c>
      <c r="F136">
        <v>0</v>
      </c>
      <c r="G136">
        <v>0</v>
      </c>
      <c r="H136">
        <v>0</v>
      </c>
      <c r="I136" s="58" t="s">
        <v>1869</v>
      </c>
      <c r="J136">
        <v>573.57924863235701</v>
      </c>
    </row>
    <row r="137" spans="1:10" x14ac:dyDescent="0.2">
      <c r="A137" t="s">
        <v>942</v>
      </c>
      <c r="B137" t="s">
        <v>651</v>
      </c>
      <c r="C137" t="s">
        <v>613</v>
      </c>
      <c r="D137">
        <v>0</v>
      </c>
      <c r="E137">
        <v>0</v>
      </c>
      <c r="F137">
        <v>0</v>
      </c>
      <c r="G137">
        <v>0</v>
      </c>
      <c r="H137">
        <v>0</v>
      </c>
      <c r="I137" s="58" t="s">
        <v>1872</v>
      </c>
      <c r="J137">
        <v>1</v>
      </c>
    </row>
    <row r="138" spans="1:10" x14ac:dyDescent="0.2">
      <c r="A138" t="s">
        <v>794</v>
      </c>
      <c r="B138" t="s">
        <v>573</v>
      </c>
      <c r="C138" t="s">
        <v>613</v>
      </c>
      <c r="D138">
        <v>0</v>
      </c>
      <c r="E138">
        <v>0</v>
      </c>
      <c r="F138">
        <v>0</v>
      </c>
      <c r="G138">
        <v>0</v>
      </c>
      <c r="H138">
        <v>0</v>
      </c>
      <c r="I138" s="58" t="s">
        <v>1784</v>
      </c>
      <c r="J138">
        <v>4.1630924974272503</v>
      </c>
    </row>
    <row r="139" spans="1:10" x14ac:dyDescent="0.2">
      <c r="A139" t="s">
        <v>945</v>
      </c>
      <c r="B139" t="s">
        <v>579</v>
      </c>
      <c r="C139" t="s">
        <v>613</v>
      </c>
      <c r="D139">
        <v>0</v>
      </c>
      <c r="E139">
        <v>0</v>
      </c>
      <c r="F139">
        <v>0</v>
      </c>
      <c r="G139">
        <v>0</v>
      </c>
      <c r="H139">
        <v>0</v>
      </c>
      <c r="I139" s="58" t="s">
        <v>947</v>
      </c>
      <c r="J139">
        <v>-1</v>
      </c>
    </row>
    <row r="140" spans="1:10" x14ac:dyDescent="0.2">
      <c r="A140" t="s">
        <v>835</v>
      </c>
      <c r="B140" t="s">
        <v>580</v>
      </c>
      <c r="C140" t="s">
        <v>613</v>
      </c>
      <c r="D140">
        <v>0</v>
      </c>
      <c r="E140">
        <v>0</v>
      </c>
      <c r="F140">
        <v>0</v>
      </c>
      <c r="G140">
        <v>0</v>
      </c>
      <c r="H140">
        <v>0</v>
      </c>
      <c r="I140" s="58" t="s">
        <v>1800</v>
      </c>
      <c r="J140">
        <v>4.4679691844416496</v>
      </c>
    </row>
    <row r="141" spans="1:10" x14ac:dyDescent="0.2">
      <c r="A141" t="s">
        <v>757</v>
      </c>
      <c r="B141" t="s">
        <v>564</v>
      </c>
      <c r="C141" t="s">
        <v>590</v>
      </c>
      <c r="D141">
        <v>0</v>
      </c>
      <c r="E141">
        <v>0</v>
      </c>
      <c r="F141">
        <v>0</v>
      </c>
      <c r="G141">
        <v>0</v>
      </c>
      <c r="H141">
        <v>0</v>
      </c>
      <c r="I141" s="58" t="s">
        <v>758</v>
      </c>
      <c r="J141">
        <v>-1.8</v>
      </c>
    </row>
    <row r="142" spans="1:10" x14ac:dyDescent="0.2">
      <c r="A142" t="s">
        <v>765</v>
      </c>
      <c r="B142" t="s">
        <v>623</v>
      </c>
      <c r="C142" t="s">
        <v>590</v>
      </c>
      <c r="D142">
        <v>0</v>
      </c>
      <c r="E142">
        <v>0</v>
      </c>
      <c r="F142">
        <v>0</v>
      </c>
      <c r="G142">
        <v>0</v>
      </c>
      <c r="H142">
        <v>0</v>
      </c>
      <c r="I142" s="58" t="s">
        <v>766</v>
      </c>
      <c r="J142">
        <v>16</v>
      </c>
    </row>
    <row r="143" spans="1:10" x14ac:dyDescent="0.2">
      <c r="A143" t="s">
        <v>774</v>
      </c>
      <c r="B143" t="s">
        <v>573</v>
      </c>
      <c r="C143" t="s">
        <v>590</v>
      </c>
      <c r="D143">
        <v>0</v>
      </c>
      <c r="E143">
        <v>0</v>
      </c>
      <c r="F143">
        <v>0</v>
      </c>
      <c r="G143">
        <v>0</v>
      </c>
      <c r="H143">
        <v>0</v>
      </c>
      <c r="I143" s="58" t="s">
        <v>775</v>
      </c>
      <c r="J143">
        <v>0.8</v>
      </c>
    </row>
    <row r="144" spans="1:10" x14ac:dyDescent="0.2">
      <c r="A144" t="s">
        <v>812</v>
      </c>
      <c r="B144" t="s">
        <v>567</v>
      </c>
      <c r="C144" t="s">
        <v>590</v>
      </c>
      <c r="D144">
        <v>0</v>
      </c>
      <c r="E144">
        <v>0</v>
      </c>
      <c r="F144">
        <v>0</v>
      </c>
      <c r="G144">
        <v>0</v>
      </c>
      <c r="H144">
        <v>0</v>
      </c>
      <c r="I144" s="58" t="s">
        <v>813</v>
      </c>
      <c r="J144">
        <v>9</v>
      </c>
    </row>
    <row r="145" spans="1:10" x14ac:dyDescent="0.2">
      <c r="A145" t="s">
        <v>815</v>
      </c>
      <c r="B145" t="s">
        <v>580</v>
      </c>
      <c r="C145" t="s">
        <v>590</v>
      </c>
      <c r="D145">
        <v>0</v>
      </c>
      <c r="E145">
        <v>0</v>
      </c>
      <c r="F145">
        <v>0</v>
      </c>
      <c r="G145">
        <v>0</v>
      </c>
      <c r="H145">
        <v>0</v>
      </c>
      <c r="I145" s="58" t="s">
        <v>816</v>
      </c>
      <c r="J145">
        <v>-0.8</v>
      </c>
    </row>
    <row r="146" spans="1:10" x14ac:dyDescent="0.2">
      <c r="A146" t="s">
        <v>954</v>
      </c>
      <c r="B146" t="s">
        <v>654</v>
      </c>
      <c r="C146" t="s">
        <v>618</v>
      </c>
      <c r="D146">
        <v>0</v>
      </c>
      <c r="E146">
        <v>0</v>
      </c>
      <c r="F146">
        <v>0</v>
      </c>
      <c r="G146">
        <v>0</v>
      </c>
      <c r="H146">
        <v>0</v>
      </c>
      <c r="I146" s="58" t="s">
        <v>1880</v>
      </c>
      <c r="J146" s="59">
        <v>609.314916601184</v>
      </c>
    </row>
    <row r="147" spans="1:10" x14ac:dyDescent="0.2">
      <c r="A147" t="s">
        <v>957</v>
      </c>
      <c r="B147" t="s">
        <v>655</v>
      </c>
      <c r="C147" t="s">
        <v>618</v>
      </c>
      <c r="D147">
        <v>0</v>
      </c>
      <c r="E147">
        <v>0</v>
      </c>
      <c r="F147">
        <v>0</v>
      </c>
      <c r="G147">
        <v>0</v>
      </c>
      <c r="H147">
        <v>0</v>
      </c>
      <c r="I147" s="58" t="s">
        <v>1883</v>
      </c>
      <c r="J147">
        <v>1</v>
      </c>
    </row>
    <row r="148" spans="1:10" x14ac:dyDescent="0.2">
      <c r="A148" t="s">
        <v>796</v>
      </c>
      <c r="B148" t="s">
        <v>573</v>
      </c>
      <c r="C148" t="s">
        <v>618</v>
      </c>
      <c r="D148">
        <v>0</v>
      </c>
      <c r="E148">
        <v>0</v>
      </c>
      <c r="F148">
        <v>0</v>
      </c>
      <c r="G148">
        <v>0</v>
      </c>
      <c r="H148">
        <v>0</v>
      </c>
      <c r="I148" s="58" t="s">
        <v>798</v>
      </c>
      <c r="J148" s="59">
        <v>0.106294226666101</v>
      </c>
    </row>
    <row r="149" spans="1:10" x14ac:dyDescent="0.2">
      <c r="A149" t="s">
        <v>838</v>
      </c>
      <c r="B149" t="s">
        <v>580</v>
      </c>
      <c r="C149" t="s">
        <v>618</v>
      </c>
      <c r="D149">
        <v>0</v>
      </c>
      <c r="E149">
        <v>0</v>
      </c>
      <c r="F149">
        <v>0</v>
      </c>
      <c r="G149">
        <v>0</v>
      </c>
      <c r="H149">
        <v>0</v>
      </c>
      <c r="I149" s="58" t="s">
        <v>1802</v>
      </c>
      <c r="J149">
        <v>0.25686284864998499</v>
      </c>
    </row>
    <row r="150" spans="1:10" x14ac:dyDescent="0.2">
      <c r="A150" t="s">
        <v>960</v>
      </c>
      <c r="B150" t="s">
        <v>581</v>
      </c>
      <c r="C150" t="s">
        <v>618</v>
      </c>
      <c r="D150">
        <v>0</v>
      </c>
      <c r="E150">
        <v>0</v>
      </c>
      <c r="F150">
        <v>0</v>
      </c>
      <c r="G150">
        <v>0</v>
      </c>
      <c r="H150">
        <v>0</v>
      </c>
      <c r="I150" s="58" t="s">
        <v>1886</v>
      </c>
      <c r="J150">
        <v>-1</v>
      </c>
    </row>
    <row r="151" spans="1:10" x14ac:dyDescent="0.2">
      <c r="A151" t="s">
        <v>923</v>
      </c>
      <c r="B151" t="s">
        <v>645</v>
      </c>
      <c r="C151" t="s">
        <v>610</v>
      </c>
      <c r="D151">
        <v>0</v>
      </c>
      <c r="E151">
        <v>0</v>
      </c>
      <c r="F151">
        <v>0</v>
      </c>
      <c r="G151">
        <v>0</v>
      </c>
      <c r="H151">
        <v>0</v>
      </c>
      <c r="I151" s="58" t="s">
        <v>1859</v>
      </c>
      <c r="J151" s="59">
        <v>549.61134820095594</v>
      </c>
    </row>
    <row r="152" spans="1:10" x14ac:dyDescent="0.2">
      <c r="A152" t="s">
        <v>926</v>
      </c>
      <c r="B152" t="s">
        <v>646</v>
      </c>
      <c r="C152" t="s">
        <v>610</v>
      </c>
      <c r="D152">
        <v>0</v>
      </c>
      <c r="E152">
        <v>0</v>
      </c>
      <c r="F152">
        <v>0</v>
      </c>
      <c r="G152">
        <v>0</v>
      </c>
      <c r="H152">
        <v>0</v>
      </c>
      <c r="I152" s="58" t="s">
        <v>937</v>
      </c>
      <c r="J152">
        <v>1.0356694513953999</v>
      </c>
    </row>
    <row r="153" spans="1:10" x14ac:dyDescent="0.2">
      <c r="A153" t="s">
        <v>791</v>
      </c>
      <c r="B153" t="s">
        <v>573</v>
      </c>
      <c r="C153" t="s">
        <v>610</v>
      </c>
      <c r="D153">
        <v>0</v>
      </c>
      <c r="E153">
        <v>0</v>
      </c>
      <c r="F153">
        <v>0</v>
      </c>
      <c r="G153">
        <v>0</v>
      </c>
      <c r="H153">
        <v>0</v>
      </c>
      <c r="I153" s="58" t="s">
        <v>793</v>
      </c>
      <c r="J153">
        <v>0.43154351234111099</v>
      </c>
    </row>
    <row r="154" spans="1:10" x14ac:dyDescent="0.2">
      <c r="A154" t="s">
        <v>832</v>
      </c>
      <c r="B154" t="s">
        <v>580</v>
      </c>
      <c r="C154" t="s">
        <v>610</v>
      </c>
      <c r="D154">
        <v>0</v>
      </c>
      <c r="E154">
        <v>0</v>
      </c>
      <c r="F154">
        <v>0</v>
      </c>
      <c r="G154">
        <v>0</v>
      </c>
      <c r="H154">
        <v>0</v>
      </c>
      <c r="I154" s="58" t="s">
        <v>1799</v>
      </c>
      <c r="J154" s="59">
        <v>0.159982047991202</v>
      </c>
    </row>
    <row r="155" spans="1:10" x14ac:dyDescent="0.2">
      <c r="A155" t="s">
        <v>931</v>
      </c>
      <c r="B155" t="s">
        <v>582</v>
      </c>
      <c r="C155" t="s">
        <v>610</v>
      </c>
      <c r="D155">
        <v>0</v>
      </c>
      <c r="E155">
        <v>0</v>
      </c>
      <c r="F155">
        <v>0</v>
      </c>
      <c r="G155">
        <v>0</v>
      </c>
      <c r="H155">
        <v>0</v>
      </c>
      <c r="I155" s="58" t="s">
        <v>1864</v>
      </c>
      <c r="J155">
        <v>-1</v>
      </c>
    </row>
    <row r="156" spans="1:10" x14ac:dyDescent="0.2">
      <c r="A156" t="s">
        <v>932</v>
      </c>
      <c r="B156" t="s">
        <v>648</v>
      </c>
      <c r="C156" t="s">
        <v>610</v>
      </c>
      <c r="D156">
        <v>0</v>
      </c>
      <c r="E156">
        <v>0</v>
      </c>
      <c r="F156">
        <v>0</v>
      </c>
      <c r="G156">
        <v>0</v>
      </c>
      <c r="H156">
        <v>0</v>
      </c>
      <c r="I156" s="58" t="s">
        <v>1865</v>
      </c>
      <c r="J156" s="59">
        <v>1</v>
      </c>
    </row>
    <row r="157" spans="1:10" x14ac:dyDescent="0.2">
      <c r="A157" t="s">
        <v>903</v>
      </c>
      <c r="B157" t="s">
        <v>637</v>
      </c>
      <c r="C157" t="s">
        <v>615</v>
      </c>
      <c r="D157">
        <v>0</v>
      </c>
      <c r="E157">
        <v>0</v>
      </c>
      <c r="F157">
        <v>0</v>
      </c>
      <c r="G157">
        <v>0</v>
      </c>
      <c r="H157">
        <v>0</v>
      </c>
      <c r="I157" s="58" t="s">
        <v>1837</v>
      </c>
      <c r="J157" s="59">
        <v>-39.999951392451202</v>
      </c>
    </row>
    <row r="158" spans="1:10" x14ac:dyDescent="0.2">
      <c r="A158" t="s">
        <v>946</v>
      </c>
      <c r="B158" t="s">
        <v>579</v>
      </c>
      <c r="C158" t="s">
        <v>615</v>
      </c>
      <c r="D158">
        <v>0</v>
      </c>
      <c r="E158">
        <v>0</v>
      </c>
      <c r="F158">
        <v>0</v>
      </c>
      <c r="G158">
        <v>0</v>
      </c>
      <c r="H158">
        <v>0</v>
      </c>
      <c r="I158" s="58" t="s">
        <v>1875</v>
      </c>
      <c r="J158" s="59">
        <v>0.500000124999192</v>
      </c>
    </row>
    <row r="159" spans="1:10" x14ac:dyDescent="0.2">
      <c r="A159" t="s">
        <v>951</v>
      </c>
      <c r="B159" t="s">
        <v>652</v>
      </c>
      <c r="C159" t="s">
        <v>615</v>
      </c>
      <c r="D159">
        <v>0</v>
      </c>
      <c r="E159">
        <v>0</v>
      </c>
      <c r="F159">
        <v>0</v>
      </c>
      <c r="G159">
        <v>0</v>
      </c>
      <c r="H159">
        <v>0</v>
      </c>
      <c r="I159" s="58" t="s">
        <v>1877</v>
      </c>
      <c r="J159" s="59">
        <v>-1</v>
      </c>
    </row>
    <row r="160" spans="1:10" x14ac:dyDescent="0.2">
      <c r="A160" t="s">
        <v>915</v>
      </c>
      <c r="B160" t="s">
        <v>643</v>
      </c>
      <c r="C160" t="s">
        <v>608</v>
      </c>
      <c r="D160">
        <v>0</v>
      </c>
      <c r="E160">
        <v>0</v>
      </c>
      <c r="F160">
        <v>0</v>
      </c>
      <c r="G160">
        <v>0</v>
      </c>
      <c r="H160">
        <v>0</v>
      </c>
      <c r="I160" s="58" t="s">
        <v>1852</v>
      </c>
      <c r="J160" s="59">
        <v>19.3735835269662</v>
      </c>
    </row>
    <row r="161" spans="1:10" x14ac:dyDescent="0.2">
      <c r="A161" t="s">
        <v>831</v>
      </c>
      <c r="B161" t="s">
        <v>580</v>
      </c>
      <c r="C161" t="s">
        <v>608</v>
      </c>
      <c r="D161">
        <v>0</v>
      </c>
      <c r="E161">
        <v>0</v>
      </c>
      <c r="F161">
        <v>0</v>
      </c>
      <c r="G161">
        <v>0</v>
      </c>
      <c r="H161">
        <v>0</v>
      </c>
      <c r="I161" s="58" t="s">
        <v>833</v>
      </c>
      <c r="J161" s="59">
        <v>-5.9130963388479701E-2</v>
      </c>
    </row>
    <row r="162" spans="1:10" x14ac:dyDescent="0.2">
      <c r="A162" t="s">
        <v>921</v>
      </c>
      <c r="B162" t="s">
        <v>583</v>
      </c>
      <c r="C162" t="s">
        <v>608</v>
      </c>
      <c r="D162">
        <v>0</v>
      </c>
      <c r="E162">
        <v>0</v>
      </c>
      <c r="F162">
        <v>0</v>
      </c>
      <c r="G162">
        <v>0</v>
      </c>
      <c r="H162">
        <v>0</v>
      </c>
      <c r="I162" s="58" t="s">
        <v>1858</v>
      </c>
      <c r="J162" s="59">
        <v>-1</v>
      </c>
    </row>
    <row r="163" spans="1:10" x14ac:dyDescent="0.2">
      <c r="A163" t="s">
        <v>848</v>
      </c>
      <c r="B163" t="s">
        <v>586</v>
      </c>
      <c r="C163" t="s">
        <v>608</v>
      </c>
      <c r="D163">
        <v>0</v>
      </c>
      <c r="E163">
        <v>0</v>
      </c>
      <c r="F163">
        <v>0</v>
      </c>
      <c r="G163">
        <v>0</v>
      </c>
      <c r="H163">
        <v>0</v>
      </c>
      <c r="I163" s="58" t="s">
        <v>1806</v>
      </c>
      <c r="J163" s="59">
        <v>-5.8069329827555201E-2</v>
      </c>
    </row>
    <row r="164" spans="1:10" x14ac:dyDescent="0.2">
      <c r="A164" t="s">
        <v>821</v>
      </c>
      <c r="B164" t="s">
        <v>580</v>
      </c>
      <c r="C164" t="s">
        <v>600</v>
      </c>
      <c r="D164">
        <v>0</v>
      </c>
      <c r="E164">
        <v>0</v>
      </c>
      <c r="F164">
        <v>0</v>
      </c>
      <c r="G164">
        <v>0</v>
      </c>
      <c r="H164">
        <v>0</v>
      </c>
      <c r="I164" s="58" t="s">
        <v>823</v>
      </c>
      <c r="J164">
        <v>0</v>
      </c>
    </row>
    <row r="165" spans="1:10" x14ac:dyDescent="0.2">
      <c r="A165" t="s">
        <v>906</v>
      </c>
      <c r="B165" t="s">
        <v>640</v>
      </c>
      <c r="C165" t="s">
        <v>600</v>
      </c>
      <c r="D165">
        <v>0</v>
      </c>
      <c r="E165">
        <v>0</v>
      </c>
      <c r="F165">
        <v>0</v>
      </c>
      <c r="G165">
        <v>0</v>
      </c>
      <c r="H165">
        <v>0</v>
      </c>
      <c r="I165" s="58" t="s">
        <v>1842</v>
      </c>
      <c r="J165">
        <v>-1</v>
      </c>
    </row>
    <row r="166" spans="1:10" x14ac:dyDescent="0.2">
      <c r="A166" t="s">
        <v>887</v>
      </c>
      <c r="B166" t="s">
        <v>632</v>
      </c>
      <c r="C166" t="s">
        <v>600</v>
      </c>
      <c r="D166">
        <v>0</v>
      </c>
      <c r="E166">
        <v>0</v>
      </c>
      <c r="F166">
        <v>0</v>
      </c>
      <c r="G166">
        <v>0</v>
      </c>
      <c r="H166">
        <v>0</v>
      </c>
      <c r="I166" s="58" t="s">
        <v>892</v>
      </c>
      <c r="J166">
        <v>0</v>
      </c>
    </row>
    <row r="167" spans="1:10" x14ac:dyDescent="0.2">
      <c r="A167" t="s">
        <v>890</v>
      </c>
      <c r="B167" t="s">
        <v>633</v>
      </c>
      <c r="C167" t="s">
        <v>600</v>
      </c>
      <c r="D167">
        <v>0</v>
      </c>
      <c r="E167">
        <v>0</v>
      </c>
      <c r="F167">
        <v>0</v>
      </c>
      <c r="G167">
        <v>0</v>
      </c>
      <c r="H167">
        <v>0</v>
      </c>
      <c r="I167" s="58" t="s">
        <v>897</v>
      </c>
      <c r="J167">
        <v>0</v>
      </c>
    </row>
    <row r="168" spans="1:10" x14ac:dyDescent="0.2">
      <c r="A168" t="s">
        <v>895</v>
      </c>
      <c r="B168" t="s">
        <v>634</v>
      </c>
      <c r="C168" t="s">
        <v>600</v>
      </c>
      <c r="D168">
        <v>0</v>
      </c>
      <c r="E168">
        <v>0</v>
      </c>
      <c r="F168">
        <v>0</v>
      </c>
      <c r="G168">
        <v>0</v>
      </c>
      <c r="H168">
        <v>0</v>
      </c>
      <c r="I168" s="58" t="s">
        <v>1821</v>
      </c>
      <c r="J168" s="59">
        <v>0</v>
      </c>
    </row>
    <row r="169" spans="1:10" x14ac:dyDescent="0.2">
      <c r="A169" t="s">
        <v>1826</v>
      </c>
      <c r="B169" t="s">
        <v>1764</v>
      </c>
      <c r="C169" t="s">
        <v>600</v>
      </c>
      <c r="D169">
        <v>0</v>
      </c>
      <c r="E169">
        <v>0</v>
      </c>
      <c r="F169">
        <v>0</v>
      </c>
      <c r="G169">
        <v>0</v>
      </c>
      <c r="H169">
        <v>0</v>
      </c>
      <c r="I169" s="58" t="s">
        <v>1827</v>
      </c>
      <c r="J169" s="59">
        <v>0</v>
      </c>
    </row>
    <row r="170" spans="1:10" x14ac:dyDescent="0.2">
      <c r="A170" t="s">
        <v>822</v>
      </c>
      <c r="B170" t="s">
        <v>580</v>
      </c>
      <c r="C170" t="s">
        <v>601</v>
      </c>
      <c r="D170">
        <v>0</v>
      </c>
      <c r="E170">
        <v>0</v>
      </c>
      <c r="F170">
        <v>0</v>
      </c>
      <c r="G170">
        <v>0</v>
      </c>
      <c r="H170">
        <v>0</v>
      </c>
      <c r="I170" s="58" t="s">
        <v>825</v>
      </c>
      <c r="J170">
        <v>0</v>
      </c>
    </row>
    <row r="171" spans="1:10" x14ac:dyDescent="0.2">
      <c r="A171" t="s">
        <v>908</v>
      </c>
      <c r="B171" t="s">
        <v>641</v>
      </c>
      <c r="C171" t="s">
        <v>601</v>
      </c>
      <c r="D171">
        <v>0</v>
      </c>
      <c r="E171">
        <v>0</v>
      </c>
      <c r="F171">
        <v>0</v>
      </c>
      <c r="G171">
        <v>0</v>
      </c>
      <c r="H171">
        <v>0</v>
      </c>
      <c r="I171" s="58" t="s">
        <v>1844</v>
      </c>
      <c r="J171" s="59">
        <v>-1</v>
      </c>
    </row>
    <row r="172" spans="1:10" x14ac:dyDescent="0.2">
      <c r="A172" t="s">
        <v>891</v>
      </c>
      <c r="B172" t="s">
        <v>633</v>
      </c>
      <c r="C172" t="s">
        <v>601</v>
      </c>
      <c r="D172">
        <v>0</v>
      </c>
      <c r="E172">
        <v>0</v>
      </c>
      <c r="F172">
        <v>0</v>
      </c>
      <c r="G172">
        <v>0</v>
      </c>
      <c r="H172">
        <v>0</v>
      </c>
      <c r="I172" s="58" t="s">
        <v>899</v>
      </c>
      <c r="J172">
        <v>0</v>
      </c>
    </row>
    <row r="173" spans="1:10" x14ac:dyDescent="0.2">
      <c r="A173" t="s">
        <v>896</v>
      </c>
      <c r="B173" t="s">
        <v>634</v>
      </c>
      <c r="C173" t="s">
        <v>601</v>
      </c>
      <c r="D173">
        <v>0</v>
      </c>
      <c r="E173">
        <v>0</v>
      </c>
      <c r="F173">
        <v>0</v>
      </c>
      <c r="G173">
        <v>0</v>
      </c>
      <c r="H173">
        <v>0</v>
      </c>
      <c r="I173" s="58" t="s">
        <v>1822</v>
      </c>
      <c r="J173">
        <v>0</v>
      </c>
    </row>
    <row r="174" spans="1:10" x14ac:dyDescent="0.2">
      <c r="A174" t="s">
        <v>1828</v>
      </c>
      <c r="B174" t="s">
        <v>1764</v>
      </c>
      <c r="C174" t="s">
        <v>601</v>
      </c>
      <c r="D174">
        <v>0</v>
      </c>
      <c r="E174">
        <v>0</v>
      </c>
      <c r="F174">
        <v>0</v>
      </c>
      <c r="G174">
        <v>0</v>
      </c>
      <c r="H174">
        <v>0</v>
      </c>
      <c r="I174" s="58" t="s">
        <v>1829</v>
      </c>
      <c r="J174">
        <v>0</v>
      </c>
    </row>
    <row r="175" spans="1:10" x14ac:dyDescent="0.2">
      <c r="A175" t="s">
        <v>824</v>
      </c>
      <c r="B175" t="s">
        <v>580</v>
      </c>
      <c r="C175" t="s">
        <v>602</v>
      </c>
      <c r="D175">
        <v>0</v>
      </c>
      <c r="E175">
        <v>0</v>
      </c>
      <c r="F175">
        <v>0</v>
      </c>
      <c r="G175">
        <v>0</v>
      </c>
      <c r="H175">
        <v>0</v>
      </c>
      <c r="I175" s="58" t="s">
        <v>1795</v>
      </c>
      <c r="J175">
        <v>-0.12962962962963001</v>
      </c>
    </row>
    <row r="176" spans="1:10" x14ac:dyDescent="0.2">
      <c r="A176" t="s">
        <v>909</v>
      </c>
      <c r="B176" t="s">
        <v>642</v>
      </c>
      <c r="C176" t="s">
        <v>602</v>
      </c>
      <c r="D176">
        <v>0</v>
      </c>
      <c r="E176">
        <v>0</v>
      </c>
      <c r="F176">
        <v>0</v>
      </c>
      <c r="G176">
        <v>0</v>
      </c>
      <c r="H176">
        <v>0</v>
      </c>
      <c r="I176" s="58" t="s">
        <v>1845</v>
      </c>
      <c r="J176" s="59">
        <v>-1</v>
      </c>
    </row>
    <row r="177" spans="1:10" x14ac:dyDescent="0.2">
      <c r="A177" t="s">
        <v>898</v>
      </c>
      <c r="B177" t="s">
        <v>634</v>
      </c>
      <c r="C177" t="s">
        <v>602</v>
      </c>
      <c r="D177">
        <v>0</v>
      </c>
      <c r="E177">
        <v>0</v>
      </c>
      <c r="F177">
        <v>0</v>
      </c>
      <c r="G177">
        <v>0</v>
      </c>
      <c r="H177">
        <v>0</v>
      </c>
      <c r="I177" s="58" t="s">
        <v>1823</v>
      </c>
      <c r="J177" s="59">
        <v>-0.42592592592592599</v>
      </c>
    </row>
    <row r="178" spans="1:10" x14ac:dyDescent="0.2">
      <c r="A178" t="s">
        <v>1830</v>
      </c>
      <c r="B178" t="s">
        <v>1764</v>
      </c>
      <c r="C178" t="s">
        <v>602</v>
      </c>
      <c r="D178">
        <v>0</v>
      </c>
      <c r="E178">
        <v>0</v>
      </c>
      <c r="F178">
        <v>0</v>
      </c>
      <c r="G178">
        <v>0</v>
      </c>
      <c r="H178">
        <v>0</v>
      </c>
      <c r="I178" s="58" t="s">
        <v>1831</v>
      </c>
      <c r="J178">
        <v>-0.42592592592592599</v>
      </c>
    </row>
    <row r="179" spans="1:10" x14ac:dyDescent="0.2">
      <c r="A179" t="s">
        <v>1796</v>
      </c>
      <c r="B179" t="s">
        <v>580</v>
      </c>
      <c r="C179" t="s">
        <v>1762</v>
      </c>
      <c r="D179">
        <v>0</v>
      </c>
      <c r="E179">
        <v>0</v>
      </c>
      <c r="F179">
        <v>0</v>
      </c>
      <c r="G179">
        <v>0</v>
      </c>
      <c r="H179">
        <v>0</v>
      </c>
      <c r="I179" s="58" t="s">
        <v>827</v>
      </c>
      <c r="J179" s="59">
        <v>0</v>
      </c>
    </row>
    <row r="180" spans="1:10" x14ac:dyDescent="0.2">
      <c r="A180" t="s">
        <v>1846</v>
      </c>
      <c r="B180" t="s">
        <v>1766</v>
      </c>
      <c r="C180" t="s">
        <v>1762</v>
      </c>
      <c r="D180">
        <v>0</v>
      </c>
      <c r="E180">
        <v>0</v>
      </c>
      <c r="F180">
        <v>0</v>
      </c>
      <c r="G180">
        <v>0</v>
      </c>
      <c r="H180">
        <v>0</v>
      </c>
      <c r="I180" s="58" t="s">
        <v>1847</v>
      </c>
      <c r="J180">
        <v>-1</v>
      </c>
    </row>
    <row r="181" spans="1:10" x14ac:dyDescent="0.2">
      <c r="A181" t="s">
        <v>1832</v>
      </c>
      <c r="B181" t="s">
        <v>1764</v>
      </c>
      <c r="C181" t="s">
        <v>1762</v>
      </c>
      <c r="D181">
        <v>0</v>
      </c>
      <c r="E181">
        <v>0</v>
      </c>
      <c r="F181">
        <v>0</v>
      </c>
      <c r="G181">
        <v>0</v>
      </c>
      <c r="H181">
        <v>0</v>
      </c>
      <c r="I181" s="58" t="s">
        <v>1833</v>
      </c>
      <c r="J181">
        <v>-0.50505050505050497</v>
      </c>
    </row>
    <row r="182" spans="1:10" x14ac:dyDescent="0.2">
      <c r="A182" t="s">
        <v>711</v>
      </c>
      <c r="B182" t="s">
        <v>568</v>
      </c>
      <c r="C182" t="s">
        <v>561</v>
      </c>
      <c r="D182">
        <v>0</v>
      </c>
      <c r="E182">
        <v>0</v>
      </c>
      <c r="F182">
        <v>0</v>
      </c>
      <c r="G182">
        <v>0</v>
      </c>
      <c r="H182">
        <v>0</v>
      </c>
      <c r="I182" s="58" t="s">
        <v>712</v>
      </c>
      <c r="J182">
        <v>-1</v>
      </c>
    </row>
    <row r="183" spans="1:10" x14ac:dyDescent="0.2">
      <c r="A183" t="s">
        <v>699</v>
      </c>
      <c r="B183" t="s">
        <v>519</v>
      </c>
      <c r="C183" t="s">
        <v>561</v>
      </c>
      <c r="D183">
        <v>0</v>
      </c>
      <c r="E183">
        <v>0</v>
      </c>
      <c r="F183">
        <v>0</v>
      </c>
      <c r="G183">
        <v>0</v>
      </c>
      <c r="H183">
        <v>0</v>
      </c>
      <c r="I183" s="58" t="s">
        <v>700</v>
      </c>
      <c r="J183">
        <v>1</v>
      </c>
    </row>
    <row r="184" spans="1:10" x14ac:dyDescent="0.2">
      <c r="A184" t="s">
        <v>845</v>
      </c>
      <c r="B184" t="s">
        <v>586</v>
      </c>
      <c r="C184" t="s">
        <v>594</v>
      </c>
      <c r="D184">
        <v>0</v>
      </c>
      <c r="E184">
        <v>0</v>
      </c>
      <c r="F184">
        <v>0</v>
      </c>
      <c r="G184">
        <v>0</v>
      </c>
      <c r="H184">
        <v>0</v>
      </c>
      <c r="I184" s="58" t="s">
        <v>846</v>
      </c>
      <c r="J184">
        <v>1</v>
      </c>
    </row>
    <row r="185" spans="1:10" x14ac:dyDescent="0.2">
      <c r="A185" t="s">
        <v>884</v>
      </c>
      <c r="B185" t="s">
        <v>631</v>
      </c>
      <c r="C185" t="s">
        <v>594</v>
      </c>
      <c r="D185">
        <v>0</v>
      </c>
      <c r="E185">
        <v>0</v>
      </c>
      <c r="F185">
        <v>0</v>
      </c>
      <c r="G185">
        <v>0</v>
      </c>
      <c r="H185">
        <v>0</v>
      </c>
      <c r="I185" s="58" t="s">
        <v>886</v>
      </c>
      <c r="J185">
        <v>-1</v>
      </c>
    </row>
    <row r="186" spans="1:10" x14ac:dyDescent="0.2">
      <c r="A186" t="s">
        <v>885</v>
      </c>
      <c r="B186" t="s">
        <v>632</v>
      </c>
      <c r="C186" t="s">
        <v>594</v>
      </c>
      <c r="D186">
        <v>0</v>
      </c>
      <c r="E186">
        <v>0</v>
      </c>
      <c r="F186">
        <v>0</v>
      </c>
      <c r="G186">
        <v>0</v>
      </c>
      <c r="H186">
        <v>0</v>
      </c>
      <c r="I186" s="58" t="s">
        <v>889</v>
      </c>
      <c r="J186">
        <v>-1</v>
      </c>
    </row>
    <row r="187" spans="1:10" x14ac:dyDescent="0.2">
      <c r="A187" t="s">
        <v>888</v>
      </c>
      <c r="B187" t="s">
        <v>633</v>
      </c>
      <c r="C187" t="s">
        <v>594</v>
      </c>
      <c r="D187">
        <v>0</v>
      </c>
      <c r="E187">
        <v>0</v>
      </c>
      <c r="F187">
        <v>0</v>
      </c>
      <c r="G187">
        <v>0</v>
      </c>
      <c r="H187">
        <v>0</v>
      </c>
      <c r="I187" s="58" t="s">
        <v>894</v>
      </c>
      <c r="J187">
        <v>-1</v>
      </c>
    </row>
    <row r="188" spans="1:10" x14ac:dyDescent="0.2">
      <c r="A188" t="s">
        <v>893</v>
      </c>
      <c r="B188" t="s">
        <v>634</v>
      </c>
      <c r="C188" t="s">
        <v>594</v>
      </c>
      <c r="D188">
        <v>0</v>
      </c>
      <c r="E188">
        <v>0</v>
      </c>
      <c r="F188">
        <v>0</v>
      </c>
      <c r="G188">
        <v>0</v>
      </c>
      <c r="H188">
        <v>0</v>
      </c>
      <c r="I188" s="58" t="s">
        <v>1820</v>
      </c>
      <c r="J188" s="59">
        <v>-1</v>
      </c>
    </row>
    <row r="189" spans="1:10" x14ac:dyDescent="0.2">
      <c r="A189" t="s">
        <v>1824</v>
      </c>
      <c r="B189" t="s">
        <v>1764</v>
      </c>
      <c r="C189" t="s">
        <v>594</v>
      </c>
      <c r="D189">
        <v>0</v>
      </c>
      <c r="E189">
        <v>0</v>
      </c>
      <c r="F189">
        <v>0</v>
      </c>
      <c r="G189">
        <v>0</v>
      </c>
      <c r="H189">
        <v>0</v>
      </c>
      <c r="I189" s="58" t="s">
        <v>1825</v>
      </c>
      <c r="J189">
        <v>-1</v>
      </c>
    </row>
    <row r="190" spans="1:10" x14ac:dyDescent="0.2">
      <c r="A190" t="s">
        <v>912</v>
      </c>
      <c r="B190" t="s">
        <v>643</v>
      </c>
      <c r="C190" t="s">
        <v>605</v>
      </c>
      <c r="D190">
        <v>0</v>
      </c>
      <c r="E190">
        <v>0</v>
      </c>
      <c r="F190">
        <v>0</v>
      </c>
      <c r="G190">
        <v>0</v>
      </c>
      <c r="H190">
        <v>0</v>
      </c>
      <c r="I190" s="58" t="s">
        <v>1850</v>
      </c>
      <c r="J190" s="59">
        <v>-7.3507885123102898E-2</v>
      </c>
    </row>
    <row r="191" spans="1:10" x14ac:dyDescent="0.2">
      <c r="A191" t="s">
        <v>828</v>
      </c>
      <c r="B191" t="s">
        <v>580</v>
      </c>
      <c r="C191" t="s">
        <v>605</v>
      </c>
      <c r="D191">
        <v>0</v>
      </c>
      <c r="E191">
        <v>0</v>
      </c>
      <c r="F191">
        <v>0</v>
      </c>
      <c r="G191">
        <v>0</v>
      </c>
      <c r="H191">
        <v>0</v>
      </c>
      <c r="I191" s="58" t="s">
        <v>830</v>
      </c>
      <c r="J191" s="59">
        <v>1.23890283747283E-4</v>
      </c>
    </row>
    <row r="192" spans="1:10" x14ac:dyDescent="0.2">
      <c r="A192" t="s">
        <v>918</v>
      </c>
      <c r="B192" t="s">
        <v>584</v>
      </c>
      <c r="C192" t="s">
        <v>605</v>
      </c>
      <c r="D192">
        <v>0</v>
      </c>
      <c r="E192">
        <v>0</v>
      </c>
      <c r="F192">
        <v>0</v>
      </c>
      <c r="G192">
        <v>0</v>
      </c>
      <c r="H192">
        <v>0</v>
      </c>
      <c r="I192" s="58" t="s">
        <v>1855</v>
      </c>
      <c r="J192" s="59">
        <v>-1</v>
      </c>
    </row>
    <row r="193" spans="1:10" x14ac:dyDescent="0.2">
      <c r="A193" t="s">
        <v>847</v>
      </c>
      <c r="B193" t="s">
        <v>586</v>
      </c>
      <c r="C193" t="s">
        <v>605</v>
      </c>
      <c r="D193">
        <v>0</v>
      </c>
      <c r="E193">
        <v>0</v>
      </c>
      <c r="F193">
        <v>0</v>
      </c>
      <c r="G193">
        <v>0</v>
      </c>
      <c r="H193">
        <v>0</v>
      </c>
      <c r="I193" s="58" t="s">
        <v>1805</v>
      </c>
      <c r="J193" s="59">
        <v>1.19862198920816E-4</v>
      </c>
    </row>
    <row r="194" spans="1:10" x14ac:dyDescent="0.2">
      <c r="A194" t="s">
        <v>940</v>
      </c>
      <c r="B194" t="s">
        <v>650</v>
      </c>
      <c r="C194" t="s">
        <v>614</v>
      </c>
      <c r="D194">
        <v>0</v>
      </c>
      <c r="E194">
        <v>0</v>
      </c>
      <c r="F194">
        <v>0</v>
      </c>
      <c r="G194">
        <v>0</v>
      </c>
      <c r="H194">
        <v>0</v>
      </c>
      <c r="I194" s="58" t="s">
        <v>1870</v>
      </c>
      <c r="J194" s="59">
        <v>753.19936112520998</v>
      </c>
    </row>
    <row r="195" spans="1:10" x14ac:dyDescent="0.2">
      <c r="A195" t="s">
        <v>943</v>
      </c>
      <c r="B195" t="s">
        <v>651</v>
      </c>
      <c r="C195" t="s">
        <v>614</v>
      </c>
      <c r="D195">
        <v>0</v>
      </c>
      <c r="E195">
        <v>0</v>
      </c>
      <c r="F195">
        <v>0</v>
      </c>
      <c r="G195">
        <v>0</v>
      </c>
      <c r="H195">
        <v>0</v>
      </c>
      <c r="I195" s="58" t="s">
        <v>1873</v>
      </c>
      <c r="J195" s="59">
        <v>1</v>
      </c>
    </row>
    <row r="196" spans="1:10" x14ac:dyDescent="0.2">
      <c r="A196" t="s">
        <v>837</v>
      </c>
      <c r="B196" t="s">
        <v>580</v>
      </c>
      <c r="C196" t="s">
        <v>614</v>
      </c>
      <c r="D196">
        <v>0</v>
      </c>
      <c r="E196">
        <v>0</v>
      </c>
      <c r="F196">
        <v>0</v>
      </c>
      <c r="G196">
        <v>0</v>
      </c>
      <c r="H196">
        <v>0</v>
      </c>
      <c r="I196" s="58" t="s">
        <v>1801</v>
      </c>
      <c r="J196" s="59">
        <v>4.2050491551388296</v>
      </c>
    </row>
    <row r="197" spans="1:10" x14ac:dyDescent="0.2">
      <c r="A197" t="s">
        <v>948</v>
      </c>
      <c r="B197" t="s">
        <v>585</v>
      </c>
      <c r="C197" t="s">
        <v>614</v>
      </c>
      <c r="D197">
        <v>0</v>
      </c>
      <c r="E197">
        <v>0</v>
      </c>
      <c r="F197">
        <v>0</v>
      </c>
      <c r="G197">
        <v>0</v>
      </c>
      <c r="H197">
        <v>0</v>
      </c>
      <c r="I197" s="58" t="s">
        <v>950</v>
      </c>
      <c r="J197">
        <v>-1</v>
      </c>
    </row>
    <row r="198" spans="1:10" x14ac:dyDescent="0.2">
      <c r="A198" t="s">
        <v>850</v>
      </c>
      <c r="B198" t="s">
        <v>586</v>
      </c>
      <c r="C198" t="s">
        <v>614</v>
      </c>
      <c r="D198">
        <v>0</v>
      </c>
      <c r="E198">
        <v>0</v>
      </c>
      <c r="F198">
        <v>0</v>
      </c>
      <c r="G198">
        <v>0</v>
      </c>
      <c r="H198">
        <v>0</v>
      </c>
      <c r="I198" s="58" t="s">
        <v>1808</v>
      </c>
      <c r="J198">
        <v>4.4362233685011603</v>
      </c>
    </row>
    <row r="199" spans="1:10" x14ac:dyDescent="0.2">
      <c r="A199" t="s">
        <v>759</v>
      </c>
      <c r="B199" t="s">
        <v>564</v>
      </c>
      <c r="C199" t="s">
        <v>591</v>
      </c>
      <c r="D199">
        <v>0</v>
      </c>
      <c r="E199">
        <v>0</v>
      </c>
      <c r="F199">
        <v>0</v>
      </c>
      <c r="G199">
        <v>0</v>
      </c>
      <c r="H199">
        <v>0</v>
      </c>
      <c r="I199" s="58" t="s">
        <v>760</v>
      </c>
      <c r="J199">
        <v>-1.8</v>
      </c>
    </row>
    <row r="200" spans="1:10" x14ac:dyDescent="0.2">
      <c r="A200" t="s">
        <v>767</v>
      </c>
      <c r="B200" t="s">
        <v>623</v>
      </c>
      <c r="C200" t="s">
        <v>591</v>
      </c>
      <c r="D200">
        <v>0</v>
      </c>
      <c r="E200">
        <v>0</v>
      </c>
      <c r="F200">
        <v>0</v>
      </c>
      <c r="G200">
        <v>0</v>
      </c>
      <c r="H200">
        <v>0</v>
      </c>
      <c r="I200" s="58" t="s">
        <v>768</v>
      </c>
      <c r="J200">
        <v>16</v>
      </c>
    </row>
    <row r="201" spans="1:10" x14ac:dyDescent="0.2">
      <c r="A201" t="s">
        <v>817</v>
      </c>
      <c r="B201" t="s">
        <v>580</v>
      </c>
      <c r="C201" t="s">
        <v>591</v>
      </c>
      <c r="D201">
        <v>0</v>
      </c>
      <c r="E201">
        <v>0</v>
      </c>
      <c r="F201">
        <v>0</v>
      </c>
      <c r="G201">
        <v>0</v>
      </c>
      <c r="H201">
        <v>0</v>
      </c>
      <c r="I201" s="58" t="s">
        <v>818</v>
      </c>
      <c r="J201">
        <v>0.8</v>
      </c>
    </row>
    <row r="202" spans="1:10" x14ac:dyDescent="0.2">
      <c r="A202" t="s">
        <v>840</v>
      </c>
      <c r="B202" t="s">
        <v>568</v>
      </c>
      <c r="C202" t="s">
        <v>591</v>
      </c>
      <c r="D202">
        <v>0</v>
      </c>
      <c r="E202">
        <v>0</v>
      </c>
      <c r="F202">
        <v>0</v>
      </c>
      <c r="G202">
        <v>0</v>
      </c>
      <c r="H202">
        <v>0</v>
      </c>
      <c r="I202" s="58" t="s">
        <v>841</v>
      </c>
      <c r="J202">
        <v>9</v>
      </c>
    </row>
    <row r="203" spans="1:10" x14ac:dyDescent="0.2">
      <c r="A203" t="s">
        <v>843</v>
      </c>
      <c r="B203" t="s">
        <v>586</v>
      </c>
      <c r="C203" t="s">
        <v>591</v>
      </c>
      <c r="D203">
        <v>0</v>
      </c>
      <c r="E203">
        <v>0</v>
      </c>
      <c r="F203">
        <v>0</v>
      </c>
      <c r="G203">
        <v>0</v>
      </c>
      <c r="H203">
        <v>0</v>
      </c>
      <c r="I203" s="58" t="s">
        <v>844</v>
      </c>
      <c r="J203">
        <v>-0.8</v>
      </c>
    </row>
    <row r="204" spans="1:10" x14ac:dyDescent="0.2">
      <c r="A204" t="s">
        <v>955</v>
      </c>
      <c r="B204" t="s">
        <v>654</v>
      </c>
      <c r="C204" t="s">
        <v>619</v>
      </c>
      <c r="D204">
        <v>0</v>
      </c>
      <c r="E204">
        <v>0</v>
      </c>
      <c r="F204">
        <v>0</v>
      </c>
      <c r="G204">
        <v>0</v>
      </c>
      <c r="H204">
        <v>0</v>
      </c>
      <c r="I204" s="58" t="s">
        <v>1881</v>
      </c>
      <c r="J204">
        <v>789.314916601184</v>
      </c>
    </row>
    <row r="205" spans="1:10" x14ac:dyDescent="0.2">
      <c r="A205" t="s">
        <v>958</v>
      </c>
      <c r="B205" t="s">
        <v>655</v>
      </c>
      <c r="C205" t="s">
        <v>619</v>
      </c>
      <c r="D205">
        <v>0</v>
      </c>
      <c r="E205">
        <v>0</v>
      </c>
      <c r="F205">
        <v>0</v>
      </c>
      <c r="G205">
        <v>0</v>
      </c>
      <c r="H205">
        <v>0</v>
      </c>
      <c r="I205" s="58" t="s">
        <v>1884</v>
      </c>
      <c r="J205">
        <v>1</v>
      </c>
    </row>
    <row r="206" spans="1:10" x14ac:dyDescent="0.2">
      <c r="A206" t="s">
        <v>839</v>
      </c>
      <c r="B206" t="s">
        <v>580</v>
      </c>
      <c r="C206" t="s">
        <v>619</v>
      </c>
      <c r="D206">
        <v>0</v>
      </c>
      <c r="E206">
        <v>0</v>
      </c>
      <c r="F206">
        <v>0</v>
      </c>
      <c r="G206">
        <v>0</v>
      </c>
      <c r="H206">
        <v>0</v>
      </c>
      <c r="I206" s="58" t="s">
        <v>1803</v>
      </c>
      <c r="J206">
        <v>0.106294226666101</v>
      </c>
    </row>
    <row r="207" spans="1:10" x14ac:dyDescent="0.2">
      <c r="A207" t="s">
        <v>851</v>
      </c>
      <c r="B207" t="s">
        <v>586</v>
      </c>
      <c r="C207" t="s">
        <v>619</v>
      </c>
      <c r="D207">
        <v>0</v>
      </c>
      <c r="E207">
        <v>0</v>
      </c>
      <c r="F207">
        <v>0</v>
      </c>
      <c r="G207">
        <v>0</v>
      </c>
      <c r="H207">
        <v>0</v>
      </c>
      <c r="I207" s="58" t="s">
        <v>1809</v>
      </c>
      <c r="J207">
        <v>0.25686284864998499</v>
      </c>
    </row>
    <row r="208" spans="1:10" x14ac:dyDescent="0.2">
      <c r="A208" t="s">
        <v>961</v>
      </c>
      <c r="B208" t="s">
        <v>587</v>
      </c>
      <c r="C208" t="s">
        <v>619</v>
      </c>
      <c r="D208">
        <v>0</v>
      </c>
      <c r="E208">
        <v>0</v>
      </c>
      <c r="F208">
        <v>0</v>
      </c>
      <c r="G208">
        <v>0</v>
      </c>
      <c r="H208">
        <v>0</v>
      </c>
      <c r="I208" s="58" t="s">
        <v>1887</v>
      </c>
      <c r="J208">
        <v>-1</v>
      </c>
    </row>
    <row r="209" spans="1:10" x14ac:dyDescent="0.2">
      <c r="A209" t="s">
        <v>924</v>
      </c>
      <c r="B209" t="s">
        <v>645</v>
      </c>
      <c r="C209" t="s">
        <v>611</v>
      </c>
      <c r="D209">
        <v>0</v>
      </c>
      <c r="E209">
        <v>0</v>
      </c>
      <c r="F209">
        <v>0</v>
      </c>
      <c r="G209">
        <v>0</v>
      </c>
      <c r="H209">
        <v>0</v>
      </c>
      <c r="I209" s="58" t="s">
        <v>1860</v>
      </c>
      <c r="J209">
        <v>736.93879519895404</v>
      </c>
    </row>
    <row r="210" spans="1:10" x14ac:dyDescent="0.2">
      <c r="A210" t="s">
        <v>927</v>
      </c>
      <c r="B210" t="s">
        <v>646</v>
      </c>
      <c r="C210" t="s">
        <v>611</v>
      </c>
      <c r="D210">
        <v>0</v>
      </c>
      <c r="E210">
        <v>0</v>
      </c>
      <c r="F210">
        <v>0</v>
      </c>
      <c r="G210">
        <v>0</v>
      </c>
      <c r="H210">
        <v>0</v>
      </c>
      <c r="I210" s="58" t="s">
        <v>939</v>
      </c>
      <c r="J210">
        <v>1.02408203834635</v>
      </c>
    </row>
    <row r="211" spans="1:10" x14ac:dyDescent="0.2">
      <c r="A211" t="s">
        <v>834</v>
      </c>
      <c r="B211" t="s">
        <v>580</v>
      </c>
      <c r="C211" t="s">
        <v>611</v>
      </c>
      <c r="D211">
        <v>0</v>
      </c>
      <c r="E211">
        <v>0</v>
      </c>
      <c r="F211">
        <v>0</v>
      </c>
      <c r="G211">
        <v>0</v>
      </c>
      <c r="H211">
        <v>0</v>
      </c>
      <c r="I211" s="58" t="s">
        <v>836</v>
      </c>
      <c r="J211">
        <v>0.39770731467015402</v>
      </c>
    </row>
    <row r="212" spans="1:10" x14ac:dyDescent="0.2">
      <c r="A212" t="s">
        <v>849</v>
      </c>
      <c r="B212" t="s">
        <v>586</v>
      </c>
      <c r="C212" t="s">
        <v>611</v>
      </c>
      <c r="D212">
        <v>0</v>
      </c>
      <c r="E212">
        <v>0</v>
      </c>
      <c r="F212">
        <v>0</v>
      </c>
      <c r="G212">
        <v>0</v>
      </c>
      <c r="H212">
        <v>0</v>
      </c>
      <c r="I212" s="58" t="s">
        <v>1807</v>
      </c>
      <c r="J212">
        <v>0.18720006165817701</v>
      </c>
    </row>
    <row r="213" spans="1:10" x14ac:dyDescent="0.2">
      <c r="A213" t="s">
        <v>933</v>
      </c>
      <c r="B213" t="s">
        <v>588</v>
      </c>
      <c r="C213" t="s">
        <v>611</v>
      </c>
      <c r="D213">
        <v>0</v>
      </c>
      <c r="E213">
        <v>0</v>
      </c>
      <c r="F213">
        <v>0</v>
      </c>
      <c r="G213">
        <v>0</v>
      </c>
      <c r="H213">
        <v>0</v>
      </c>
      <c r="I213" s="58" t="s">
        <v>1866</v>
      </c>
      <c r="J213">
        <v>-1</v>
      </c>
    </row>
    <row r="214" spans="1:10" x14ac:dyDescent="0.2">
      <c r="A214" t="s">
        <v>934</v>
      </c>
      <c r="B214" t="s">
        <v>649</v>
      </c>
      <c r="C214" t="s">
        <v>611</v>
      </c>
      <c r="D214">
        <v>0</v>
      </c>
      <c r="E214">
        <v>0</v>
      </c>
      <c r="F214">
        <v>0</v>
      </c>
      <c r="G214">
        <v>0</v>
      </c>
      <c r="H214">
        <v>0</v>
      </c>
      <c r="I214" s="58" t="s">
        <v>1867</v>
      </c>
      <c r="J214">
        <v>1</v>
      </c>
    </row>
    <row r="215" spans="1:10" x14ac:dyDescent="0.2">
      <c r="A215" t="s">
        <v>907</v>
      </c>
      <c r="B215" t="s">
        <v>640</v>
      </c>
      <c r="C215" t="s">
        <v>616</v>
      </c>
      <c r="D215">
        <v>0</v>
      </c>
      <c r="E215">
        <v>0</v>
      </c>
      <c r="F215">
        <v>0</v>
      </c>
      <c r="G215">
        <v>0</v>
      </c>
      <c r="H215">
        <v>0</v>
      </c>
      <c r="I215" s="58" t="s">
        <v>1843</v>
      </c>
      <c r="J215">
        <v>-55.546341589663399</v>
      </c>
    </row>
    <row r="216" spans="1:10" x14ac:dyDescent="0.2">
      <c r="A216" t="s">
        <v>949</v>
      </c>
      <c r="B216" t="s">
        <v>585</v>
      </c>
      <c r="C216" t="s">
        <v>616</v>
      </c>
      <c r="D216">
        <v>0</v>
      </c>
      <c r="E216">
        <v>0</v>
      </c>
      <c r="F216">
        <v>0</v>
      </c>
      <c r="G216">
        <v>0</v>
      </c>
      <c r="H216">
        <v>0</v>
      </c>
      <c r="I216" s="58" t="s">
        <v>1876</v>
      </c>
      <c r="J216">
        <v>1</v>
      </c>
    </row>
    <row r="217" spans="1:10" x14ac:dyDescent="0.2">
      <c r="A217" t="s">
        <v>952</v>
      </c>
      <c r="B217" t="s">
        <v>653</v>
      </c>
      <c r="C217" t="s">
        <v>616</v>
      </c>
      <c r="D217">
        <v>0</v>
      </c>
      <c r="E217">
        <v>0</v>
      </c>
      <c r="F217">
        <v>0</v>
      </c>
      <c r="G217">
        <v>0</v>
      </c>
      <c r="H217">
        <v>0</v>
      </c>
      <c r="I217" s="58" t="s">
        <v>1878</v>
      </c>
      <c r="J217">
        <v>-1</v>
      </c>
    </row>
    <row r="218" spans="1:10" x14ac:dyDescent="0.2">
      <c r="A218" t="s">
        <v>968</v>
      </c>
      <c r="B218" t="s">
        <v>516</v>
      </c>
      <c r="C218" t="s">
        <v>556</v>
      </c>
      <c r="D218">
        <v>0</v>
      </c>
      <c r="E218">
        <v>0</v>
      </c>
      <c r="F218">
        <v>0</v>
      </c>
      <c r="G218">
        <v>0</v>
      </c>
      <c r="H218">
        <v>0</v>
      </c>
      <c r="I218" s="58" t="s">
        <v>1894</v>
      </c>
      <c r="J218" s="59">
        <v>1</v>
      </c>
    </row>
    <row r="219" spans="1:10" x14ac:dyDescent="0.2">
      <c r="A219" t="s">
        <v>969</v>
      </c>
      <c r="B219" t="s">
        <v>554</v>
      </c>
      <c r="C219" t="s">
        <v>556</v>
      </c>
      <c r="D219">
        <v>0</v>
      </c>
      <c r="E219">
        <v>0</v>
      </c>
      <c r="F219">
        <v>0</v>
      </c>
      <c r="G219">
        <v>0</v>
      </c>
      <c r="H219">
        <v>0</v>
      </c>
      <c r="I219" s="58" t="s">
        <v>1895</v>
      </c>
      <c r="J219">
        <v>-1</v>
      </c>
    </row>
    <row r="220" spans="1:10" x14ac:dyDescent="0.2">
      <c r="A220" t="s">
        <v>970</v>
      </c>
      <c r="B220" t="s">
        <v>555</v>
      </c>
      <c r="C220" t="s">
        <v>556</v>
      </c>
      <c r="D220">
        <v>0</v>
      </c>
      <c r="E220">
        <v>0</v>
      </c>
      <c r="F220">
        <v>0</v>
      </c>
      <c r="G220">
        <v>0</v>
      </c>
      <c r="H220">
        <v>0</v>
      </c>
      <c r="I220" s="58" t="s">
        <v>1896</v>
      </c>
      <c r="J220">
        <v>-1</v>
      </c>
    </row>
    <row r="221" spans="1:10" x14ac:dyDescent="0.2">
      <c r="A221" t="s">
        <v>1635</v>
      </c>
      <c r="B221" t="s">
        <v>547</v>
      </c>
      <c r="C221" t="s">
        <v>1532</v>
      </c>
      <c r="D221">
        <v>0</v>
      </c>
      <c r="E221">
        <v>0</v>
      </c>
      <c r="F221">
        <v>0</v>
      </c>
      <c r="G221">
        <v>0</v>
      </c>
      <c r="H221">
        <v>0</v>
      </c>
      <c r="I221" s="58" t="s">
        <v>2112</v>
      </c>
      <c r="J221">
        <v>-1</v>
      </c>
    </row>
    <row r="222" spans="1:10" x14ac:dyDescent="0.2">
      <c r="A222" t="s">
        <v>1629</v>
      </c>
      <c r="B222" t="s">
        <v>1533</v>
      </c>
      <c r="C222" t="s">
        <v>1532</v>
      </c>
      <c r="D222">
        <v>0</v>
      </c>
      <c r="E222">
        <v>0</v>
      </c>
      <c r="F222">
        <v>0</v>
      </c>
      <c r="G222">
        <v>0</v>
      </c>
      <c r="H222">
        <v>0</v>
      </c>
      <c r="I222" s="58" t="s">
        <v>2108</v>
      </c>
      <c r="J222">
        <v>1</v>
      </c>
    </row>
    <row r="223" spans="1:10" x14ac:dyDescent="0.2">
      <c r="A223" t="s">
        <v>1631</v>
      </c>
      <c r="B223" t="s">
        <v>1506</v>
      </c>
      <c r="C223" t="s">
        <v>1528</v>
      </c>
      <c r="D223">
        <v>0</v>
      </c>
      <c r="E223">
        <v>0</v>
      </c>
      <c r="F223">
        <v>0</v>
      </c>
      <c r="G223">
        <v>0</v>
      </c>
      <c r="H223">
        <v>0</v>
      </c>
      <c r="I223" s="58" t="s">
        <v>2110</v>
      </c>
      <c r="J223">
        <v>1</v>
      </c>
    </row>
    <row r="224" spans="1:10" x14ac:dyDescent="0.2">
      <c r="A224" t="s">
        <v>1637</v>
      </c>
      <c r="B224" t="s">
        <v>1284</v>
      </c>
      <c r="C224" t="s">
        <v>1528</v>
      </c>
      <c r="D224">
        <v>0</v>
      </c>
      <c r="E224">
        <v>0</v>
      </c>
      <c r="F224">
        <v>0</v>
      </c>
      <c r="G224">
        <v>0</v>
      </c>
      <c r="H224">
        <v>0</v>
      </c>
      <c r="I224" s="58" t="s">
        <v>2114</v>
      </c>
      <c r="J224">
        <v>-1</v>
      </c>
    </row>
    <row r="225" spans="1:10" x14ac:dyDescent="0.2">
      <c r="A225" t="s">
        <v>1639</v>
      </c>
      <c r="B225" t="s">
        <v>1286</v>
      </c>
      <c r="C225" t="s">
        <v>1531</v>
      </c>
      <c r="D225">
        <v>0</v>
      </c>
      <c r="E225">
        <v>0</v>
      </c>
      <c r="F225">
        <v>0</v>
      </c>
      <c r="G225">
        <v>0</v>
      </c>
      <c r="H225">
        <v>0</v>
      </c>
      <c r="I225" s="58" t="s">
        <v>2116</v>
      </c>
      <c r="J225">
        <v>-1</v>
      </c>
    </row>
    <row r="226" spans="1:10" x14ac:dyDescent="0.2">
      <c r="A226" t="s">
        <v>1634</v>
      </c>
      <c r="B226" t="s">
        <v>1536</v>
      </c>
      <c r="C226" t="s">
        <v>1531</v>
      </c>
      <c r="D226">
        <v>0</v>
      </c>
      <c r="E226">
        <v>0</v>
      </c>
      <c r="F226">
        <v>0</v>
      </c>
      <c r="G226">
        <v>0</v>
      </c>
      <c r="H226">
        <v>0</v>
      </c>
      <c r="I226" s="58" t="s">
        <v>1675</v>
      </c>
      <c r="J226" s="59">
        <v>1</v>
      </c>
    </row>
    <row r="227" spans="1:10" x14ac:dyDescent="0.2">
      <c r="A227" t="s">
        <v>1685</v>
      </c>
      <c r="B227" t="s">
        <v>1552</v>
      </c>
      <c r="C227" t="s">
        <v>1540</v>
      </c>
      <c r="D227">
        <v>0</v>
      </c>
      <c r="E227">
        <v>0</v>
      </c>
      <c r="F227">
        <v>0</v>
      </c>
      <c r="G227">
        <v>0</v>
      </c>
      <c r="H227">
        <v>0</v>
      </c>
      <c r="I227" s="58" t="s">
        <v>2169</v>
      </c>
      <c r="J227" s="59">
        <v>58</v>
      </c>
    </row>
    <row r="228" spans="1:10" x14ac:dyDescent="0.2">
      <c r="A228" t="s">
        <v>1643</v>
      </c>
      <c r="B228" t="s">
        <v>1533</v>
      </c>
      <c r="C228" t="s">
        <v>1540</v>
      </c>
      <c r="D228">
        <v>0</v>
      </c>
      <c r="E228">
        <v>0</v>
      </c>
      <c r="F228">
        <v>0</v>
      </c>
      <c r="G228">
        <v>0</v>
      </c>
      <c r="H228">
        <v>0</v>
      </c>
      <c r="I228" s="58" t="s">
        <v>2124</v>
      </c>
      <c r="J228">
        <v>-48.200418751560399</v>
      </c>
    </row>
    <row r="229" spans="1:10" x14ac:dyDescent="0.2">
      <c r="A229" t="s">
        <v>1672</v>
      </c>
      <c r="B229" t="s">
        <v>1547</v>
      </c>
      <c r="C229" t="s">
        <v>1540</v>
      </c>
      <c r="D229">
        <v>0</v>
      </c>
      <c r="E229">
        <v>0</v>
      </c>
      <c r="F229">
        <v>0</v>
      </c>
      <c r="G229">
        <v>0</v>
      </c>
      <c r="H229">
        <v>0</v>
      </c>
      <c r="I229" s="58" t="s">
        <v>2156</v>
      </c>
      <c r="J229" s="59">
        <v>-48.200418751560399</v>
      </c>
    </row>
    <row r="230" spans="1:10" x14ac:dyDescent="0.2">
      <c r="A230" t="s">
        <v>1684</v>
      </c>
      <c r="B230" t="s">
        <v>1551</v>
      </c>
      <c r="C230" t="s">
        <v>1540</v>
      </c>
      <c r="D230">
        <v>0</v>
      </c>
      <c r="E230">
        <v>0</v>
      </c>
      <c r="F230">
        <v>0</v>
      </c>
      <c r="G230">
        <v>0</v>
      </c>
      <c r="H230">
        <v>0</v>
      </c>
      <c r="I230" s="58" t="s">
        <v>2168</v>
      </c>
      <c r="J230">
        <v>10</v>
      </c>
    </row>
    <row r="231" spans="1:10" x14ac:dyDescent="0.2">
      <c r="A231" t="s">
        <v>1665</v>
      </c>
      <c r="B231" t="s">
        <v>1536</v>
      </c>
      <c r="C231" t="s">
        <v>1540</v>
      </c>
      <c r="D231">
        <v>0</v>
      </c>
      <c r="E231">
        <v>0</v>
      </c>
      <c r="F231">
        <v>0</v>
      </c>
      <c r="G231">
        <v>0</v>
      </c>
      <c r="H231">
        <v>0</v>
      </c>
      <c r="I231" s="58" t="s">
        <v>2147</v>
      </c>
      <c r="J231">
        <v>40</v>
      </c>
    </row>
    <row r="232" spans="1:10" x14ac:dyDescent="0.2">
      <c r="A232" t="s">
        <v>1683</v>
      </c>
      <c r="B232" t="s">
        <v>1550</v>
      </c>
      <c r="C232" t="s">
        <v>1540</v>
      </c>
      <c r="D232">
        <v>0</v>
      </c>
      <c r="E232">
        <v>0</v>
      </c>
      <c r="F232">
        <v>0</v>
      </c>
      <c r="G232">
        <v>0</v>
      </c>
      <c r="H232">
        <v>0</v>
      </c>
      <c r="I232" s="58" t="s">
        <v>2167</v>
      </c>
      <c r="J232">
        <v>48</v>
      </c>
    </row>
    <row r="233" spans="1:10" x14ac:dyDescent="0.2">
      <c r="A233" t="s">
        <v>1656</v>
      </c>
      <c r="B233" t="s">
        <v>1535</v>
      </c>
      <c r="C233" t="s">
        <v>1540</v>
      </c>
      <c r="D233">
        <v>0</v>
      </c>
      <c r="E233">
        <v>0</v>
      </c>
      <c r="F233">
        <v>0</v>
      </c>
      <c r="G233">
        <v>0</v>
      </c>
      <c r="H233">
        <v>0</v>
      </c>
      <c r="I233" s="58" t="s">
        <v>2137</v>
      </c>
      <c r="J233">
        <v>49.908864919867597</v>
      </c>
    </row>
    <row r="234" spans="1:10" x14ac:dyDescent="0.2">
      <c r="A234" t="s">
        <v>1682</v>
      </c>
      <c r="B234" t="s">
        <v>666</v>
      </c>
      <c r="C234" t="s">
        <v>1540</v>
      </c>
      <c r="D234">
        <v>0</v>
      </c>
      <c r="E234">
        <v>0</v>
      </c>
      <c r="F234">
        <v>0</v>
      </c>
      <c r="G234">
        <v>0</v>
      </c>
      <c r="H234">
        <v>0</v>
      </c>
      <c r="I234" s="58" t="s">
        <v>1749</v>
      </c>
      <c r="J234">
        <v>-58</v>
      </c>
    </row>
    <row r="235" spans="1:10" x14ac:dyDescent="0.2">
      <c r="A235" t="s">
        <v>1689</v>
      </c>
      <c r="B235" t="s">
        <v>1555</v>
      </c>
      <c r="C235" t="s">
        <v>1541</v>
      </c>
      <c r="D235">
        <v>0</v>
      </c>
      <c r="E235">
        <v>0</v>
      </c>
      <c r="F235">
        <v>0</v>
      </c>
      <c r="G235">
        <v>0</v>
      </c>
      <c r="H235">
        <v>0</v>
      </c>
      <c r="I235" s="58" t="s">
        <v>2173</v>
      </c>
      <c r="J235">
        <v>58</v>
      </c>
    </row>
    <row r="236" spans="1:10" x14ac:dyDescent="0.2">
      <c r="A236" t="s">
        <v>1644</v>
      </c>
      <c r="B236" t="s">
        <v>1533</v>
      </c>
      <c r="C236" t="s">
        <v>1541</v>
      </c>
      <c r="D236">
        <v>0</v>
      </c>
      <c r="E236">
        <v>0</v>
      </c>
      <c r="F236">
        <v>0</v>
      </c>
      <c r="G236">
        <v>0</v>
      </c>
      <c r="H236">
        <v>0</v>
      </c>
      <c r="I236" s="58" t="s">
        <v>2125</v>
      </c>
      <c r="J236">
        <v>-28.071411660502999</v>
      </c>
    </row>
    <row r="237" spans="1:10" x14ac:dyDescent="0.2">
      <c r="A237" t="s">
        <v>1673</v>
      </c>
      <c r="B237" t="s">
        <v>1547</v>
      </c>
      <c r="C237" t="s">
        <v>1541</v>
      </c>
      <c r="D237">
        <v>0</v>
      </c>
      <c r="E237">
        <v>0</v>
      </c>
      <c r="F237">
        <v>0</v>
      </c>
      <c r="G237">
        <v>0</v>
      </c>
      <c r="H237">
        <v>0</v>
      </c>
      <c r="I237" s="58" t="s">
        <v>2157</v>
      </c>
      <c r="J237">
        <v>-28.071411660502999</v>
      </c>
    </row>
    <row r="238" spans="1:10" x14ac:dyDescent="0.2">
      <c r="A238" t="s">
        <v>1688</v>
      </c>
      <c r="B238" t="s">
        <v>1554</v>
      </c>
      <c r="C238" t="s">
        <v>1541</v>
      </c>
      <c r="D238">
        <v>0</v>
      </c>
      <c r="E238">
        <v>0</v>
      </c>
      <c r="F238">
        <v>0</v>
      </c>
      <c r="G238">
        <v>0</v>
      </c>
      <c r="H238">
        <v>0</v>
      </c>
      <c r="I238" s="58" t="s">
        <v>2172</v>
      </c>
      <c r="J238">
        <v>10</v>
      </c>
    </row>
    <row r="239" spans="1:10" x14ac:dyDescent="0.2">
      <c r="A239" t="s">
        <v>1666</v>
      </c>
      <c r="B239" t="s">
        <v>1536</v>
      </c>
      <c r="C239" t="s">
        <v>1541</v>
      </c>
      <c r="D239">
        <v>0</v>
      </c>
      <c r="E239">
        <v>0</v>
      </c>
      <c r="F239">
        <v>0</v>
      </c>
      <c r="G239">
        <v>0</v>
      </c>
      <c r="H239">
        <v>0</v>
      </c>
      <c r="I239" s="58" t="s">
        <v>2148</v>
      </c>
      <c r="J239">
        <v>100</v>
      </c>
    </row>
    <row r="240" spans="1:10" x14ac:dyDescent="0.2">
      <c r="A240" t="s">
        <v>1687</v>
      </c>
      <c r="B240" t="s">
        <v>1553</v>
      </c>
      <c r="C240" t="s">
        <v>1541</v>
      </c>
      <c r="D240">
        <v>0</v>
      </c>
      <c r="E240">
        <v>0</v>
      </c>
      <c r="F240">
        <v>0</v>
      </c>
      <c r="G240">
        <v>0</v>
      </c>
      <c r="H240">
        <v>0</v>
      </c>
      <c r="I240" s="58" t="s">
        <v>2171</v>
      </c>
      <c r="J240">
        <v>48</v>
      </c>
    </row>
    <row r="241" spans="1:10" x14ac:dyDescent="0.2">
      <c r="A241" t="s">
        <v>1657</v>
      </c>
      <c r="B241" t="s">
        <v>1535</v>
      </c>
      <c r="C241" t="s">
        <v>1541</v>
      </c>
      <c r="D241">
        <v>0</v>
      </c>
      <c r="E241">
        <v>0</v>
      </c>
      <c r="F241">
        <v>0</v>
      </c>
      <c r="G241">
        <v>0</v>
      </c>
      <c r="H241">
        <v>0</v>
      </c>
      <c r="I241" s="58" t="s">
        <v>2138</v>
      </c>
      <c r="J241" s="59">
        <v>13.0862987737683</v>
      </c>
    </row>
    <row r="242" spans="1:10" x14ac:dyDescent="0.2">
      <c r="A242" t="s">
        <v>1686</v>
      </c>
      <c r="B242" t="s">
        <v>684</v>
      </c>
      <c r="C242" t="s">
        <v>1541</v>
      </c>
      <c r="D242">
        <v>0</v>
      </c>
      <c r="E242">
        <v>0</v>
      </c>
      <c r="F242">
        <v>0</v>
      </c>
      <c r="G242">
        <v>0</v>
      </c>
      <c r="H242">
        <v>0</v>
      </c>
      <c r="I242" s="58" t="s">
        <v>2170</v>
      </c>
      <c r="J242">
        <v>-58</v>
      </c>
    </row>
    <row r="243" spans="1:10" x14ac:dyDescent="0.2">
      <c r="A243" t="s">
        <v>1693</v>
      </c>
      <c r="B243" t="s">
        <v>1558</v>
      </c>
      <c r="C243" t="s">
        <v>1542</v>
      </c>
      <c r="D243">
        <v>0</v>
      </c>
      <c r="E243">
        <v>0</v>
      </c>
      <c r="F243">
        <v>0</v>
      </c>
      <c r="G243">
        <v>0</v>
      </c>
      <c r="H243">
        <v>0</v>
      </c>
      <c r="I243" s="58" t="s">
        <v>2177</v>
      </c>
      <c r="J243">
        <v>58</v>
      </c>
    </row>
    <row r="244" spans="1:10" x14ac:dyDescent="0.2">
      <c r="A244" t="s">
        <v>1645</v>
      </c>
      <c r="B244" t="s">
        <v>1533</v>
      </c>
      <c r="C244" t="s">
        <v>1542</v>
      </c>
      <c r="D244">
        <v>0</v>
      </c>
      <c r="E244">
        <v>0</v>
      </c>
      <c r="F244">
        <v>0</v>
      </c>
      <c r="G244">
        <v>0</v>
      </c>
      <c r="H244">
        <v>0</v>
      </c>
      <c r="I244" s="58" t="s">
        <v>2126</v>
      </c>
      <c r="J244">
        <v>-58.547566819085702</v>
      </c>
    </row>
    <row r="245" spans="1:10" x14ac:dyDescent="0.2">
      <c r="A245" t="s">
        <v>1674</v>
      </c>
      <c r="B245" t="s">
        <v>1547</v>
      </c>
      <c r="C245" t="s">
        <v>1542</v>
      </c>
      <c r="D245">
        <v>0</v>
      </c>
      <c r="E245">
        <v>0</v>
      </c>
      <c r="F245">
        <v>0</v>
      </c>
      <c r="G245">
        <v>0</v>
      </c>
      <c r="H245">
        <v>0</v>
      </c>
      <c r="I245" s="58" t="s">
        <v>2158</v>
      </c>
      <c r="J245">
        <v>-58.547566819085702</v>
      </c>
    </row>
    <row r="246" spans="1:10" x14ac:dyDescent="0.2">
      <c r="A246" t="s">
        <v>1692</v>
      </c>
      <c r="B246" t="s">
        <v>1557</v>
      </c>
      <c r="C246" t="s">
        <v>1542</v>
      </c>
      <c r="D246">
        <v>0</v>
      </c>
      <c r="E246">
        <v>0</v>
      </c>
      <c r="F246">
        <v>0</v>
      </c>
      <c r="G246">
        <v>0</v>
      </c>
      <c r="H246">
        <v>0</v>
      </c>
      <c r="I246" s="58" t="s">
        <v>2176</v>
      </c>
      <c r="J246" s="59">
        <v>10</v>
      </c>
    </row>
    <row r="247" spans="1:10" x14ac:dyDescent="0.2">
      <c r="A247" t="s">
        <v>1667</v>
      </c>
      <c r="B247" t="s">
        <v>1536</v>
      </c>
      <c r="C247" t="s">
        <v>1542</v>
      </c>
      <c r="D247">
        <v>0</v>
      </c>
      <c r="E247">
        <v>0</v>
      </c>
      <c r="F247">
        <v>0</v>
      </c>
      <c r="G247">
        <v>0</v>
      </c>
      <c r="H247">
        <v>0</v>
      </c>
      <c r="I247" s="58" t="s">
        <v>2149</v>
      </c>
      <c r="J247" s="59">
        <v>100</v>
      </c>
    </row>
    <row r="248" spans="1:10" x14ac:dyDescent="0.2">
      <c r="A248" t="s">
        <v>1691</v>
      </c>
      <c r="B248" t="s">
        <v>1556</v>
      </c>
      <c r="C248" t="s">
        <v>1542</v>
      </c>
      <c r="D248">
        <v>0</v>
      </c>
      <c r="E248">
        <v>0</v>
      </c>
      <c r="F248">
        <v>0</v>
      </c>
      <c r="G248">
        <v>0</v>
      </c>
      <c r="H248">
        <v>0</v>
      </c>
      <c r="I248" s="58" t="s">
        <v>2175</v>
      </c>
      <c r="J248" s="59">
        <v>48</v>
      </c>
    </row>
    <row r="249" spans="1:10" x14ac:dyDescent="0.2">
      <c r="A249" t="s">
        <v>1658</v>
      </c>
      <c r="B249" t="s">
        <v>1535</v>
      </c>
      <c r="C249" t="s">
        <v>1542</v>
      </c>
      <c r="D249">
        <v>0</v>
      </c>
      <c r="E249">
        <v>0</v>
      </c>
      <c r="F249">
        <v>0</v>
      </c>
      <c r="G249">
        <v>0</v>
      </c>
      <c r="H249">
        <v>0</v>
      </c>
      <c r="I249" s="58" t="s">
        <v>2139</v>
      </c>
      <c r="J249" s="59">
        <v>49.911631121592002</v>
      </c>
    </row>
    <row r="250" spans="1:10" x14ac:dyDescent="0.2">
      <c r="A250" t="s">
        <v>1690</v>
      </c>
      <c r="B250" t="s">
        <v>685</v>
      </c>
      <c r="C250" t="s">
        <v>1542</v>
      </c>
      <c r="D250">
        <v>0</v>
      </c>
      <c r="E250">
        <v>0</v>
      </c>
      <c r="F250">
        <v>0</v>
      </c>
      <c r="G250">
        <v>0</v>
      </c>
      <c r="H250">
        <v>0</v>
      </c>
      <c r="I250" s="58" t="s">
        <v>2174</v>
      </c>
      <c r="J250" s="59">
        <v>-58</v>
      </c>
    </row>
    <row r="251" spans="1:10" x14ac:dyDescent="0.2">
      <c r="A251" t="s">
        <v>1697</v>
      </c>
      <c r="B251" t="s">
        <v>1561</v>
      </c>
      <c r="C251" t="s">
        <v>1543</v>
      </c>
      <c r="D251">
        <v>0</v>
      </c>
      <c r="E251">
        <v>0</v>
      </c>
      <c r="F251">
        <v>0</v>
      </c>
      <c r="G251">
        <v>0</v>
      </c>
      <c r="H251">
        <v>0</v>
      </c>
      <c r="I251" s="58" t="s">
        <v>2181</v>
      </c>
      <c r="J251" s="59">
        <v>58</v>
      </c>
    </row>
    <row r="252" spans="1:10" x14ac:dyDescent="0.2">
      <c r="A252" t="s">
        <v>1646</v>
      </c>
      <c r="B252" t="s">
        <v>1533</v>
      </c>
      <c r="C252" t="s">
        <v>1543</v>
      </c>
      <c r="D252">
        <v>0</v>
      </c>
      <c r="E252">
        <v>0</v>
      </c>
      <c r="F252">
        <v>0</v>
      </c>
      <c r="G252">
        <v>0</v>
      </c>
      <c r="H252">
        <v>0</v>
      </c>
      <c r="I252" s="58" t="s">
        <v>2127</v>
      </c>
      <c r="J252">
        <v>-92.833277401449394</v>
      </c>
    </row>
    <row r="253" spans="1:10" x14ac:dyDescent="0.2">
      <c r="A253" t="s">
        <v>1676</v>
      </c>
      <c r="B253" t="s">
        <v>1547</v>
      </c>
      <c r="C253" t="s">
        <v>1543</v>
      </c>
      <c r="D253">
        <v>0</v>
      </c>
      <c r="E253">
        <v>0</v>
      </c>
      <c r="F253">
        <v>0</v>
      </c>
      <c r="G253">
        <v>0</v>
      </c>
      <c r="H253">
        <v>0</v>
      </c>
      <c r="I253" s="58" t="s">
        <v>2159</v>
      </c>
      <c r="J253" s="59">
        <v>-92.833277401449394</v>
      </c>
    </row>
    <row r="254" spans="1:10" x14ac:dyDescent="0.2">
      <c r="A254" t="s">
        <v>1696</v>
      </c>
      <c r="B254" t="s">
        <v>1560</v>
      </c>
      <c r="C254" t="s">
        <v>1543</v>
      </c>
      <c r="D254">
        <v>0</v>
      </c>
      <c r="E254">
        <v>0</v>
      </c>
      <c r="F254">
        <v>0</v>
      </c>
      <c r="G254">
        <v>0</v>
      </c>
      <c r="H254">
        <v>0</v>
      </c>
      <c r="I254" s="58" t="s">
        <v>2180</v>
      </c>
      <c r="J254" s="59">
        <v>10</v>
      </c>
    </row>
    <row r="255" spans="1:10" x14ac:dyDescent="0.2">
      <c r="A255" t="s">
        <v>1668</v>
      </c>
      <c r="B255" t="s">
        <v>1536</v>
      </c>
      <c r="C255" t="s">
        <v>1543</v>
      </c>
      <c r="D255">
        <v>0</v>
      </c>
      <c r="E255">
        <v>0</v>
      </c>
      <c r="F255">
        <v>0</v>
      </c>
      <c r="G255">
        <v>0</v>
      </c>
      <c r="H255">
        <v>0</v>
      </c>
      <c r="I255" s="58" t="s">
        <v>2150</v>
      </c>
      <c r="J255" s="59">
        <v>100</v>
      </c>
    </row>
    <row r="256" spans="1:10" x14ac:dyDescent="0.2">
      <c r="A256" t="s">
        <v>1695</v>
      </c>
      <c r="B256" t="s">
        <v>1559</v>
      </c>
      <c r="C256" t="s">
        <v>1543</v>
      </c>
      <c r="D256">
        <v>0</v>
      </c>
      <c r="E256">
        <v>0</v>
      </c>
      <c r="F256">
        <v>0</v>
      </c>
      <c r="G256">
        <v>0</v>
      </c>
      <c r="H256">
        <v>0</v>
      </c>
      <c r="I256" s="58" t="s">
        <v>2179</v>
      </c>
      <c r="J256" s="59">
        <v>48</v>
      </c>
    </row>
    <row r="257" spans="1:10" x14ac:dyDescent="0.2">
      <c r="A257" t="s">
        <v>1659</v>
      </c>
      <c r="B257" t="s">
        <v>1535</v>
      </c>
      <c r="C257" t="s">
        <v>1543</v>
      </c>
      <c r="D257">
        <v>0</v>
      </c>
      <c r="E257">
        <v>0</v>
      </c>
      <c r="F257">
        <v>0</v>
      </c>
      <c r="G257">
        <v>0</v>
      </c>
      <c r="H257">
        <v>0</v>
      </c>
      <c r="I257" s="58" t="s">
        <v>2140</v>
      </c>
      <c r="J257" s="59">
        <v>91.340187183525799</v>
      </c>
    </row>
    <row r="258" spans="1:10" x14ac:dyDescent="0.2">
      <c r="A258" t="s">
        <v>1694</v>
      </c>
      <c r="B258" t="s">
        <v>686</v>
      </c>
      <c r="C258" t="s">
        <v>1543</v>
      </c>
      <c r="D258">
        <v>0</v>
      </c>
      <c r="E258">
        <v>0</v>
      </c>
      <c r="F258">
        <v>0</v>
      </c>
      <c r="G258">
        <v>0</v>
      </c>
      <c r="H258">
        <v>0</v>
      </c>
      <c r="I258" s="58" t="s">
        <v>2178</v>
      </c>
      <c r="J258" s="59">
        <v>-58</v>
      </c>
    </row>
    <row r="259" spans="1:10" x14ac:dyDescent="0.2">
      <c r="A259" t="s">
        <v>2188</v>
      </c>
      <c r="B259" t="s">
        <v>1774</v>
      </c>
      <c r="C259" t="s">
        <v>1771</v>
      </c>
      <c r="D259">
        <v>0</v>
      </c>
      <c r="E259">
        <v>0</v>
      </c>
      <c r="F259">
        <v>0</v>
      </c>
      <c r="G259">
        <v>0</v>
      </c>
      <c r="H259">
        <v>0</v>
      </c>
      <c r="I259" s="58" t="s">
        <v>2189</v>
      </c>
      <c r="J259" s="59">
        <v>58</v>
      </c>
    </row>
    <row r="260" spans="1:10" x14ac:dyDescent="0.2">
      <c r="A260" t="s">
        <v>2128</v>
      </c>
      <c r="B260" t="s">
        <v>1533</v>
      </c>
      <c r="C260" t="s">
        <v>1771</v>
      </c>
      <c r="D260">
        <v>0</v>
      </c>
      <c r="E260">
        <v>0</v>
      </c>
      <c r="F260">
        <v>0</v>
      </c>
      <c r="G260">
        <v>0</v>
      </c>
      <c r="H260">
        <v>0</v>
      </c>
      <c r="I260" s="58" t="s">
        <v>2129</v>
      </c>
      <c r="J260" s="59">
        <v>-99.499921719134804</v>
      </c>
    </row>
    <row r="261" spans="1:10" x14ac:dyDescent="0.2">
      <c r="A261" t="s">
        <v>2160</v>
      </c>
      <c r="B261" t="s">
        <v>1547</v>
      </c>
      <c r="C261" t="s">
        <v>1771</v>
      </c>
      <c r="D261">
        <v>0</v>
      </c>
      <c r="E261">
        <v>0</v>
      </c>
      <c r="F261">
        <v>0</v>
      </c>
      <c r="G261">
        <v>0</v>
      </c>
      <c r="H261">
        <v>0</v>
      </c>
      <c r="I261" s="58" t="s">
        <v>2161</v>
      </c>
      <c r="J261" s="59">
        <v>-99.499921719134804</v>
      </c>
    </row>
    <row r="262" spans="1:10" x14ac:dyDescent="0.2">
      <c r="A262" t="s">
        <v>2186</v>
      </c>
      <c r="B262" t="s">
        <v>1773</v>
      </c>
      <c r="C262" t="s">
        <v>1771</v>
      </c>
      <c r="D262">
        <v>0</v>
      </c>
      <c r="E262">
        <v>0</v>
      </c>
      <c r="F262">
        <v>0</v>
      </c>
      <c r="G262">
        <v>0</v>
      </c>
      <c r="H262">
        <v>0</v>
      </c>
      <c r="I262" s="58" t="s">
        <v>2187</v>
      </c>
      <c r="J262" s="59">
        <v>10</v>
      </c>
    </row>
    <row r="263" spans="1:10" x14ac:dyDescent="0.2">
      <c r="A263" t="s">
        <v>2151</v>
      </c>
      <c r="B263" t="s">
        <v>1536</v>
      </c>
      <c r="C263" t="s">
        <v>1771</v>
      </c>
      <c r="D263">
        <v>0</v>
      </c>
      <c r="E263">
        <v>0</v>
      </c>
      <c r="F263">
        <v>0</v>
      </c>
      <c r="G263">
        <v>0</v>
      </c>
      <c r="H263">
        <v>0</v>
      </c>
      <c r="I263" s="58" t="s">
        <v>2152</v>
      </c>
      <c r="J263" s="59">
        <v>100</v>
      </c>
    </row>
    <row r="264" spans="1:10" x14ac:dyDescent="0.2">
      <c r="A264" t="s">
        <v>2184</v>
      </c>
      <c r="B264" t="s">
        <v>1772</v>
      </c>
      <c r="C264" t="s">
        <v>1771</v>
      </c>
      <c r="D264">
        <v>0</v>
      </c>
      <c r="E264">
        <v>0</v>
      </c>
      <c r="F264">
        <v>0</v>
      </c>
      <c r="G264">
        <v>0</v>
      </c>
      <c r="H264">
        <v>0</v>
      </c>
      <c r="I264" s="58" t="s">
        <v>2185</v>
      </c>
      <c r="J264" s="59">
        <v>48</v>
      </c>
    </row>
    <row r="265" spans="1:10" x14ac:dyDescent="0.2">
      <c r="A265" t="s">
        <v>2141</v>
      </c>
      <c r="B265" t="s">
        <v>1535</v>
      </c>
      <c r="C265" t="s">
        <v>1771</v>
      </c>
      <c r="D265">
        <v>0</v>
      </c>
      <c r="E265">
        <v>0</v>
      </c>
      <c r="F265">
        <v>0</v>
      </c>
      <c r="G265">
        <v>0</v>
      </c>
      <c r="H265">
        <v>0</v>
      </c>
      <c r="I265" s="58" t="s">
        <v>2142</v>
      </c>
      <c r="J265" s="59">
        <v>99.395644679326296</v>
      </c>
    </row>
    <row r="266" spans="1:10" x14ac:dyDescent="0.2">
      <c r="A266" t="s">
        <v>2182</v>
      </c>
      <c r="B266" t="s">
        <v>1770</v>
      </c>
      <c r="C266" t="s">
        <v>1771</v>
      </c>
      <c r="D266">
        <v>0</v>
      </c>
      <c r="E266">
        <v>0</v>
      </c>
      <c r="F266">
        <v>0</v>
      </c>
      <c r="G266">
        <v>0</v>
      </c>
      <c r="H266">
        <v>0</v>
      </c>
      <c r="I266" s="58" t="s">
        <v>2183</v>
      </c>
      <c r="J266" s="59">
        <v>-58</v>
      </c>
    </row>
    <row r="267" spans="1:10" x14ac:dyDescent="0.2">
      <c r="A267" t="s">
        <v>1641</v>
      </c>
      <c r="B267" t="s">
        <v>1533</v>
      </c>
      <c r="C267" t="s">
        <v>1538</v>
      </c>
      <c r="D267">
        <v>0</v>
      </c>
      <c r="E267">
        <v>0</v>
      </c>
      <c r="F267">
        <v>0</v>
      </c>
      <c r="G267">
        <v>0</v>
      </c>
      <c r="H267">
        <v>0</v>
      </c>
      <c r="I267" s="58" t="s">
        <v>2122</v>
      </c>
      <c r="J267" s="59">
        <v>-1</v>
      </c>
    </row>
    <row r="268" spans="1:10" x14ac:dyDescent="0.2">
      <c r="A268" t="s">
        <v>1671</v>
      </c>
      <c r="B268" t="s">
        <v>1547</v>
      </c>
      <c r="C268" t="s">
        <v>1538</v>
      </c>
      <c r="D268">
        <v>0</v>
      </c>
      <c r="E268">
        <v>0</v>
      </c>
      <c r="F268">
        <v>0</v>
      </c>
      <c r="G268">
        <v>0</v>
      </c>
      <c r="H268">
        <v>0</v>
      </c>
      <c r="I268" s="58" t="s">
        <v>2155</v>
      </c>
      <c r="J268" s="59">
        <v>-1</v>
      </c>
    </row>
    <row r="269" spans="1:10" x14ac:dyDescent="0.2">
      <c r="A269" t="s">
        <v>1662</v>
      </c>
      <c r="B269" t="s">
        <v>1536</v>
      </c>
      <c r="C269" t="s">
        <v>1538</v>
      </c>
      <c r="D269">
        <v>0</v>
      </c>
      <c r="E269">
        <v>0</v>
      </c>
      <c r="F269">
        <v>0</v>
      </c>
      <c r="G269">
        <v>0</v>
      </c>
      <c r="H269">
        <v>0</v>
      </c>
      <c r="I269" s="58" t="s">
        <v>2145</v>
      </c>
      <c r="J269">
        <v>1</v>
      </c>
    </row>
    <row r="270" spans="1:10" x14ac:dyDescent="0.2">
      <c r="A270" t="s">
        <v>1654</v>
      </c>
      <c r="B270" t="s">
        <v>1535</v>
      </c>
      <c r="C270" t="s">
        <v>1538</v>
      </c>
      <c r="D270">
        <v>0</v>
      </c>
      <c r="E270">
        <v>0</v>
      </c>
      <c r="F270">
        <v>0</v>
      </c>
      <c r="G270">
        <v>0</v>
      </c>
      <c r="H270">
        <v>0</v>
      </c>
      <c r="I270" s="58" t="s">
        <v>2135</v>
      </c>
      <c r="J270" s="59">
        <v>1</v>
      </c>
    </row>
    <row r="271" spans="1:10" x14ac:dyDescent="0.2">
      <c r="A271" t="s">
        <v>1638</v>
      </c>
      <c r="B271" t="s">
        <v>1285</v>
      </c>
      <c r="C271" t="s">
        <v>1530</v>
      </c>
      <c r="D271">
        <v>0</v>
      </c>
      <c r="E271">
        <v>0</v>
      </c>
      <c r="F271">
        <v>0</v>
      </c>
      <c r="G271">
        <v>0</v>
      </c>
      <c r="H271">
        <v>0</v>
      </c>
      <c r="I271" s="58" t="s">
        <v>2115</v>
      </c>
      <c r="J271" s="59">
        <v>-1</v>
      </c>
    </row>
    <row r="272" spans="1:10" x14ac:dyDescent="0.2">
      <c r="A272" t="s">
        <v>1633</v>
      </c>
      <c r="B272" t="s">
        <v>1535</v>
      </c>
      <c r="C272" t="s">
        <v>1530</v>
      </c>
      <c r="D272">
        <v>0</v>
      </c>
      <c r="E272">
        <v>0</v>
      </c>
      <c r="F272">
        <v>0</v>
      </c>
      <c r="G272">
        <v>0</v>
      </c>
      <c r="H272">
        <v>0</v>
      </c>
      <c r="I272" s="58" t="s">
        <v>1743</v>
      </c>
      <c r="J272" s="59">
        <v>1</v>
      </c>
    </row>
    <row r="273" spans="1:10" x14ac:dyDescent="0.2">
      <c r="A273" t="s">
        <v>1642</v>
      </c>
      <c r="B273" t="s">
        <v>1533</v>
      </c>
      <c r="C273" t="s">
        <v>1539</v>
      </c>
      <c r="D273">
        <v>0</v>
      </c>
      <c r="E273">
        <v>0</v>
      </c>
      <c r="F273">
        <v>0</v>
      </c>
      <c r="G273">
        <v>0</v>
      </c>
      <c r="H273">
        <v>0</v>
      </c>
      <c r="I273" s="58" t="s">
        <v>2123</v>
      </c>
      <c r="J273">
        <v>-0.8251601962242</v>
      </c>
    </row>
    <row r="274" spans="1:10" x14ac:dyDescent="0.2">
      <c r="A274" t="s">
        <v>1664</v>
      </c>
      <c r="B274" t="s">
        <v>1536</v>
      </c>
      <c r="C274" t="s">
        <v>1539</v>
      </c>
      <c r="D274">
        <v>0</v>
      </c>
      <c r="E274">
        <v>0</v>
      </c>
      <c r="F274">
        <v>0</v>
      </c>
      <c r="G274">
        <v>0</v>
      </c>
      <c r="H274">
        <v>0</v>
      </c>
      <c r="I274" s="58" t="s">
        <v>2146</v>
      </c>
      <c r="J274">
        <v>0.75</v>
      </c>
    </row>
    <row r="275" spans="1:10" x14ac:dyDescent="0.2">
      <c r="A275" t="s">
        <v>1681</v>
      </c>
      <c r="B275" t="s">
        <v>1549</v>
      </c>
      <c r="C275" t="s">
        <v>1539</v>
      </c>
      <c r="D275">
        <v>0</v>
      </c>
      <c r="E275">
        <v>0</v>
      </c>
      <c r="F275">
        <v>0</v>
      </c>
      <c r="G275">
        <v>0</v>
      </c>
      <c r="H275">
        <v>0</v>
      </c>
      <c r="I275" s="58" t="s">
        <v>2166</v>
      </c>
      <c r="J275">
        <v>10</v>
      </c>
    </row>
    <row r="276" spans="1:10" x14ac:dyDescent="0.2">
      <c r="A276" t="s">
        <v>1655</v>
      </c>
      <c r="B276" t="s">
        <v>1535</v>
      </c>
      <c r="C276" t="s">
        <v>1539</v>
      </c>
      <c r="D276">
        <v>0</v>
      </c>
      <c r="E276">
        <v>0</v>
      </c>
      <c r="F276">
        <v>0</v>
      </c>
      <c r="G276">
        <v>0</v>
      </c>
      <c r="H276">
        <v>0</v>
      </c>
      <c r="I276" s="58" t="s">
        <v>2136</v>
      </c>
      <c r="J276">
        <v>0.80643689559489995</v>
      </c>
    </row>
    <row r="277" spans="1:10" x14ac:dyDescent="0.2">
      <c r="A277" t="s">
        <v>1680</v>
      </c>
      <c r="B277" t="s">
        <v>1548</v>
      </c>
      <c r="C277" t="s">
        <v>1539</v>
      </c>
      <c r="D277">
        <v>0</v>
      </c>
      <c r="E277">
        <v>0</v>
      </c>
      <c r="F277">
        <v>0</v>
      </c>
      <c r="G277">
        <v>0</v>
      </c>
      <c r="H277">
        <v>0</v>
      </c>
      <c r="I277" s="58" t="s">
        <v>2165</v>
      </c>
      <c r="J277">
        <v>48</v>
      </c>
    </row>
    <row r="278" spans="1:10" x14ac:dyDescent="0.2">
      <c r="A278" t="s">
        <v>1679</v>
      </c>
      <c r="B278" t="s">
        <v>667</v>
      </c>
      <c r="C278" t="s">
        <v>1539</v>
      </c>
      <c r="D278">
        <v>0</v>
      </c>
      <c r="E278">
        <v>0</v>
      </c>
      <c r="F278">
        <v>0</v>
      </c>
      <c r="G278">
        <v>0</v>
      </c>
      <c r="H278">
        <v>0</v>
      </c>
      <c r="I278" s="58" t="s">
        <v>2164</v>
      </c>
      <c r="J278">
        <v>-56</v>
      </c>
    </row>
    <row r="279" spans="1:10" x14ac:dyDescent="0.2">
      <c r="A279" t="s">
        <v>1640</v>
      </c>
      <c r="B279" t="s">
        <v>1533</v>
      </c>
      <c r="C279" t="s">
        <v>1537</v>
      </c>
      <c r="D279">
        <v>0</v>
      </c>
      <c r="E279">
        <v>0</v>
      </c>
      <c r="F279">
        <v>0</v>
      </c>
      <c r="G279">
        <v>0</v>
      </c>
      <c r="H279">
        <v>0</v>
      </c>
      <c r="I279" s="58" t="s">
        <v>2121</v>
      </c>
      <c r="J279" s="59">
        <v>9.6819710789769198E-2</v>
      </c>
    </row>
    <row r="280" spans="1:10" x14ac:dyDescent="0.2">
      <c r="A280" t="s">
        <v>1649</v>
      </c>
      <c r="B280" t="s">
        <v>1506</v>
      </c>
      <c r="C280" t="s">
        <v>1537</v>
      </c>
      <c r="D280">
        <v>0</v>
      </c>
      <c r="E280">
        <v>0</v>
      </c>
      <c r="F280">
        <v>0</v>
      </c>
      <c r="G280">
        <v>0</v>
      </c>
      <c r="H280">
        <v>0</v>
      </c>
      <c r="I280" s="58" t="s">
        <v>2132</v>
      </c>
      <c r="J280" s="59">
        <v>-9.5305041382089603E-3</v>
      </c>
    </row>
    <row r="281" spans="1:10" x14ac:dyDescent="0.2">
      <c r="A281" t="s">
        <v>1653</v>
      </c>
      <c r="B281" t="s">
        <v>1546</v>
      </c>
      <c r="C281" t="s">
        <v>1537</v>
      </c>
      <c r="D281">
        <v>0</v>
      </c>
      <c r="E281">
        <v>0</v>
      </c>
      <c r="F281">
        <v>0</v>
      </c>
      <c r="G281">
        <v>0</v>
      </c>
      <c r="H281">
        <v>0</v>
      </c>
      <c r="I281" s="58" t="s">
        <v>1748</v>
      </c>
      <c r="J281">
        <v>-5.42190380422708</v>
      </c>
    </row>
    <row r="282" spans="1:10" x14ac:dyDescent="0.2">
      <c r="A282" t="s">
        <v>1652</v>
      </c>
      <c r="B282" t="s">
        <v>1534</v>
      </c>
      <c r="C282" t="s">
        <v>1537</v>
      </c>
      <c r="D282">
        <v>0</v>
      </c>
      <c r="E282">
        <v>0</v>
      </c>
      <c r="F282">
        <v>0</v>
      </c>
      <c r="G282">
        <v>0</v>
      </c>
      <c r="H282">
        <v>0</v>
      </c>
      <c r="I282" s="58" t="s">
        <v>2134</v>
      </c>
      <c r="J282" s="59">
        <v>-4.5291778152504701E-2</v>
      </c>
    </row>
    <row r="283" spans="1:10" x14ac:dyDescent="0.2">
      <c r="A283" t="s">
        <v>1650</v>
      </c>
      <c r="B283" t="s">
        <v>1505</v>
      </c>
      <c r="C283" t="s">
        <v>1537</v>
      </c>
      <c r="D283">
        <v>0</v>
      </c>
      <c r="E283">
        <v>0</v>
      </c>
      <c r="F283">
        <v>0</v>
      </c>
      <c r="G283">
        <v>0</v>
      </c>
      <c r="H283">
        <v>0</v>
      </c>
      <c r="I283" s="58" t="s">
        <v>2133</v>
      </c>
      <c r="J283">
        <v>-0.128384595009328</v>
      </c>
    </row>
    <row r="284" spans="1:10" x14ac:dyDescent="0.2">
      <c r="A284" t="s">
        <v>1651</v>
      </c>
      <c r="B284" t="s">
        <v>683</v>
      </c>
      <c r="C284" t="s">
        <v>1537</v>
      </c>
      <c r="D284">
        <v>0</v>
      </c>
      <c r="E284">
        <v>0</v>
      </c>
      <c r="F284">
        <v>0</v>
      </c>
      <c r="G284">
        <v>0</v>
      </c>
      <c r="H284">
        <v>0</v>
      </c>
      <c r="I284" s="58" t="s">
        <v>1747</v>
      </c>
      <c r="J284" s="59">
        <v>2.00131968817499E-4</v>
      </c>
    </row>
    <row r="285" spans="1:10" x14ac:dyDescent="0.2">
      <c r="A285" t="s">
        <v>1647</v>
      </c>
      <c r="B285" t="s">
        <v>1533</v>
      </c>
      <c r="C285" t="s">
        <v>1544</v>
      </c>
      <c r="D285">
        <v>0</v>
      </c>
      <c r="E285">
        <v>0</v>
      </c>
      <c r="F285">
        <v>0</v>
      </c>
      <c r="G285">
        <v>0</v>
      </c>
      <c r="H285">
        <v>0</v>
      </c>
      <c r="I285" s="58" t="s">
        <v>2130</v>
      </c>
      <c r="J285">
        <v>0.40403420916300598</v>
      </c>
    </row>
    <row r="286" spans="1:10" x14ac:dyDescent="0.2">
      <c r="A286" t="s">
        <v>1677</v>
      </c>
      <c r="B286" t="s">
        <v>1547</v>
      </c>
      <c r="C286" t="s">
        <v>1544</v>
      </c>
      <c r="D286">
        <v>0</v>
      </c>
      <c r="E286">
        <v>0</v>
      </c>
      <c r="F286">
        <v>0</v>
      </c>
      <c r="G286">
        <v>0</v>
      </c>
      <c r="H286">
        <v>0</v>
      </c>
      <c r="I286" s="58" t="s">
        <v>2162</v>
      </c>
      <c r="J286">
        <v>0.40403420916300598</v>
      </c>
    </row>
    <row r="287" spans="1:10" x14ac:dyDescent="0.2">
      <c r="A287" t="s">
        <v>1669</v>
      </c>
      <c r="B287" t="s">
        <v>1536</v>
      </c>
      <c r="C287" t="s">
        <v>1544</v>
      </c>
      <c r="D287">
        <v>0</v>
      </c>
      <c r="E287">
        <v>0</v>
      </c>
      <c r="F287">
        <v>0</v>
      </c>
      <c r="G287">
        <v>0</v>
      </c>
      <c r="H287">
        <v>0</v>
      </c>
      <c r="I287" s="58" t="s">
        <v>2153</v>
      </c>
      <c r="J287" s="59">
        <v>-4.5527148184753103E-3</v>
      </c>
    </row>
    <row r="288" spans="1:10" x14ac:dyDescent="0.2">
      <c r="A288" t="s">
        <v>1699</v>
      </c>
      <c r="B288" t="s">
        <v>1562</v>
      </c>
      <c r="C288" t="s">
        <v>1544</v>
      </c>
      <c r="D288">
        <v>0</v>
      </c>
      <c r="E288">
        <v>0</v>
      </c>
      <c r="F288">
        <v>0</v>
      </c>
      <c r="G288">
        <v>0</v>
      </c>
      <c r="H288">
        <v>0</v>
      </c>
      <c r="I288" s="58" t="s">
        <v>2191</v>
      </c>
      <c r="J288" s="59">
        <v>-1.9465648468096901E-3</v>
      </c>
    </row>
    <row r="289" spans="1:10" x14ac:dyDescent="0.2">
      <c r="A289" t="s">
        <v>1660</v>
      </c>
      <c r="B289" t="s">
        <v>1535</v>
      </c>
      <c r="C289" t="s">
        <v>1544</v>
      </c>
      <c r="D289">
        <v>0</v>
      </c>
      <c r="E289">
        <v>0</v>
      </c>
      <c r="F289">
        <v>0</v>
      </c>
      <c r="G289">
        <v>0</v>
      </c>
      <c r="H289">
        <v>0</v>
      </c>
      <c r="I289" s="58" t="s">
        <v>2143</v>
      </c>
      <c r="J289">
        <v>-0.48725952048478299</v>
      </c>
    </row>
    <row r="290" spans="1:10" x14ac:dyDescent="0.2">
      <c r="A290" t="s">
        <v>1700</v>
      </c>
      <c r="B290" t="s">
        <v>1563</v>
      </c>
      <c r="C290" t="s">
        <v>1544</v>
      </c>
      <c r="D290">
        <v>0</v>
      </c>
      <c r="E290">
        <v>0</v>
      </c>
      <c r="F290">
        <v>0</v>
      </c>
      <c r="G290">
        <v>0</v>
      </c>
      <c r="H290">
        <v>0</v>
      </c>
      <c r="I290" s="58" t="s">
        <v>2192</v>
      </c>
      <c r="J290">
        <v>-1</v>
      </c>
    </row>
    <row r="291" spans="1:10" x14ac:dyDescent="0.2">
      <c r="A291" t="s">
        <v>1701</v>
      </c>
      <c r="B291" t="s">
        <v>1564</v>
      </c>
      <c r="C291" t="s">
        <v>1544</v>
      </c>
      <c r="D291">
        <v>0</v>
      </c>
      <c r="E291">
        <v>0</v>
      </c>
      <c r="F291">
        <v>0</v>
      </c>
      <c r="G291">
        <v>0</v>
      </c>
      <c r="H291">
        <v>0</v>
      </c>
      <c r="I291" s="58" t="s">
        <v>2193</v>
      </c>
      <c r="J291" s="59">
        <v>1.00194656484681</v>
      </c>
    </row>
    <row r="292" spans="1:10" x14ac:dyDescent="0.2">
      <c r="A292" t="s">
        <v>1698</v>
      </c>
      <c r="B292" t="s">
        <v>670</v>
      </c>
      <c r="C292" t="s">
        <v>1544</v>
      </c>
      <c r="D292">
        <v>0</v>
      </c>
      <c r="E292">
        <v>0</v>
      </c>
      <c r="F292">
        <v>0</v>
      </c>
      <c r="G292">
        <v>0</v>
      </c>
      <c r="H292">
        <v>0</v>
      </c>
      <c r="I292" s="58" t="s">
        <v>2190</v>
      </c>
      <c r="J292" s="59">
        <v>1.00194656484681</v>
      </c>
    </row>
    <row r="293" spans="1:10" x14ac:dyDescent="0.2">
      <c r="A293" t="s">
        <v>1648</v>
      </c>
      <c r="B293" t="s">
        <v>1533</v>
      </c>
      <c r="C293" t="s">
        <v>1545</v>
      </c>
      <c r="D293">
        <v>0</v>
      </c>
      <c r="E293">
        <v>0</v>
      </c>
      <c r="F293">
        <v>0</v>
      </c>
      <c r="G293">
        <v>0</v>
      </c>
      <c r="H293">
        <v>0</v>
      </c>
      <c r="I293" s="58" t="s">
        <v>2131</v>
      </c>
      <c r="J293" s="59">
        <v>-1.10157749437064</v>
      </c>
    </row>
    <row r="294" spans="1:10" x14ac:dyDescent="0.2">
      <c r="A294" t="s">
        <v>1678</v>
      </c>
      <c r="B294" t="s">
        <v>1547</v>
      </c>
      <c r="C294" t="s">
        <v>1545</v>
      </c>
      <c r="D294">
        <v>0</v>
      </c>
      <c r="E294">
        <v>0</v>
      </c>
      <c r="F294">
        <v>0</v>
      </c>
      <c r="G294">
        <v>0</v>
      </c>
      <c r="H294">
        <v>0</v>
      </c>
      <c r="I294" s="58" t="s">
        <v>2163</v>
      </c>
      <c r="J294" s="59">
        <v>-1.10157749437064</v>
      </c>
    </row>
    <row r="295" spans="1:10" x14ac:dyDescent="0.2">
      <c r="A295" t="s">
        <v>1670</v>
      </c>
      <c r="B295" t="s">
        <v>1536</v>
      </c>
      <c r="C295" t="s">
        <v>1545</v>
      </c>
      <c r="D295">
        <v>0</v>
      </c>
      <c r="E295">
        <v>0</v>
      </c>
      <c r="F295">
        <v>0</v>
      </c>
      <c r="G295">
        <v>0</v>
      </c>
      <c r="H295">
        <v>0</v>
      </c>
      <c r="I295" s="58" t="s">
        <v>2154</v>
      </c>
      <c r="J295" s="59">
        <v>3.3505864995030001</v>
      </c>
    </row>
    <row r="296" spans="1:10" x14ac:dyDescent="0.2">
      <c r="A296" t="s">
        <v>1703</v>
      </c>
      <c r="B296" t="s">
        <v>1565</v>
      </c>
      <c r="C296" t="s">
        <v>1545</v>
      </c>
      <c r="D296">
        <v>0</v>
      </c>
      <c r="E296">
        <v>0</v>
      </c>
      <c r="F296">
        <v>0</v>
      </c>
      <c r="G296">
        <v>0</v>
      </c>
      <c r="H296">
        <v>0</v>
      </c>
      <c r="I296" s="58" t="s">
        <v>2195</v>
      </c>
      <c r="J296">
        <v>-1.31450987333898</v>
      </c>
    </row>
    <row r="297" spans="1:10" x14ac:dyDescent="0.2">
      <c r="A297" t="s">
        <v>1661</v>
      </c>
      <c r="B297" t="s">
        <v>1535</v>
      </c>
      <c r="C297" t="s">
        <v>1545</v>
      </c>
      <c r="D297">
        <v>0</v>
      </c>
      <c r="E297">
        <v>0</v>
      </c>
      <c r="F297">
        <v>0</v>
      </c>
      <c r="G297">
        <v>0</v>
      </c>
      <c r="H297">
        <v>0</v>
      </c>
      <c r="I297" s="58" t="s">
        <v>2144</v>
      </c>
      <c r="J297" s="59">
        <v>0.63303395163473397</v>
      </c>
    </row>
    <row r="298" spans="1:10" x14ac:dyDescent="0.2">
      <c r="A298" t="s">
        <v>1704</v>
      </c>
      <c r="B298" t="s">
        <v>1566</v>
      </c>
      <c r="C298" t="s">
        <v>1545</v>
      </c>
      <c r="D298">
        <v>0</v>
      </c>
      <c r="E298">
        <v>0</v>
      </c>
      <c r="F298">
        <v>0</v>
      </c>
      <c r="G298">
        <v>0</v>
      </c>
      <c r="H298">
        <v>0</v>
      </c>
      <c r="I298" s="58" t="s">
        <v>2196</v>
      </c>
      <c r="J298">
        <v>-1</v>
      </c>
    </row>
    <row r="299" spans="1:10" x14ac:dyDescent="0.2">
      <c r="A299" t="s">
        <v>1705</v>
      </c>
      <c r="B299" t="s">
        <v>1567</v>
      </c>
      <c r="C299" t="s">
        <v>1545</v>
      </c>
      <c r="D299">
        <v>0</v>
      </c>
      <c r="E299">
        <v>0</v>
      </c>
      <c r="F299">
        <v>0</v>
      </c>
      <c r="G299">
        <v>0</v>
      </c>
      <c r="H299">
        <v>0</v>
      </c>
      <c r="I299" s="58" t="s">
        <v>2197</v>
      </c>
      <c r="J299">
        <v>2.2330330349899699</v>
      </c>
    </row>
    <row r="300" spans="1:10" x14ac:dyDescent="0.2">
      <c r="A300" t="s">
        <v>1702</v>
      </c>
      <c r="B300" t="s">
        <v>671</v>
      </c>
      <c r="C300" t="s">
        <v>1545</v>
      </c>
      <c r="D300">
        <v>0</v>
      </c>
      <c r="E300">
        <v>0</v>
      </c>
      <c r="F300">
        <v>0</v>
      </c>
      <c r="G300">
        <v>0</v>
      </c>
      <c r="H300">
        <v>0</v>
      </c>
      <c r="I300" s="58" t="s">
        <v>2194</v>
      </c>
      <c r="J300">
        <v>2.2330330349899699</v>
      </c>
    </row>
    <row r="301" spans="1:10" x14ac:dyDescent="0.2">
      <c r="A301" t="s">
        <v>1630</v>
      </c>
      <c r="B301" t="s">
        <v>1505</v>
      </c>
      <c r="C301" t="s">
        <v>1529</v>
      </c>
      <c r="D301">
        <v>0</v>
      </c>
      <c r="E301">
        <v>0</v>
      </c>
      <c r="F301">
        <v>0</v>
      </c>
      <c r="G301">
        <v>0</v>
      </c>
      <c r="H301">
        <v>0</v>
      </c>
      <c r="I301" s="58" t="s">
        <v>2109</v>
      </c>
      <c r="J301" s="59">
        <v>1</v>
      </c>
    </row>
    <row r="302" spans="1:10" x14ac:dyDescent="0.2">
      <c r="A302" t="s">
        <v>1636</v>
      </c>
      <c r="B302" t="s">
        <v>1283</v>
      </c>
      <c r="C302" t="s">
        <v>1529</v>
      </c>
      <c r="D302">
        <v>0</v>
      </c>
      <c r="E302">
        <v>0</v>
      </c>
      <c r="F302">
        <v>0</v>
      </c>
      <c r="G302">
        <v>0</v>
      </c>
      <c r="H302">
        <v>0</v>
      </c>
      <c r="I302" s="58" t="s">
        <v>2113</v>
      </c>
      <c r="J302">
        <v>-1</v>
      </c>
    </row>
    <row r="303" spans="1:10" x14ac:dyDescent="0.2">
      <c r="A303" t="s">
        <v>985</v>
      </c>
      <c r="B303" t="s">
        <v>546</v>
      </c>
      <c r="C303" t="s">
        <v>659</v>
      </c>
      <c r="D303">
        <v>0</v>
      </c>
      <c r="E303">
        <v>0</v>
      </c>
      <c r="F303">
        <v>0</v>
      </c>
      <c r="G303">
        <v>0</v>
      </c>
      <c r="H303">
        <v>0</v>
      </c>
      <c r="I303" s="58" t="s">
        <v>1917</v>
      </c>
      <c r="J303">
        <v>0</v>
      </c>
    </row>
    <row r="304" spans="1:10" x14ac:dyDescent="0.2">
      <c r="A304" t="s">
        <v>976</v>
      </c>
      <c r="B304" t="s">
        <v>554</v>
      </c>
      <c r="C304" t="s">
        <v>659</v>
      </c>
      <c r="D304">
        <v>0</v>
      </c>
      <c r="E304">
        <v>0</v>
      </c>
      <c r="F304">
        <v>0</v>
      </c>
      <c r="G304">
        <v>0</v>
      </c>
      <c r="H304">
        <v>0</v>
      </c>
      <c r="I304" s="58" t="s">
        <v>1900</v>
      </c>
      <c r="J304">
        <v>-1</v>
      </c>
    </row>
    <row r="305" spans="1:10" x14ac:dyDescent="0.2">
      <c r="A305" t="s">
        <v>972</v>
      </c>
      <c r="B305" t="s">
        <v>663</v>
      </c>
      <c r="C305" t="s">
        <v>659</v>
      </c>
      <c r="D305">
        <v>0</v>
      </c>
      <c r="E305">
        <v>0</v>
      </c>
      <c r="F305">
        <v>0</v>
      </c>
      <c r="G305">
        <v>0</v>
      </c>
      <c r="H305">
        <v>0</v>
      </c>
      <c r="I305" s="58" t="s">
        <v>1898</v>
      </c>
      <c r="J305">
        <v>1</v>
      </c>
    </row>
    <row r="306" spans="1:10" x14ac:dyDescent="0.2">
      <c r="A306" t="s">
        <v>986</v>
      </c>
      <c r="B306" t="s">
        <v>546</v>
      </c>
      <c r="C306" t="s">
        <v>660</v>
      </c>
      <c r="D306">
        <v>0</v>
      </c>
      <c r="E306">
        <v>0</v>
      </c>
      <c r="F306">
        <v>0</v>
      </c>
      <c r="G306">
        <v>0</v>
      </c>
      <c r="H306">
        <v>0</v>
      </c>
      <c r="I306" s="58" t="s">
        <v>1918</v>
      </c>
      <c r="J306">
        <v>0</v>
      </c>
    </row>
    <row r="307" spans="1:10" x14ac:dyDescent="0.2">
      <c r="A307" t="s">
        <v>977</v>
      </c>
      <c r="B307" t="s">
        <v>517</v>
      </c>
      <c r="C307" t="s">
        <v>660</v>
      </c>
      <c r="D307">
        <v>0</v>
      </c>
      <c r="E307">
        <v>0</v>
      </c>
      <c r="F307">
        <v>0</v>
      </c>
      <c r="G307">
        <v>0</v>
      </c>
      <c r="H307">
        <v>0</v>
      </c>
      <c r="I307" s="58" t="s">
        <v>1901</v>
      </c>
      <c r="J307">
        <v>-1</v>
      </c>
    </row>
    <row r="308" spans="1:10" x14ac:dyDescent="0.2">
      <c r="A308" t="s">
        <v>973</v>
      </c>
      <c r="B308" t="s">
        <v>664</v>
      </c>
      <c r="C308" t="s">
        <v>660</v>
      </c>
      <c r="D308">
        <v>0</v>
      </c>
      <c r="E308">
        <v>0</v>
      </c>
      <c r="F308">
        <v>0</v>
      </c>
      <c r="G308">
        <v>0</v>
      </c>
      <c r="H308">
        <v>0</v>
      </c>
      <c r="I308" s="58" t="s">
        <v>1570</v>
      </c>
      <c r="J308">
        <v>1</v>
      </c>
    </row>
    <row r="309" spans="1:10" x14ac:dyDescent="0.2">
      <c r="A309" t="s">
        <v>987</v>
      </c>
      <c r="B309" t="s">
        <v>546</v>
      </c>
      <c r="C309" t="s">
        <v>661</v>
      </c>
      <c r="D309">
        <v>0</v>
      </c>
      <c r="E309">
        <v>0</v>
      </c>
      <c r="F309">
        <v>0</v>
      </c>
      <c r="G309">
        <v>0</v>
      </c>
      <c r="H309">
        <v>0</v>
      </c>
      <c r="I309" s="58" t="s">
        <v>1919</v>
      </c>
      <c r="J309">
        <v>0</v>
      </c>
    </row>
    <row r="310" spans="1:10" x14ac:dyDescent="0.2">
      <c r="A310" t="s">
        <v>978</v>
      </c>
      <c r="B310" t="s">
        <v>519</v>
      </c>
      <c r="C310" t="s">
        <v>661</v>
      </c>
      <c r="D310">
        <v>0</v>
      </c>
      <c r="E310">
        <v>0</v>
      </c>
      <c r="F310">
        <v>0</v>
      </c>
      <c r="G310">
        <v>0</v>
      </c>
      <c r="H310">
        <v>0</v>
      </c>
      <c r="I310" s="58" t="s">
        <v>1902</v>
      </c>
      <c r="J310">
        <v>-1</v>
      </c>
    </row>
    <row r="311" spans="1:10" x14ac:dyDescent="0.2">
      <c r="A311" t="s">
        <v>974</v>
      </c>
      <c r="B311" t="s">
        <v>665</v>
      </c>
      <c r="C311" t="s">
        <v>661</v>
      </c>
      <c r="D311">
        <v>0</v>
      </c>
      <c r="E311">
        <v>0</v>
      </c>
      <c r="F311">
        <v>0</v>
      </c>
      <c r="G311">
        <v>0</v>
      </c>
      <c r="H311">
        <v>0</v>
      </c>
      <c r="I311" s="58" t="s">
        <v>1571</v>
      </c>
      <c r="J311">
        <v>1</v>
      </c>
    </row>
    <row r="312" spans="1:10" x14ac:dyDescent="0.2">
      <c r="A312" t="s">
        <v>1609</v>
      </c>
      <c r="B312" t="s">
        <v>1525</v>
      </c>
      <c r="C312" t="s">
        <v>1520</v>
      </c>
      <c r="D312">
        <v>0</v>
      </c>
      <c r="E312">
        <v>0</v>
      </c>
      <c r="F312">
        <v>0</v>
      </c>
      <c r="G312">
        <v>0</v>
      </c>
      <c r="H312">
        <v>0</v>
      </c>
      <c r="I312" s="58" t="s">
        <v>2004</v>
      </c>
      <c r="J312">
        <v>-1</v>
      </c>
    </row>
    <row r="313" spans="1:10" x14ac:dyDescent="0.2">
      <c r="A313" t="s">
        <v>1620</v>
      </c>
      <c r="B313" t="s">
        <v>1516</v>
      </c>
      <c r="C313" t="s">
        <v>1520</v>
      </c>
      <c r="D313">
        <v>0</v>
      </c>
      <c r="E313">
        <v>0</v>
      </c>
      <c r="F313">
        <v>0</v>
      </c>
      <c r="G313">
        <v>0</v>
      </c>
      <c r="H313">
        <v>0</v>
      </c>
      <c r="I313" s="58" t="s">
        <v>2035</v>
      </c>
      <c r="J313">
        <v>-0.92592592592592604</v>
      </c>
    </row>
    <row r="314" spans="1:10" x14ac:dyDescent="0.2">
      <c r="A314" t="s">
        <v>1623</v>
      </c>
      <c r="B314" t="s">
        <v>1517</v>
      </c>
      <c r="C314" t="s">
        <v>1520</v>
      </c>
      <c r="D314">
        <v>0</v>
      </c>
      <c r="E314">
        <v>0</v>
      </c>
      <c r="F314">
        <v>0</v>
      </c>
      <c r="G314">
        <v>0</v>
      </c>
      <c r="H314">
        <v>0</v>
      </c>
      <c r="I314" s="58" t="s">
        <v>1373</v>
      </c>
      <c r="J314">
        <v>0</v>
      </c>
    </row>
    <row r="315" spans="1:10" x14ac:dyDescent="0.2">
      <c r="A315" t="s">
        <v>1613</v>
      </c>
      <c r="B315" t="s">
        <v>1526</v>
      </c>
      <c r="C315" t="s">
        <v>1521</v>
      </c>
      <c r="D315">
        <v>0</v>
      </c>
      <c r="E315">
        <v>0</v>
      </c>
      <c r="F315">
        <v>0</v>
      </c>
      <c r="G315">
        <v>0</v>
      </c>
      <c r="H315">
        <v>0</v>
      </c>
      <c r="I315" s="58" t="s">
        <v>2006</v>
      </c>
      <c r="J315">
        <v>-1</v>
      </c>
    </row>
    <row r="316" spans="1:10" x14ac:dyDescent="0.2">
      <c r="A316" t="s">
        <v>1621</v>
      </c>
      <c r="B316" t="s">
        <v>1516</v>
      </c>
      <c r="C316" t="s">
        <v>1521</v>
      </c>
      <c r="D316">
        <v>0</v>
      </c>
      <c r="E316">
        <v>0</v>
      </c>
      <c r="F316">
        <v>0</v>
      </c>
      <c r="G316">
        <v>0</v>
      </c>
      <c r="H316">
        <v>0</v>
      </c>
      <c r="I316" s="58" t="s">
        <v>2036</v>
      </c>
      <c r="J316">
        <v>-0.30864197530864201</v>
      </c>
    </row>
    <row r="317" spans="1:10" x14ac:dyDescent="0.2">
      <c r="A317" t="s">
        <v>1624</v>
      </c>
      <c r="B317" t="s">
        <v>1517</v>
      </c>
      <c r="C317" t="s">
        <v>1521</v>
      </c>
      <c r="D317">
        <v>0</v>
      </c>
      <c r="E317">
        <v>0</v>
      </c>
      <c r="F317">
        <v>0</v>
      </c>
      <c r="G317">
        <v>0</v>
      </c>
      <c r="H317">
        <v>0</v>
      </c>
      <c r="I317" s="58" t="s">
        <v>2040</v>
      </c>
      <c r="J317" s="59">
        <v>-0.61728395061728403</v>
      </c>
    </row>
    <row r="318" spans="1:10" x14ac:dyDescent="0.2">
      <c r="A318" t="s">
        <v>1615</v>
      </c>
      <c r="B318" t="s">
        <v>1527</v>
      </c>
      <c r="C318" t="s">
        <v>1522</v>
      </c>
      <c r="D318">
        <v>0</v>
      </c>
      <c r="E318">
        <v>0</v>
      </c>
      <c r="F318">
        <v>0</v>
      </c>
      <c r="G318">
        <v>0</v>
      </c>
      <c r="H318">
        <v>0</v>
      </c>
      <c r="I318" s="58" t="s">
        <v>2008</v>
      </c>
      <c r="J318" s="59">
        <v>-1</v>
      </c>
    </row>
    <row r="319" spans="1:10" x14ac:dyDescent="0.2">
      <c r="A319" t="s">
        <v>1622</v>
      </c>
      <c r="B319" t="s">
        <v>1516</v>
      </c>
      <c r="C319" t="s">
        <v>1522</v>
      </c>
      <c r="D319">
        <v>0</v>
      </c>
      <c r="E319">
        <v>0</v>
      </c>
      <c r="F319">
        <v>0</v>
      </c>
      <c r="G319">
        <v>0</v>
      </c>
      <c r="H319">
        <v>0</v>
      </c>
      <c r="I319" s="58" t="s">
        <v>2037</v>
      </c>
      <c r="J319" s="59">
        <v>0</v>
      </c>
    </row>
    <row r="320" spans="1:10" x14ac:dyDescent="0.2">
      <c r="A320" t="s">
        <v>1626</v>
      </c>
      <c r="B320" t="s">
        <v>1517</v>
      </c>
      <c r="C320" t="s">
        <v>1522</v>
      </c>
      <c r="D320">
        <v>0</v>
      </c>
      <c r="E320">
        <v>0</v>
      </c>
      <c r="F320">
        <v>0</v>
      </c>
      <c r="G320">
        <v>0</v>
      </c>
      <c r="H320">
        <v>0</v>
      </c>
      <c r="I320" s="58" t="s">
        <v>2041</v>
      </c>
      <c r="J320" s="59">
        <v>0</v>
      </c>
    </row>
    <row r="321" spans="1:10" x14ac:dyDescent="0.2">
      <c r="A321" t="s">
        <v>2011</v>
      </c>
      <c r="B321" t="s">
        <v>1769</v>
      </c>
      <c r="C321" t="s">
        <v>1768</v>
      </c>
      <c r="D321">
        <v>0</v>
      </c>
      <c r="E321">
        <v>0</v>
      </c>
      <c r="F321">
        <v>0</v>
      </c>
      <c r="G321">
        <v>0</v>
      </c>
      <c r="H321">
        <v>0</v>
      </c>
      <c r="I321" s="58" t="s">
        <v>2012</v>
      </c>
      <c r="J321" s="59">
        <v>-1</v>
      </c>
    </row>
    <row r="322" spans="1:10" x14ac:dyDescent="0.2">
      <c r="A322" t="s">
        <v>2038</v>
      </c>
      <c r="B322" t="s">
        <v>1516</v>
      </c>
      <c r="C322" t="s">
        <v>1768</v>
      </c>
      <c r="D322">
        <v>0</v>
      </c>
      <c r="E322">
        <v>0</v>
      </c>
      <c r="F322">
        <v>0</v>
      </c>
      <c r="G322">
        <v>0</v>
      </c>
      <c r="H322">
        <v>0</v>
      </c>
      <c r="I322" s="58" t="s">
        <v>2039</v>
      </c>
      <c r="J322" s="59">
        <v>0</v>
      </c>
    </row>
    <row r="323" spans="1:10" x14ac:dyDescent="0.2">
      <c r="A323" t="s">
        <v>2042</v>
      </c>
      <c r="B323" t="s">
        <v>1517</v>
      </c>
      <c r="C323" t="s">
        <v>1768</v>
      </c>
      <c r="D323">
        <v>0</v>
      </c>
      <c r="E323">
        <v>0</v>
      </c>
      <c r="F323">
        <v>0</v>
      </c>
      <c r="G323">
        <v>0</v>
      </c>
      <c r="H323">
        <v>0</v>
      </c>
      <c r="I323" s="58" t="s">
        <v>2043</v>
      </c>
      <c r="J323">
        <v>0</v>
      </c>
    </row>
    <row r="324" spans="1:10" x14ac:dyDescent="0.2">
      <c r="A324" t="s">
        <v>1569</v>
      </c>
      <c r="B324" t="s">
        <v>1496</v>
      </c>
      <c r="C324" t="s">
        <v>1511</v>
      </c>
      <c r="D324">
        <v>0</v>
      </c>
      <c r="E324">
        <v>0</v>
      </c>
      <c r="F324">
        <v>0</v>
      </c>
      <c r="G324">
        <v>0</v>
      </c>
      <c r="H324">
        <v>0</v>
      </c>
      <c r="I324" s="58" t="s">
        <v>1903</v>
      </c>
      <c r="J324">
        <v>-1</v>
      </c>
    </row>
    <row r="325" spans="1:10" x14ac:dyDescent="0.2">
      <c r="A325" t="s">
        <v>1568</v>
      </c>
      <c r="B325" t="s">
        <v>1512</v>
      </c>
      <c r="C325" t="s">
        <v>1511</v>
      </c>
      <c r="D325">
        <v>0</v>
      </c>
      <c r="E325">
        <v>0</v>
      </c>
      <c r="F325">
        <v>0</v>
      </c>
      <c r="G325">
        <v>0</v>
      </c>
      <c r="H325">
        <v>0</v>
      </c>
      <c r="I325" s="58" t="s">
        <v>1572</v>
      </c>
      <c r="J325">
        <v>1</v>
      </c>
    </row>
    <row r="326" spans="1:10" x14ac:dyDescent="0.2">
      <c r="A326" t="s">
        <v>1611</v>
      </c>
      <c r="B326" t="s">
        <v>1525</v>
      </c>
      <c r="C326" t="s">
        <v>1523</v>
      </c>
      <c r="D326">
        <v>0</v>
      </c>
      <c r="E326">
        <v>0</v>
      </c>
      <c r="F326">
        <v>0</v>
      </c>
      <c r="G326">
        <v>0</v>
      </c>
      <c r="H326">
        <v>0</v>
      </c>
      <c r="I326" s="58" t="s">
        <v>2005</v>
      </c>
      <c r="J326">
        <v>-100</v>
      </c>
    </row>
    <row r="327" spans="1:10" x14ac:dyDescent="0.2">
      <c r="A327" t="s">
        <v>1604</v>
      </c>
      <c r="B327" t="s">
        <v>1515</v>
      </c>
      <c r="C327" t="s">
        <v>1523</v>
      </c>
      <c r="D327">
        <v>0</v>
      </c>
      <c r="E327">
        <v>0</v>
      </c>
      <c r="F327">
        <v>0</v>
      </c>
      <c r="G327">
        <v>0</v>
      </c>
      <c r="H327">
        <v>0</v>
      </c>
      <c r="I327" s="58" t="s">
        <v>1987</v>
      </c>
      <c r="J327">
        <v>1</v>
      </c>
    </row>
    <row r="328" spans="1:10" x14ac:dyDescent="0.2">
      <c r="A328" t="s">
        <v>1606</v>
      </c>
      <c r="B328" t="s">
        <v>1524</v>
      </c>
      <c r="C328" t="s">
        <v>1523</v>
      </c>
      <c r="D328">
        <v>0</v>
      </c>
      <c r="E328">
        <v>0</v>
      </c>
      <c r="F328">
        <v>0</v>
      </c>
      <c r="G328">
        <v>0</v>
      </c>
      <c r="H328">
        <v>0</v>
      </c>
      <c r="I328" s="58" t="s">
        <v>1992</v>
      </c>
      <c r="J328">
        <v>-1</v>
      </c>
    </row>
    <row r="329" spans="1:10" x14ac:dyDescent="0.2">
      <c r="A329" t="s">
        <v>1057</v>
      </c>
      <c r="B329" t="s">
        <v>644</v>
      </c>
      <c r="C329" t="s">
        <v>681</v>
      </c>
      <c r="D329">
        <v>0</v>
      </c>
      <c r="E329">
        <v>0</v>
      </c>
      <c r="F329">
        <v>0</v>
      </c>
      <c r="G329">
        <v>0</v>
      </c>
      <c r="H329">
        <v>0</v>
      </c>
      <c r="I329" s="58" t="s">
        <v>2023</v>
      </c>
      <c r="J329" s="59">
        <v>8</v>
      </c>
    </row>
    <row r="330" spans="1:10" x14ac:dyDescent="0.2">
      <c r="A330" t="s">
        <v>1058</v>
      </c>
      <c r="B330" t="s">
        <v>577</v>
      </c>
      <c r="C330" t="s">
        <v>681</v>
      </c>
      <c r="D330">
        <v>0</v>
      </c>
      <c r="E330">
        <v>0</v>
      </c>
      <c r="F330">
        <v>0</v>
      </c>
      <c r="G330">
        <v>0</v>
      </c>
      <c r="H330">
        <v>0</v>
      </c>
      <c r="I330" s="58" t="s">
        <v>2024</v>
      </c>
      <c r="J330">
        <v>16</v>
      </c>
    </row>
    <row r="331" spans="1:10" x14ac:dyDescent="0.2">
      <c r="A331" t="s">
        <v>1059</v>
      </c>
      <c r="B331" t="s">
        <v>583</v>
      </c>
      <c r="C331" t="s">
        <v>681</v>
      </c>
      <c r="D331">
        <v>0</v>
      </c>
      <c r="E331">
        <v>0</v>
      </c>
      <c r="F331">
        <v>0</v>
      </c>
      <c r="G331">
        <v>0</v>
      </c>
      <c r="H331">
        <v>0</v>
      </c>
      <c r="I331" s="58" t="s">
        <v>2025</v>
      </c>
      <c r="J331">
        <v>16</v>
      </c>
    </row>
    <row r="332" spans="1:10" x14ac:dyDescent="0.2">
      <c r="A332" t="s">
        <v>1013</v>
      </c>
      <c r="B332" t="s">
        <v>663</v>
      </c>
      <c r="C332" t="s">
        <v>681</v>
      </c>
      <c r="D332">
        <v>0</v>
      </c>
      <c r="E332">
        <v>0</v>
      </c>
      <c r="F332">
        <v>0</v>
      </c>
      <c r="G332">
        <v>0</v>
      </c>
      <c r="H332">
        <v>0</v>
      </c>
      <c r="I332" s="58" t="s">
        <v>1943</v>
      </c>
      <c r="J332">
        <v>50.471607857742498</v>
      </c>
    </row>
    <row r="333" spans="1:10" x14ac:dyDescent="0.2">
      <c r="A333" t="s">
        <v>1023</v>
      </c>
      <c r="B333" t="s">
        <v>664</v>
      </c>
      <c r="C333" t="s">
        <v>681</v>
      </c>
      <c r="D333">
        <v>0</v>
      </c>
      <c r="E333">
        <v>0</v>
      </c>
      <c r="F333">
        <v>0</v>
      </c>
      <c r="G333">
        <v>0</v>
      </c>
      <c r="H333">
        <v>0</v>
      </c>
      <c r="I333" s="58" t="s">
        <v>1955</v>
      </c>
      <c r="J333">
        <v>56.534183307583703</v>
      </c>
    </row>
    <row r="334" spans="1:10" x14ac:dyDescent="0.2">
      <c r="A334" t="s">
        <v>1033</v>
      </c>
      <c r="B334" t="s">
        <v>665</v>
      </c>
      <c r="C334" t="s">
        <v>681</v>
      </c>
      <c r="D334">
        <v>0</v>
      </c>
      <c r="E334">
        <v>0</v>
      </c>
      <c r="F334">
        <v>0</v>
      </c>
      <c r="G334">
        <v>0</v>
      </c>
      <c r="H334">
        <v>0</v>
      </c>
      <c r="I334" s="58" t="s">
        <v>1967</v>
      </c>
      <c r="J334" s="59">
        <v>43.681552531437497</v>
      </c>
    </row>
    <row r="335" spans="1:10" x14ac:dyDescent="0.2">
      <c r="A335" t="s">
        <v>1617</v>
      </c>
      <c r="B335" t="s">
        <v>1513</v>
      </c>
      <c r="C335" t="s">
        <v>681</v>
      </c>
      <c r="D335">
        <v>0</v>
      </c>
      <c r="E335">
        <v>0</v>
      </c>
      <c r="F335">
        <v>0</v>
      </c>
      <c r="G335">
        <v>0</v>
      </c>
      <c r="H335">
        <v>0</v>
      </c>
      <c r="I335" s="58" t="s">
        <v>1625</v>
      </c>
      <c r="J335">
        <v>16</v>
      </c>
    </row>
    <row r="336" spans="1:10" x14ac:dyDescent="0.2">
      <c r="A336" t="s">
        <v>1599</v>
      </c>
      <c r="B336" t="s">
        <v>1512</v>
      </c>
      <c r="C336" t="s">
        <v>681</v>
      </c>
      <c r="D336">
        <v>0</v>
      </c>
      <c r="E336">
        <v>0</v>
      </c>
      <c r="F336">
        <v>0</v>
      </c>
      <c r="G336">
        <v>0</v>
      </c>
      <c r="H336">
        <v>0</v>
      </c>
      <c r="I336" s="58" t="s">
        <v>1978</v>
      </c>
      <c r="J336">
        <v>45</v>
      </c>
    </row>
    <row r="337" spans="1:10" x14ac:dyDescent="0.2">
      <c r="A337" t="s">
        <v>1060</v>
      </c>
      <c r="B337" t="s">
        <v>666</v>
      </c>
      <c r="C337" t="s">
        <v>681</v>
      </c>
      <c r="D337">
        <v>0</v>
      </c>
      <c r="E337">
        <v>0</v>
      </c>
      <c r="F337">
        <v>0</v>
      </c>
      <c r="G337">
        <v>0</v>
      </c>
      <c r="H337">
        <v>0</v>
      </c>
      <c r="I337" s="58" t="s">
        <v>2026</v>
      </c>
      <c r="J337">
        <v>-56</v>
      </c>
    </row>
    <row r="338" spans="1:10" x14ac:dyDescent="0.2">
      <c r="A338" t="s">
        <v>1004</v>
      </c>
      <c r="B338" t="s">
        <v>662</v>
      </c>
      <c r="C338" t="s">
        <v>681</v>
      </c>
      <c r="D338">
        <v>0</v>
      </c>
      <c r="E338">
        <v>0</v>
      </c>
      <c r="F338">
        <v>0</v>
      </c>
      <c r="G338">
        <v>0</v>
      </c>
      <c r="H338">
        <v>0</v>
      </c>
      <c r="I338" s="58" t="s">
        <v>1932</v>
      </c>
      <c r="J338" s="59">
        <v>-48.700418751560399</v>
      </c>
    </row>
    <row r="339" spans="1:10" x14ac:dyDescent="0.2">
      <c r="A339" t="s">
        <v>1045</v>
      </c>
      <c r="B339" t="s">
        <v>637</v>
      </c>
      <c r="C339" t="s">
        <v>675</v>
      </c>
      <c r="D339">
        <v>0</v>
      </c>
      <c r="E339">
        <v>0</v>
      </c>
      <c r="F339">
        <v>0</v>
      </c>
      <c r="G339">
        <v>0</v>
      </c>
      <c r="H339">
        <v>0</v>
      </c>
      <c r="I339" s="58" t="s">
        <v>1607</v>
      </c>
      <c r="J339">
        <v>16</v>
      </c>
    </row>
    <row r="340" spans="1:10" x14ac:dyDescent="0.2">
      <c r="A340" t="s">
        <v>1048</v>
      </c>
      <c r="B340" t="s">
        <v>640</v>
      </c>
      <c r="C340" t="s">
        <v>675</v>
      </c>
      <c r="D340">
        <v>0</v>
      </c>
      <c r="E340">
        <v>0</v>
      </c>
      <c r="F340">
        <v>0</v>
      </c>
      <c r="G340">
        <v>0</v>
      </c>
      <c r="H340">
        <v>0</v>
      </c>
      <c r="I340" s="58" t="s">
        <v>1998</v>
      </c>
      <c r="J340">
        <v>16</v>
      </c>
    </row>
    <row r="341" spans="1:10" x14ac:dyDescent="0.2">
      <c r="A341" t="s">
        <v>1008</v>
      </c>
      <c r="B341" t="s">
        <v>663</v>
      </c>
      <c r="C341" t="s">
        <v>675</v>
      </c>
      <c r="D341">
        <v>0</v>
      </c>
      <c r="E341">
        <v>0</v>
      </c>
      <c r="F341">
        <v>0</v>
      </c>
      <c r="G341">
        <v>0</v>
      </c>
      <c r="H341">
        <v>0</v>
      </c>
      <c r="I341" s="58" t="s">
        <v>1936</v>
      </c>
      <c r="J341">
        <v>100</v>
      </c>
    </row>
    <row r="342" spans="1:10" x14ac:dyDescent="0.2">
      <c r="A342" t="s">
        <v>1018</v>
      </c>
      <c r="B342" t="s">
        <v>664</v>
      </c>
      <c r="C342" t="s">
        <v>675</v>
      </c>
      <c r="D342">
        <v>0</v>
      </c>
      <c r="E342">
        <v>0</v>
      </c>
      <c r="F342">
        <v>0</v>
      </c>
      <c r="G342">
        <v>0</v>
      </c>
      <c r="H342">
        <v>0</v>
      </c>
      <c r="I342" s="58" t="s">
        <v>1948</v>
      </c>
      <c r="J342">
        <v>49.999987500080799</v>
      </c>
    </row>
    <row r="343" spans="1:10" x14ac:dyDescent="0.2">
      <c r="A343" t="s">
        <v>1028</v>
      </c>
      <c r="B343" t="s">
        <v>665</v>
      </c>
      <c r="C343" t="s">
        <v>675</v>
      </c>
      <c r="D343">
        <v>0</v>
      </c>
      <c r="E343">
        <v>0</v>
      </c>
      <c r="F343">
        <v>0</v>
      </c>
      <c r="G343">
        <v>0</v>
      </c>
      <c r="H343">
        <v>0</v>
      </c>
      <c r="I343" s="58" t="s">
        <v>1960</v>
      </c>
      <c r="J343">
        <v>0</v>
      </c>
    </row>
    <row r="344" spans="1:10" x14ac:dyDescent="0.2">
      <c r="A344" t="s">
        <v>1608</v>
      </c>
      <c r="B344" t="s">
        <v>1525</v>
      </c>
      <c r="C344" t="s">
        <v>675</v>
      </c>
      <c r="D344">
        <v>0</v>
      </c>
      <c r="E344">
        <v>0</v>
      </c>
      <c r="F344">
        <v>0</v>
      </c>
      <c r="G344">
        <v>0</v>
      </c>
      <c r="H344">
        <v>0</v>
      </c>
      <c r="I344" s="58" t="s">
        <v>2003</v>
      </c>
      <c r="J344">
        <v>16</v>
      </c>
    </row>
    <row r="345" spans="1:10" x14ac:dyDescent="0.2">
      <c r="A345" t="s">
        <v>1589</v>
      </c>
      <c r="B345" t="s">
        <v>1512</v>
      </c>
      <c r="C345" t="s">
        <v>675</v>
      </c>
      <c r="D345">
        <v>0</v>
      </c>
      <c r="E345">
        <v>0</v>
      </c>
      <c r="F345">
        <v>0</v>
      </c>
      <c r="G345">
        <v>0</v>
      </c>
      <c r="H345">
        <v>0</v>
      </c>
      <c r="I345" s="58" t="s">
        <v>1971</v>
      </c>
      <c r="J345" s="59">
        <v>0</v>
      </c>
    </row>
    <row r="346" spans="1:10" x14ac:dyDescent="0.2">
      <c r="A346" t="s">
        <v>1051</v>
      </c>
      <c r="B346" t="s">
        <v>684</v>
      </c>
      <c r="C346" t="s">
        <v>675</v>
      </c>
      <c r="D346">
        <v>0</v>
      </c>
      <c r="E346">
        <v>0</v>
      </c>
      <c r="F346">
        <v>0</v>
      </c>
      <c r="G346">
        <v>0</v>
      </c>
      <c r="H346">
        <v>0</v>
      </c>
      <c r="I346" s="58" t="s">
        <v>2013</v>
      </c>
      <c r="J346">
        <v>-56</v>
      </c>
    </row>
    <row r="347" spans="1:10" x14ac:dyDescent="0.2">
      <c r="A347" t="s">
        <v>999</v>
      </c>
      <c r="B347" t="s">
        <v>662</v>
      </c>
      <c r="C347" t="s">
        <v>675</v>
      </c>
      <c r="D347">
        <v>0</v>
      </c>
      <c r="E347">
        <v>0</v>
      </c>
      <c r="F347">
        <v>0</v>
      </c>
      <c r="G347">
        <v>0</v>
      </c>
      <c r="H347">
        <v>0</v>
      </c>
      <c r="I347" s="58" t="s">
        <v>1594</v>
      </c>
      <c r="J347">
        <v>-28.571411660502999</v>
      </c>
    </row>
    <row r="348" spans="1:10" x14ac:dyDescent="0.2">
      <c r="A348" t="s">
        <v>1046</v>
      </c>
      <c r="B348" t="s">
        <v>638</v>
      </c>
      <c r="C348" t="s">
        <v>676</v>
      </c>
      <c r="D348">
        <v>0</v>
      </c>
      <c r="E348">
        <v>0</v>
      </c>
      <c r="F348">
        <v>0</v>
      </c>
      <c r="G348">
        <v>0</v>
      </c>
      <c r="H348">
        <v>0</v>
      </c>
      <c r="I348" s="58" t="s">
        <v>1994</v>
      </c>
      <c r="J348">
        <v>16</v>
      </c>
    </row>
    <row r="349" spans="1:10" x14ac:dyDescent="0.2">
      <c r="A349" t="s">
        <v>1049</v>
      </c>
      <c r="B349" t="s">
        <v>641</v>
      </c>
      <c r="C349" t="s">
        <v>676</v>
      </c>
      <c r="D349">
        <v>0</v>
      </c>
      <c r="E349">
        <v>0</v>
      </c>
      <c r="F349">
        <v>0</v>
      </c>
      <c r="G349">
        <v>0</v>
      </c>
      <c r="H349">
        <v>0</v>
      </c>
      <c r="I349" s="58" t="s">
        <v>1999</v>
      </c>
      <c r="J349">
        <v>16</v>
      </c>
    </row>
    <row r="350" spans="1:10" x14ac:dyDescent="0.2">
      <c r="A350" t="s">
        <v>1009</v>
      </c>
      <c r="B350" t="s">
        <v>663</v>
      </c>
      <c r="C350" t="s">
        <v>676</v>
      </c>
      <c r="D350">
        <v>0</v>
      </c>
      <c r="E350">
        <v>0</v>
      </c>
      <c r="F350">
        <v>0</v>
      </c>
      <c r="G350">
        <v>0</v>
      </c>
      <c r="H350">
        <v>0</v>
      </c>
      <c r="I350" s="58" t="s">
        <v>1937</v>
      </c>
      <c r="J350">
        <v>100</v>
      </c>
    </row>
    <row r="351" spans="1:10" x14ac:dyDescent="0.2">
      <c r="A351" t="s">
        <v>1019</v>
      </c>
      <c r="B351" t="s">
        <v>664</v>
      </c>
      <c r="C351" t="s">
        <v>676</v>
      </c>
      <c r="D351">
        <v>0</v>
      </c>
      <c r="E351">
        <v>0</v>
      </c>
      <c r="F351">
        <v>0</v>
      </c>
      <c r="G351">
        <v>0</v>
      </c>
      <c r="H351">
        <v>0</v>
      </c>
      <c r="I351" s="58" t="s">
        <v>1949</v>
      </c>
      <c r="J351">
        <v>89.999927100351201</v>
      </c>
    </row>
    <row r="352" spans="1:10" x14ac:dyDescent="0.2">
      <c r="A352" t="s">
        <v>1029</v>
      </c>
      <c r="B352" t="s">
        <v>665</v>
      </c>
      <c r="C352" t="s">
        <v>676</v>
      </c>
      <c r="D352">
        <v>0</v>
      </c>
      <c r="E352">
        <v>0</v>
      </c>
      <c r="F352">
        <v>0</v>
      </c>
      <c r="G352">
        <v>0</v>
      </c>
      <c r="H352">
        <v>0</v>
      </c>
      <c r="I352" s="58" t="s">
        <v>1961</v>
      </c>
      <c r="J352">
        <v>0</v>
      </c>
    </row>
    <row r="353" spans="1:10" x14ac:dyDescent="0.2">
      <c r="A353" t="s">
        <v>1612</v>
      </c>
      <c r="B353" t="s">
        <v>1526</v>
      </c>
      <c r="C353" t="s">
        <v>676</v>
      </c>
      <c r="D353">
        <v>0</v>
      </c>
      <c r="E353">
        <v>0</v>
      </c>
      <c r="F353">
        <v>0</v>
      </c>
      <c r="G353">
        <v>0</v>
      </c>
      <c r="H353">
        <v>0</v>
      </c>
      <c r="I353" s="58" t="s">
        <v>1616</v>
      </c>
      <c r="J353">
        <v>16</v>
      </c>
    </row>
    <row r="354" spans="1:10" x14ac:dyDescent="0.2">
      <c r="A354" t="s">
        <v>1591</v>
      </c>
      <c r="B354" t="s">
        <v>1512</v>
      </c>
      <c r="C354" t="s">
        <v>676</v>
      </c>
      <c r="D354">
        <v>0</v>
      </c>
      <c r="E354">
        <v>0</v>
      </c>
      <c r="F354">
        <v>0</v>
      </c>
      <c r="G354">
        <v>0</v>
      </c>
      <c r="H354">
        <v>0</v>
      </c>
      <c r="I354" s="58" t="s">
        <v>1972</v>
      </c>
      <c r="J354">
        <v>66.666641082135101</v>
      </c>
    </row>
    <row r="355" spans="1:10" x14ac:dyDescent="0.2">
      <c r="A355" t="s">
        <v>1053</v>
      </c>
      <c r="B355" t="s">
        <v>685</v>
      </c>
      <c r="C355" t="s">
        <v>676</v>
      </c>
      <c r="D355">
        <v>0</v>
      </c>
      <c r="E355">
        <v>0</v>
      </c>
      <c r="F355">
        <v>0</v>
      </c>
      <c r="G355">
        <v>0</v>
      </c>
      <c r="H355">
        <v>0</v>
      </c>
      <c r="I355" s="58" t="s">
        <v>2015</v>
      </c>
      <c r="J355">
        <v>-56</v>
      </c>
    </row>
    <row r="356" spans="1:10" x14ac:dyDescent="0.2">
      <c r="A356" t="s">
        <v>1000</v>
      </c>
      <c r="B356" t="s">
        <v>662</v>
      </c>
      <c r="C356" t="s">
        <v>676</v>
      </c>
      <c r="D356">
        <v>0</v>
      </c>
      <c r="E356">
        <v>0</v>
      </c>
      <c r="F356">
        <v>0</v>
      </c>
      <c r="G356">
        <v>0</v>
      </c>
      <c r="H356">
        <v>0</v>
      </c>
      <c r="I356" s="58" t="s">
        <v>1929</v>
      </c>
      <c r="J356">
        <v>-59.047566819085702</v>
      </c>
    </row>
    <row r="357" spans="1:10" x14ac:dyDescent="0.2">
      <c r="A357" t="s">
        <v>1047</v>
      </c>
      <c r="B357" t="s">
        <v>639</v>
      </c>
      <c r="C357" t="s">
        <v>677</v>
      </c>
      <c r="D357">
        <v>0</v>
      </c>
      <c r="E357">
        <v>0</v>
      </c>
      <c r="F357">
        <v>0</v>
      </c>
      <c r="G357">
        <v>0</v>
      </c>
      <c r="H357">
        <v>0</v>
      </c>
      <c r="I357" s="58" t="s">
        <v>1995</v>
      </c>
      <c r="J357">
        <v>16</v>
      </c>
    </row>
    <row r="358" spans="1:10" x14ac:dyDescent="0.2">
      <c r="A358" t="s">
        <v>1050</v>
      </c>
      <c r="B358" t="s">
        <v>642</v>
      </c>
      <c r="C358" t="s">
        <v>677</v>
      </c>
      <c r="D358">
        <v>0</v>
      </c>
      <c r="E358">
        <v>0</v>
      </c>
      <c r="F358">
        <v>0</v>
      </c>
      <c r="G358">
        <v>0</v>
      </c>
      <c r="H358">
        <v>0</v>
      </c>
      <c r="I358" s="58" t="s">
        <v>2000</v>
      </c>
      <c r="J358">
        <v>16</v>
      </c>
    </row>
    <row r="359" spans="1:10" x14ac:dyDescent="0.2">
      <c r="A359" t="s">
        <v>1010</v>
      </c>
      <c r="B359" t="s">
        <v>663</v>
      </c>
      <c r="C359" t="s">
        <v>677</v>
      </c>
      <c r="D359">
        <v>0</v>
      </c>
      <c r="E359">
        <v>0</v>
      </c>
      <c r="F359">
        <v>0</v>
      </c>
      <c r="G359">
        <v>0</v>
      </c>
      <c r="H359">
        <v>0</v>
      </c>
      <c r="I359" s="58" t="s">
        <v>1938</v>
      </c>
      <c r="J359">
        <v>100</v>
      </c>
    </row>
    <row r="360" spans="1:10" x14ac:dyDescent="0.2">
      <c r="A360" t="s">
        <v>1020</v>
      </c>
      <c r="B360" t="s">
        <v>664</v>
      </c>
      <c r="C360" t="s">
        <v>677</v>
      </c>
      <c r="D360">
        <v>0</v>
      </c>
      <c r="E360">
        <v>0</v>
      </c>
      <c r="F360">
        <v>0</v>
      </c>
      <c r="G360">
        <v>0</v>
      </c>
      <c r="H360">
        <v>0</v>
      </c>
      <c r="I360" s="58" t="s">
        <v>1950</v>
      </c>
      <c r="J360">
        <v>99.999900000339295</v>
      </c>
    </row>
    <row r="361" spans="1:10" x14ac:dyDescent="0.2">
      <c r="A361" t="s">
        <v>1030</v>
      </c>
      <c r="B361" t="s">
        <v>665</v>
      </c>
      <c r="C361" t="s">
        <v>677</v>
      </c>
      <c r="D361">
        <v>0</v>
      </c>
      <c r="E361">
        <v>0</v>
      </c>
      <c r="F361">
        <v>0</v>
      </c>
      <c r="G361">
        <v>0</v>
      </c>
      <c r="H361">
        <v>0</v>
      </c>
      <c r="I361" s="58" t="s">
        <v>1962</v>
      </c>
      <c r="J361" s="59">
        <v>76.666666668622099</v>
      </c>
    </row>
    <row r="362" spans="1:10" x14ac:dyDescent="0.2">
      <c r="A362" t="s">
        <v>1614</v>
      </c>
      <c r="B362" t="s">
        <v>1527</v>
      </c>
      <c r="C362" t="s">
        <v>677</v>
      </c>
      <c r="D362">
        <v>0</v>
      </c>
      <c r="E362">
        <v>0</v>
      </c>
      <c r="F362">
        <v>0</v>
      </c>
      <c r="G362">
        <v>0</v>
      </c>
      <c r="H362">
        <v>0</v>
      </c>
      <c r="I362" s="58" t="s">
        <v>2007</v>
      </c>
      <c r="J362" s="59">
        <v>16</v>
      </c>
    </row>
    <row r="363" spans="1:10" x14ac:dyDescent="0.2">
      <c r="A363" t="s">
        <v>1593</v>
      </c>
      <c r="B363" t="s">
        <v>1512</v>
      </c>
      <c r="C363" t="s">
        <v>677</v>
      </c>
      <c r="D363">
        <v>0</v>
      </c>
      <c r="E363">
        <v>0</v>
      </c>
      <c r="F363">
        <v>0</v>
      </c>
      <c r="G363">
        <v>0</v>
      </c>
      <c r="H363">
        <v>0</v>
      </c>
      <c r="I363" s="58" t="s">
        <v>1973</v>
      </c>
      <c r="J363">
        <v>99.999982000675004</v>
      </c>
    </row>
    <row r="364" spans="1:10" x14ac:dyDescent="0.2">
      <c r="A364" t="s">
        <v>1055</v>
      </c>
      <c r="B364" t="s">
        <v>686</v>
      </c>
      <c r="C364" t="s">
        <v>677</v>
      </c>
      <c r="D364">
        <v>0</v>
      </c>
      <c r="E364">
        <v>0</v>
      </c>
      <c r="F364">
        <v>0</v>
      </c>
      <c r="G364">
        <v>0</v>
      </c>
      <c r="H364">
        <v>0</v>
      </c>
      <c r="I364" s="58" t="s">
        <v>2017</v>
      </c>
      <c r="J364" s="59">
        <v>-56</v>
      </c>
    </row>
    <row r="365" spans="1:10" x14ac:dyDescent="0.2">
      <c r="A365" t="s">
        <v>1001</v>
      </c>
      <c r="B365" t="s">
        <v>662</v>
      </c>
      <c r="C365" t="s">
        <v>677</v>
      </c>
      <c r="D365">
        <v>0</v>
      </c>
      <c r="E365">
        <v>0</v>
      </c>
      <c r="F365">
        <v>0</v>
      </c>
      <c r="G365">
        <v>0</v>
      </c>
      <c r="H365">
        <v>0</v>
      </c>
      <c r="I365" s="58" t="s">
        <v>1596</v>
      </c>
      <c r="J365" s="59">
        <v>-93.333277401449394</v>
      </c>
    </row>
    <row r="366" spans="1:10" x14ac:dyDescent="0.2">
      <c r="A366" t="s">
        <v>1996</v>
      </c>
      <c r="B366" t="s">
        <v>1765</v>
      </c>
      <c r="C366" t="s">
        <v>1767</v>
      </c>
      <c r="D366">
        <v>0</v>
      </c>
      <c r="E366">
        <v>0</v>
      </c>
      <c r="F366">
        <v>0</v>
      </c>
      <c r="G366">
        <v>0</v>
      </c>
      <c r="H366">
        <v>0</v>
      </c>
      <c r="I366" s="58" t="s">
        <v>1997</v>
      </c>
      <c r="J366" s="59">
        <v>16</v>
      </c>
    </row>
    <row r="367" spans="1:10" x14ac:dyDescent="0.2">
      <c r="A367" t="s">
        <v>2001</v>
      </c>
      <c r="B367" t="s">
        <v>1766</v>
      </c>
      <c r="C367" t="s">
        <v>1767</v>
      </c>
      <c r="D367">
        <v>0</v>
      </c>
      <c r="E367">
        <v>0</v>
      </c>
      <c r="F367">
        <v>0</v>
      </c>
      <c r="G367">
        <v>0</v>
      </c>
      <c r="H367">
        <v>0</v>
      </c>
      <c r="I367" s="58" t="s">
        <v>2002</v>
      </c>
      <c r="J367" s="59">
        <v>16</v>
      </c>
    </row>
    <row r="368" spans="1:10" x14ac:dyDescent="0.2">
      <c r="A368" t="s">
        <v>1939</v>
      </c>
      <c r="B368" t="s">
        <v>663</v>
      </c>
      <c r="C368" t="s">
        <v>1767</v>
      </c>
      <c r="D368">
        <v>0</v>
      </c>
      <c r="E368">
        <v>0</v>
      </c>
      <c r="F368">
        <v>0</v>
      </c>
      <c r="G368">
        <v>0</v>
      </c>
      <c r="H368">
        <v>0</v>
      </c>
      <c r="I368" s="58" t="s">
        <v>1940</v>
      </c>
      <c r="J368" s="59">
        <v>100</v>
      </c>
    </row>
    <row r="369" spans="1:10" x14ac:dyDescent="0.2">
      <c r="A369" t="s">
        <v>1951</v>
      </c>
      <c r="B369" t="s">
        <v>664</v>
      </c>
      <c r="C369" t="s">
        <v>1767</v>
      </c>
      <c r="D369">
        <v>0</v>
      </c>
      <c r="E369">
        <v>0</v>
      </c>
      <c r="F369">
        <v>0</v>
      </c>
      <c r="G369">
        <v>0</v>
      </c>
      <c r="H369">
        <v>0</v>
      </c>
      <c r="I369" s="58" t="s">
        <v>1952</v>
      </c>
      <c r="J369" s="59">
        <v>99.999900000339295</v>
      </c>
    </row>
    <row r="370" spans="1:10" x14ac:dyDescent="0.2">
      <c r="A370" t="s">
        <v>1963</v>
      </c>
      <c r="B370" t="s">
        <v>665</v>
      </c>
      <c r="C370" t="s">
        <v>1767</v>
      </c>
      <c r="D370">
        <v>0</v>
      </c>
      <c r="E370">
        <v>0</v>
      </c>
      <c r="F370">
        <v>0</v>
      </c>
      <c r="G370">
        <v>0</v>
      </c>
      <c r="H370">
        <v>0</v>
      </c>
      <c r="I370" s="58" t="s">
        <v>1964</v>
      </c>
      <c r="J370" s="59">
        <v>99.999900000339295</v>
      </c>
    </row>
    <row r="371" spans="1:10" x14ac:dyDescent="0.2">
      <c r="A371" t="s">
        <v>2009</v>
      </c>
      <c r="B371" t="s">
        <v>1769</v>
      </c>
      <c r="C371" t="s">
        <v>1767</v>
      </c>
      <c r="D371">
        <v>0</v>
      </c>
      <c r="E371">
        <v>0</v>
      </c>
      <c r="F371">
        <v>0</v>
      </c>
      <c r="G371">
        <v>0</v>
      </c>
      <c r="H371">
        <v>0</v>
      </c>
      <c r="I371" s="58" t="s">
        <v>2010</v>
      </c>
      <c r="J371">
        <v>16</v>
      </c>
    </row>
    <row r="372" spans="1:10" x14ac:dyDescent="0.2">
      <c r="A372" t="s">
        <v>1974</v>
      </c>
      <c r="B372" t="s">
        <v>1512</v>
      </c>
      <c r="C372" t="s">
        <v>1767</v>
      </c>
      <c r="D372">
        <v>0</v>
      </c>
      <c r="E372">
        <v>0</v>
      </c>
      <c r="F372">
        <v>0</v>
      </c>
      <c r="G372">
        <v>0</v>
      </c>
      <c r="H372">
        <v>0</v>
      </c>
      <c r="I372" s="58" t="s">
        <v>1975</v>
      </c>
      <c r="J372" s="59">
        <v>99.999951934027607</v>
      </c>
    </row>
    <row r="373" spans="1:10" x14ac:dyDescent="0.2">
      <c r="A373" t="s">
        <v>2019</v>
      </c>
      <c r="B373" t="s">
        <v>1770</v>
      </c>
      <c r="C373" t="s">
        <v>1767</v>
      </c>
      <c r="D373">
        <v>0</v>
      </c>
      <c r="E373">
        <v>0</v>
      </c>
      <c r="F373">
        <v>0</v>
      </c>
      <c r="G373">
        <v>0</v>
      </c>
      <c r="H373">
        <v>0</v>
      </c>
      <c r="I373" s="58" t="s">
        <v>2020</v>
      </c>
      <c r="J373" s="59">
        <v>-56</v>
      </c>
    </row>
    <row r="374" spans="1:10" x14ac:dyDescent="0.2">
      <c r="A374" t="s">
        <v>1930</v>
      </c>
      <c r="B374" t="s">
        <v>662</v>
      </c>
      <c r="C374" t="s">
        <v>1767</v>
      </c>
      <c r="D374">
        <v>0</v>
      </c>
      <c r="E374">
        <v>0</v>
      </c>
      <c r="F374">
        <v>0</v>
      </c>
      <c r="G374">
        <v>0</v>
      </c>
      <c r="H374">
        <v>0</v>
      </c>
      <c r="I374" s="58" t="s">
        <v>1598</v>
      </c>
      <c r="J374">
        <v>-99.999921719134804</v>
      </c>
    </row>
    <row r="375" spans="1:10" x14ac:dyDescent="0.2">
      <c r="A375" t="s">
        <v>1014</v>
      </c>
      <c r="B375" t="s">
        <v>663</v>
      </c>
      <c r="C375" t="s">
        <v>682</v>
      </c>
      <c r="D375">
        <v>0</v>
      </c>
      <c r="E375">
        <v>0</v>
      </c>
      <c r="F375">
        <v>0</v>
      </c>
      <c r="G375">
        <v>0</v>
      </c>
      <c r="H375">
        <v>0</v>
      </c>
      <c r="I375" s="58" t="s">
        <v>1944</v>
      </c>
      <c r="J375" s="59">
        <v>-1</v>
      </c>
    </row>
    <row r="376" spans="1:10" x14ac:dyDescent="0.2">
      <c r="A376" t="s">
        <v>1024</v>
      </c>
      <c r="B376" t="s">
        <v>664</v>
      </c>
      <c r="C376" t="s">
        <v>682</v>
      </c>
      <c r="D376">
        <v>0</v>
      </c>
      <c r="E376">
        <v>0</v>
      </c>
      <c r="F376">
        <v>0</v>
      </c>
      <c r="G376">
        <v>0</v>
      </c>
      <c r="H376">
        <v>0</v>
      </c>
      <c r="I376" s="58" t="s">
        <v>1956</v>
      </c>
      <c r="J376" s="59">
        <v>-1</v>
      </c>
    </row>
    <row r="377" spans="1:10" x14ac:dyDescent="0.2">
      <c r="A377" t="s">
        <v>1034</v>
      </c>
      <c r="B377" t="s">
        <v>665</v>
      </c>
      <c r="C377" t="s">
        <v>682</v>
      </c>
      <c r="D377">
        <v>0</v>
      </c>
      <c r="E377">
        <v>0</v>
      </c>
      <c r="F377">
        <v>0</v>
      </c>
      <c r="G377">
        <v>0</v>
      </c>
      <c r="H377">
        <v>0</v>
      </c>
      <c r="I377" s="58" t="s">
        <v>1968</v>
      </c>
      <c r="J377" s="59">
        <v>-1</v>
      </c>
    </row>
    <row r="378" spans="1:10" x14ac:dyDescent="0.2">
      <c r="A378" t="s">
        <v>1600</v>
      </c>
      <c r="B378" t="s">
        <v>1512</v>
      </c>
      <c r="C378" t="s">
        <v>682</v>
      </c>
      <c r="D378">
        <v>0</v>
      </c>
      <c r="E378">
        <v>0</v>
      </c>
      <c r="F378">
        <v>0</v>
      </c>
      <c r="G378">
        <v>0</v>
      </c>
      <c r="H378">
        <v>0</v>
      </c>
      <c r="I378" s="58" t="s">
        <v>1979</v>
      </c>
      <c r="J378" s="59">
        <v>-1</v>
      </c>
    </row>
    <row r="379" spans="1:10" x14ac:dyDescent="0.2">
      <c r="A379" t="s">
        <v>1005</v>
      </c>
      <c r="B379" t="s">
        <v>662</v>
      </c>
      <c r="C379" t="s">
        <v>682</v>
      </c>
      <c r="D379">
        <v>0</v>
      </c>
      <c r="E379">
        <v>0</v>
      </c>
      <c r="F379">
        <v>0</v>
      </c>
      <c r="G379">
        <v>0</v>
      </c>
      <c r="H379">
        <v>0</v>
      </c>
      <c r="I379" s="58" t="s">
        <v>1933</v>
      </c>
      <c r="J379" s="59">
        <v>1</v>
      </c>
    </row>
    <row r="380" spans="1:10" x14ac:dyDescent="0.2">
      <c r="A380" t="s">
        <v>975</v>
      </c>
      <c r="B380" t="s">
        <v>547</v>
      </c>
      <c r="C380" t="s">
        <v>658</v>
      </c>
      <c r="D380">
        <v>0</v>
      </c>
      <c r="E380">
        <v>0</v>
      </c>
      <c r="F380">
        <v>0</v>
      </c>
      <c r="G380">
        <v>0</v>
      </c>
      <c r="H380">
        <v>0</v>
      </c>
      <c r="I380" s="58" t="s">
        <v>1899</v>
      </c>
      <c r="J380" s="59">
        <v>-1</v>
      </c>
    </row>
    <row r="381" spans="1:10" x14ac:dyDescent="0.2">
      <c r="A381" t="s">
        <v>971</v>
      </c>
      <c r="B381" t="s">
        <v>662</v>
      </c>
      <c r="C381" t="s">
        <v>658</v>
      </c>
      <c r="D381">
        <v>0</v>
      </c>
      <c r="E381">
        <v>0</v>
      </c>
      <c r="F381">
        <v>0</v>
      </c>
      <c r="G381">
        <v>0</v>
      </c>
      <c r="H381">
        <v>0</v>
      </c>
      <c r="I381" s="58" t="s">
        <v>1897</v>
      </c>
      <c r="J381" s="59">
        <v>1</v>
      </c>
    </row>
    <row r="382" spans="1:10" x14ac:dyDescent="0.2">
      <c r="A382" t="s">
        <v>988</v>
      </c>
      <c r="B382" t="s">
        <v>571</v>
      </c>
      <c r="C382" t="s">
        <v>672</v>
      </c>
      <c r="D382">
        <v>0</v>
      </c>
      <c r="E382">
        <v>0</v>
      </c>
      <c r="F382">
        <v>0</v>
      </c>
      <c r="G382">
        <v>0</v>
      </c>
      <c r="H382">
        <v>0</v>
      </c>
      <c r="I382" s="58" t="s">
        <v>1920</v>
      </c>
      <c r="J382" s="59">
        <v>8</v>
      </c>
    </row>
    <row r="383" spans="1:10" x14ac:dyDescent="0.2">
      <c r="A383" t="s">
        <v>990</v>
      </c>
      <c r="B383" t="s">
        <v>578</v>
      </c>
      <c r="C383" t="s">
        <v>672</v>
      </c>
      <c r="D383">
        <v>0</v>
      </c>
      <c r="E383">
        <v>0</v>
      </c>
      <c r="F383">
        <v>0</v>
      </c>
      <c r="G383">
        <v>0</v>
      </c>
      <c r="H383">
        <v>0</v>
      </c>
      <c r="I383" s="58" t="s">
        <v>1580</v>
      </c>
      <c r="J383" s="59">
        <v>16</v>
      </c>
    </row>
    <row r="384" spans="1:10" x14ac:dyDescent="0.2">
      <c r="A384" t="s">
        <v>993</v>
      </c>
      <c r="B384" t="s">
        <v>584</v>
      </c>
      <c r="C384" t="s">
        <v>672</v>
      </c>
      <c r="D384">
        <v>0</v>
      </c>
      <c r="E384">
        <v>0</v>
      </c>
      <c r="F384">
        <v>0</v>
      </c>
      <c r="G384">
        <v>0</v>
      </c>
      <c r="H384">
        <v>0</v>
      </c>
      <c r="I384" s="58" t="s">
        <v>1581</v>
      </c>
      <c r="J384" s="59">
        <v>16</v>
      </c>
    </row>
    <row r="385" spans="1:10" x14ac:dyDescent="0.2">
      <c r="A385" t="s">
        <v>1006</v>
      </c>
      <c r="B385" t="s">
        <v>663</v>
      </c>
      <c r="C385" t="s">
        <v>672</v>
      </c>
      <c r="D385">
        <v>0</v>
      </c>
      <c r="E385">
        <v>0</v>
      </c>
      <c r="F385">
        <v>0</v>
      </c>
      <c r="G385">
        <v>0</v>
      </c>
      <c r="H385">
        <v>0</v>
      </c>
      <c r="I385" s="58" t="s">
        <v>1934</v>
      </c>
      <c r="J385" s="59">
        <v>0.78691463946754203</v>
      </c>
    </row>
    <row r="386" spans="1:10" x14ac:dyDescent="0.2">
      <c r="A386" t="s">
        <v>1015</v>
      </c>
      <c r="B386" t="s">
        <v>664</v>
      </c>
      <c r="C386" t="s">
        <v>672</v>
      </c>
      <c r="D386">
        <v>0</v>
      </c>
      <c r="E386">
        <v>0</v>
      </c>
      <c r="F386">
        <v>0</v>
      </c>
      <c r="G386">
        <v>0</v>
      </c>
      <c r="H386">
        <v>0</v>
      </c>
      <c r="I386" s="58" t="s">
        <v>1945</v>
      </c>
      <c r="J386">
        <v>0.83893847024218304</v>
      </c>
    </row>
    <row r="387" spans="1:10" x14ac:dyDescent="0.2">
      <c r="A387" t="s">
        <v>1025</v>
      </c>
      <c r="B387" t="s">
        <v>665</v>
      </c>
      <c r="C387" t="s">
        <v>672</v>
      </c>
      <c r="D387">
        <v>0</v>
      </c>
      <c r="E387">
        <v>0</v>
      </c>
      <c r="F387">
        <v>0</v>
      </c>
      <c r="G387">
        <v>0</v>
      </c>
      <c r="H387">
        <v>0</v>
      </c>
      <c r="I387" s="58" t="s">
        <v>1957</v>
      </c>
      <c r="J387" s="59">
        <v>0.85566489680874602</v>
      </c>
    </row>
    <row r="388" spans="1:10" x14ac:dyDescent="0.2">
      <c r="A388" t="s">
        <v>1585</v>
      </c>
      <c r="B388" t="s">
        <v>1512</v>
      </c>
      <c r="C388" t="s">
        <v>672</v>
      </c>
      <c r="D388">
        <v>0</v>
      </c>
      <c r="E388">
        <v>0</v>
      </c>
      <c r="F388">
        <v>0</v>
      </c>
      <c r="G388">
        <v>0</v>
      </c>
      <c r="H388">
        <v>0</v>
      </c>
      <c r="I388" s="58" t="s">
        <v>1602</v>
      </c>
      <c r="J388" s="59">
        <v>0.8</v>
      </c>
    </row>
    <row r="389" spans="1:10" x14ac:dyDescent="0.2">
      <c r="A389" t="s">
        <v>1582</v>
      </c>
      <c r="B389" t="s">
        <v>1514</v>
      </c>
      <c r="C389" t="s">
        <v>672</v>
      </c>
      <c r="D389">
        <v>0</v>
      </c>
      <c r="E389">
        <v>0</v>
      </c>
      <c r="F389">
        <v>0</v>
      </c>
      <c r="G389">
        <v>0</v>
      </c>
      <c r="H389">
        <v>0</v>
      </c>
      <c r="I389" s="58" t="s">
        <v>1926</v>
      </c>
      <c r="J389" s="59">
        <v>16</v>
      </c>
    </row>
    <row r="390" spans="1:10" x14ac:dyDescent="0.2">
      <c r="A390" t="s">
        <v>996</v>
      </c>
      <c r="B390" t="s">
        <v>662</v>
      </c>
      <c r="C390" t="s">
        <v>672</v>
      </c>
      <c r="D390">
        <v>0</v>
      </c>
      <c r="E390">
        <v>0</v>
      </c>
      <c r="F390">
        <v>0</v>
      </c>
      <c r="G390">
        <v>0</v>
      </c>
      <c r="H390">
        <v>0</v>
      </c>
      <c r="I390" s="58" t="s">
        <v>1588</v>
      </c>
      <c r="J390">
        <v>-0.8251601962242</v>
      </c>
    </row>
    <row r="391" spans="1:10" x14ac:dyDescent="0.2">
      <c r="A391" t="s">
        <v>1035</v>
      </c>
      <c r="B391" t="s">
        <v>667</v>
      </c>
      <c r="C391" t="s">
        <v>672</v>
      </c>
      <c r="D391">
        <v>0</v>
      </c>
      <c r="E391">
        <v>0</v>
      </c>
      <c r="F391">
        <v>0</v>
      </c>
      <c r="G391">
        <v>0</v>
      </c>
      <c r="H391">
        <v>0</v>
      </c>
      <c r="I391" s="58" t="s">
        <v>1980</v>
      </c>
      <c r="J391" s="59">
        <v>-56</v>
      </c>
    </row>
    <row r="392" spans="1:10" x14ac:dyDescent="0.2">
      <c r="A392" t="s">
        <v>989</v>
      </c>
      <c r="B392" t="s">
        <v>571</v>
      </c>
      <c r="C392" t="s">
        <v>673</v>
      </c>
      <c r="D392">
        <v>0</v>
      </c>
      <c r="E392">
        <v>0</v>
      </c>
      <c r="F392">
        <v>0</v>
      </c>
      <c r="G392">
        <v>0</v>
      </c>
      <c r="H392">
        <v>0</v>
      </c>
      <c r="I392" s="58" t="s">
        <v>1921</v>
      </c>
      <c r="J392" s="59">
        <v>19587.487361915199</v>
      </c>
    </row>
    <row r="393" spans="1:10" x14ac:dyDescent="0.2">
      <c r="A393" t="s">
        <v>1038</v>
      </c>
      <c r="B393" t="s">
        <v>572</v>
      </c>
      <c r="C393" t="s">
        <v>673</v>
      </c>
      <c r="D393">
        <v>0</v>
      </c>
      <c r="E393">
        <v>0</v>
      </c>
      <c r="F393">
        <v>0</v>
      </c>
      <c r="G393">
        <v>0</v>
      </c>
      <c r="H393">
        <v>0</v>
      </c>
      <c r="I393" s="58" t="s">
        <v>1983</v>
      </c>
      <c r="J393">
        <v>6.2953171157403398</v>
      </c>
    </row>
    <row r="394" spans="1:10" x14ac:dyDescent="0.2">
      <c r="A394" t="s">
        <v>991</v>
      </c>
      <c r="B394" t="s">
        <v>578</v>
      </c>
      <c r="C394" t="s">
        <v>673</v>
      </c>
      <c r="D394">
        <v>0</v>
      </c>
      <c r="E394">
        <v>0</v>
      </c>
      <c r="F394">
        <v>0</v>
      </c>
      <c r="G394">
        <v>0</v>
      </c>
      <c r="H394">
        <v>0</v>
      </c>
      <c r="I394" s="58" t="s">
        <v>1922</v>
      </c>
      <c r="J394">
        <v>63999.922227921903</v>
      </c>
    </row>
    <row r="395" spans="1:10" x14ac:dyDescent="0.2">
      <c r="A395" t="s">
        <v>1039</v>
      </c>
      <c r="B395" t="s">
        <v>579</v>
      </c>
      <c r="C395" t="s">
        <v>673</v>
      </c>
      <c r="D395">
        <v>0</v>
      </c>
      <c r="E395">
        <v>0</v>
      </c>
      <c r="F395">
        <v>0</v>
      </c>
      <c r="G395">
        <v>0</v>
      </c>
      <c r="H395">
        <v>0</v>
      </c>
      <c r="I395" s="58" t="s">
        <v>1984</v>
      </c>
      <c r="J395">
        <v>13.4230155238749</v>
      </c>
    </row>
    <row r="396" spans="1:10" x14ac:dyDescent="0.2">
      <c r="A396" t="s">
        <v>994</v>
      </c>
      <c r="B396" t="s">
        <v>584</v>
      </c>
      <c r="C396" t="s">
        <v>673</v>
      </c>
      <c r="D396">
        <v>0</v>
      </c>
      <c r="E396">
        <v>0</v>
      </c>
      <c r="F396">
        <v>0</v>
      </c>
      <c r="G396">
        <v>0</v>
      </c>
      <c r="H396">
        <v>0</v>
      </c>
      <c r="I396" s="58" t="s">
        <v>1924</v>
      </c>
      <c r="J396">
        <v>88874.146543461393</v>
      </c>
    </row>
    <row r="397" spans="1:10" x14ac:dyDescent="0.2">
      <c r="A397" t="s">
        <v>1040</v>
      </c>
      <c r="B397" t="s">
        <v>585</v>
      </c>
      <c r="C397" t="s">
        <v>673</v>
      </c>
      <c r="D397">
        <v>0</v>
      </c>
      <c r="E397">
        <v>0</v>
      </c>
      <c r="F397">
        <v>0</v>
      </c>
      <c r="G397">
        <v>0</v>
      </c>
      <c r="H397">
        <v>0</v>
      </c>
      <c r="I397" s="58" t="s">
        <v>1985</v>
      </c>
      <c r="J397">
        <v>13.690638348939901</v>
      </c>
    </row>
    <row r="398" spans="1:10" x14ac:dyDescent="0.2">
      <c r="A398" t="s">
        <v>1007</v>
      </c>
      <c r="B398" t="s">
        <v>663</v>
      </c>
      <c r="C398" t="s">
        <v>673</v>
      </c>
      <c r="D398">
        <v>0</v>
      </c>
      <c r="E398">
        <v>0</v>
      </c>
      <c r="F398">
        <v>0</v>
      </c>
      <c r="G398">
        <v>0</v>
      </c>
      <c r="H398">
        <v>0</v>
      </c>
      <c r="I398" s="58" t="s">
        <v>1935</v>
      </c>
      <c r="J398">
        <v>1926.71006943457</v>
      </c>
    </row>
    <row r="399" spans="1:10" x14ac:dyDescent="0.2">
      <c r="A399" t="s">
        <v>1016</v>
      </c>
      <c r="B399" t="s">
        <v>664</v>
      </c>
      <c r="C399" t="s">
        <v>673</v>
      </c>
      <c r="D399">
        <v>0</v>
      </c>
      <c r="E399">
        <v>0</v>
      </c>
      <c r="F399">
        <v>0</v>
      </c>
      <c r="G399">
        <v>0</v>
      </c>
      <c r="H399">
        <v>0</v>
      </c>
      <c r="I399" s="58" t="s">
        <v>1946</v>
      </c>
      <c r="J399">
        <v>3355.7498030944698</v>
      </c>
    </row>
    <row r="400" spans="1:10" x14ac:dyDescent="0.2">
      <c r="A400" t="s">
        <v>1026</v>
      </c>
      <c r="B400" t="s">
        <v>665</v>
      </c>
      <c r="C400" t="s">
        <v>673</v>
      </c>
      <c r="D400">
        <v>0</v>
      </c>
      <c r="E400">
        <v>0</v>
      </c>
      <c r="F400">
        <v>0</v>
      </c>
      <c r="G400">
        <v>0</v>
      </c>
      <c r="H400">
        <v>0</v>
      </c>
      <c r="I400" s="58" t="s">
        <v>1958</v>
      </c>
      <c r="J400">
        <v>4752.9054644422704</v>
      </c>
    </row>
    <row r="401" spans="1:10" x14ac:dyDescent="0.2">
      <c r="A401" t="s">
        <v>1586</v>
      </c>
      <c r="B401" t="s">
        <v>1512</v>
      </c>
      <c r="C401" t="s">
        <v>673</v>
      </c>
      <c r="D401">
        <v>0</v>
      </c>
      <c r="E401">
        <v>0</v>
      </c>
      <c r="F401">
        <v>0</v>
      </c>
      <c r="G401">
        <v>0</v>
      </c>
      <c r="H401">
        <v>0</v>
      </c>
      <c r="I401" s="58" t="s">
        <v>1969</v>
      </c>
      <c r="J401" s="59">
        <v>8000</v>
      </c>
    </row>
    <row r="402" spans="1:10" x14ac:dyDescent="0.2">
      <c r="A402" t="s">
        <v>1583</v>
      </c>
      <c r="B402" t="s">
        <v>1514</v>
      </c>
      <c r="C402" t="s">
        <v>673</v>
      </c>
      <c r="D402">
        <v>0</v>
      </c>
      <c r="E402">
        <v>0</v>
      </c>
      <c r="F402">
        <v>0</v>
      </c>
      <c r="G402">
        <v>0</v>
      </c>
      <c r="H402">
        <v>0</v>
      </c>
      <c r="I402" s="58" t="s">
        <v>1927</v>
      </c>
      <c r="J402">
        <v>160000</v>
      </c>
    </row>
    <row r="403" spans="1:10" x14ac:dyDescent="0.2">
      <c r="A403" t="s">
        <v>1603</v>
      </c>
      <c r="B403" t="s">
        <v>1515</v>
      </c>
      <c r="C403" t="s">
        <v>673</v>
      </c>
      <c r="D403">
        <v>0</v>
      </c>
      <c r="E403">
        <v>0</v>
      </c>
      <c r="F403">
        <v>0</v>
      </c>
      <c r="G403">
        <v>0</v>
      </c>
      <c r="H403">
        <v>0</v>
      </c>
      <c r="I403" s="58" t="s">
        <v>1986</v>
      </c>
      <c r="J403">
        <v>12.8</v>
      </c>
    </row>
    <row r="404" spans="1:10" x14ac:dyDescent="0.2">
      <c r="A404" t="s">
        <v>997</v>
      </c>
      <c r="B404" t="s">
        <v>662</v>
      </c>
      <c r="C404" t="s">
        <v>673</v>
      </c>
      <c r="D404">
        <v>0</v>
      </c>
      <c r="E404">
        <v>0</v>
      </c>
      <c r="F404">
        <v>0</v>
      </c>
      <c r="G404">
        <v>0</v>
      </c>
      <c r="H404">
        <v>0</v>
      </c>
      <c r="I404" s="58" t="s">
        <v>1590</v>
      </c>
      <c r="J404">
        <v>-4877.7172292154301</v>
      </c>
    </row>
    <row r="405" spans="1:10" x14ac:dyDescent="0.2">
      <c r="A405" t="s">
        <v>1036</v>
      </c>
      <c r="B405" t="s">
        <v>667</v>
      </c>
      <c r="C405" t="s">
        <v>673</v>
      </c>
      <c r="D405">
        <v>0</v>
      </c>
      <c r="E405">
        <v>0</v>
      </c>
      <c r="F405">
        <v>0</v>
      </c>
      <c r="G405">
        <v>0</v>
      </c>
      <c r="H405">
        <v>0</v>
      </c>
      <c r="I405" s="58" t="s">
        <v>1981</v>
      </c>
      <c r="J405">
        <v>-331029.25478708802</v>
      </c>
    </row>
    <row r="406" spans="1:10" x14ac:dyDescent="0.2">
      <c r="A406" t="s">
        <v>1041</v>
      </c>
      <c r="B406" t="s">
        <v>668</v>
      </c>
      <c r="C406" t="s">
        <v>673</v>
      </c>
      <c r="D406">
        <v>0</v>
      </c>
      <c r="E406">
        <v>0</v>
      </c>
      <c r="F406">
        <v>0</v>
      </c>
      <c r="G406">
        <v>0</v>
      </c>
      <c r="H406">
        <v>0</v>
      </c>
      <c r="I406" s="58" t="s">
        <v>1988</v>
      </c>
      <c r="J406">
        <v>-46.208970988555201</v>
      </c>
    </row>
    <row r="407" spans="1:10" x14ac:dyDescent="0.2">
      <c r="A407" t="s">
        <v>1052</v>
      </c>
      <c r="B407" t="s">
        <v>684</v>
      </c>
      <c r="C407" t="s">
        <v>678</v>
      </c>
      <c r="D407">
        <v>0</v>
      </c>
      <c r="E407">
        <v>0</v>
      </c>
      <c r="F407">
        <v>0</v>
      </c>
      <c r="G407">
        <v>0</v>
      </c>
      <c r="H407">
        <v>0</v>
      </c>
      <c r="I407" s="58" t="s">
        <v>2014</v>
      </c>
      <c r="J407">
        <v>0</v>
      </c>
    </row>
    <row r="408" spans="1:10" x14ac:dyDescent="0.2">
      <c r="A408" t="s">
        <v>1054</v>
      </c>
      <c r="B408" t="s">
        <v>685</v>
      </c>
      <c r="C408" t="s">
        <v>678</v>
      </c>
      <c r="D408">
        <v>0</v>
      </c>
      <c r="E408">
        <v>0</v>
      </c>
      <c r="F408">
        <v>0</v>
      </c>
      <c r="G408">
        <v>0</v>
      </c>
      <c r="H408">
        <v>0</v>
      </c>
      <c r="I408" s="58" t="s">
        <v>2016</v>
      </c>
      <c r="J408">
        <v>0</v>
      </c>
    </row>
    <row r="409" spans="1:10" x14ac:dyDescent="0.2">
      <c r="A409" t="s">
        <v>1056</v>
      </c>
      <c r="B409" t="s">
        <v>686</v>
      </c>
      <c r="C409" t="s">
        <v>678</v>
      </c>
      <c r="D409">
        <v>0</v>
      </c>
      <c r="E409">
        <v>0</v>
      </c>
      <c r="F409">
        <v>0</v>
      </c>
      <c r="G409">
        <v>0</v>
      </c>
      <c r="H409">
        <v>0</v>
      </c>
      <c r="I409" s="58" t="s">
        <v>2018</v>
      </c>
      <c r="J409">
        <v>-6.74993957703796</v>
      </c>
    </row>
    <row r="410" spans="1:10" x14ac:dyDescent="0.2">
      <c r="A410" t="s">
        <v>2021</v>
      </c>
      <c r="B410" t="s">
        <v>1770</v>
      </c>
      <c r="C410" t="s">
        <v>678</v>
      </c>
      <c r="D410">
        <v>0</v>
      </c>
      <c r="E410">
        <v>0</v>
      </c>
      <c r="F410">
        <v>0</v>
      </c>
      <c r="G410">
        <v>0</v>
      </c>
      <c r="H410">
        <v>0</v>
      </c>
      <c r="I410" s="58" t="s">
        <v>2022</v>
      </c>
      <c r="J410" s="59">
        <v>-2.2500905941878102</v>
      </c>
    </row>
    <row r="411" spans="1:10" x14ac:dyDescent="0.2">
      <c r="A411" t="s">
        <v>1069</v>
      </c>
      <c r="B411" t="s">
        <v>669</v>
      </c>
      <c r="C411" t="s">
        <v>678</v>
      </c>
      <c r="D411">
        <v>0</v>
      </c>
      <c r="E411">
        <v>0</v>
      </c>
      <c r="F411">
        <v>0</v>
      </c>
      <c r="G411">
        <v>0</v>
      </c>
      <c r="H411">
        <v>0</v>
      </c>
      <c r="I411" s="58" t="s">
        <v>2044</v>
      </c>
      <c r="J411" s="59">
        <v>-1</v>
      </c>
    </row>
    <row r="412" spans="1:10" x14ac:dyDescent="0.2">
      <c r="A412" t="s">
        <v>1061</v>
      </c>
      <c r="B412" t="s">
        <v>574</v>
      </c>
      <c r="C412" t="s">
        <v>679</v>
      </c>
      <c r="D412">
        <v>0</v>
      </c>
      <c r="E412">
        <v>0</v>
      </c>
      <c r="F412">
        <v>0</v>
      </c>
      <c r="G412">
        <v>0</v>
      </c>
      <c r="H412">
        <v>0</v>
      </c>
      <c r="I412" s="58" t="s">
        <v>2027</v>
      </c>
      <c r="J412" s="59">
        <v>1.4861505085809099E-3</v>
      </c>
    </row>
    <row r="413" spans="1:10" x14ac:dyDescent="0.2">
      <c r="A413" t="s">
        <v>1062</v>
      </c>
      <c r="B413" t="s">
        <v>581</v>
      </c>
      <c r="C413" t="s">
        <v>679</v>
      </c>
      <c r="D413">
        <v>0</v>
      </c>
      <c r="E413">
        <v>0</v>
      </c>
      <c r="F413">
        <v>0</v>
      </c>
      <c r="G413">
        <v>0</v>
      </c>
      <c r="H413">
        <v>0</v>
      </c>
      <c r="I413" s="58" t="s">
        <v>2028</v>
      </c>
      <c r="J413" s="59">
        <v>4.86295352414454E-2</v>
      </c>
    </row>
    <row r="414" spans="1:10" x14ac:dyDescent="0.2">
      <c r="A414" t="s">
        <v>1063</v>
      </c>
      <c r="B414" t="s">
        <v>587</v>
      </c>
      <c r="C414" t="s">
        <v>679</v>
      </c>
      <c r="D414">
        <v>0</v>
      </c>
      <c r="E414">
        <v>0</v>
      </c>
      <c r="F414">
        <v>0</v>
      </c>
      <c r="G414">
        <v>0</v>
      </c>
      <c r="H414">
        <v>0</v>
      </c>
      <c r="I414" s="58" t="s">
        <v>2029</v>
      </c>
      <c r="J414" s="59">
        <v>0.795623217198555</v>
      </c>
    </row>
    <row r="415" spans="1:10" x14ac:dyDescent="0.2">
      <c r="A415" t="s">
        <v>1011</v>
      </c>
      <c r="B415" t="s">
        <v>663</v>
      </c>
      <c r="C415" t="s">
        <v>679</v>
      </c>
      <c r="D415">
        <v>0</v>
      </c>
      <c r="E415">
        <v>0</v>
      </c>
      <c r="F415">
        <v>0</v>
      </c>
      <c r="G415">
        <v>0</v>
      </c>
      <c r="H415">
        <v>0</v>
      </c>
      <c r="I415" s="58" t="s">
        <v>1941</v>
      </c>
      <c r="J415" s="59">
        <v>4.3448459050761199E-3</v>
      </c>
    </row>
    <row r="416" spans="1:10" x14ac:dyDescent="0.2">
      <c r="A416" t="s">
        <v>1021</v>
      </c>
      <c r="B416" t="s">
        <v>664</v>
      </c>
      <c r="C416" t="s">
        <v>679</v>
      </c>
      <c r="D416">
        <v>0</v>
      </c>
      <c r="E416">
        <v>0</v>
      </c>
      <c r="F416">
        <v>0</v>
      </c>
      <c r="G416">
        <v>0</v>
      </c>
      <c r="H416">
        <v>0</v>
      </c>
      <c r="I416" s="58" t="s">
        <v>1953</v>
      </c>
      <c r="J416" s="59">
        <v>7.1085612069433604E-2</v>
      </c>
    </row>
    <row r="417" spans="1:10" x14ac:dyDescent="0.2">
      <c r="A417" t="s">
        <v>1031</v>
      </c>
      <c r="B417" t="s">
        <v>665</v>
      </c>
      <c r="C417" t="s">
        <v>679</v>
      </c>
      <c r="D417">
        <v>0</v>
      </c>
      <c r="E417">
        <v>0</v>
      </c>
      <c r="F417">
        <v>0</v>
      </c>
      <c r="G417">
        <v>0</v>
      </c>
      <c r="H417">
        <v>0</v>
      </c>
      <c r="I417" s="58" t="s">
        <v>1965</v>
      </c>
      <c r="J417">
        <v>1.1630249618961801</v>
      </c>
    </row>
    <row r="418" spans="1:10" x14ac:dyDescent="0.2">
      <c r="A418" t="s">
        <v>1595</v>
      </c>
      <c r="B418" t="s">
        <v>1512</v>
      </c>
      <c r="C418" t="s">
        <v>679</v>
      </c>
      <c r="D418">
        <v>0</v>
      </c>
      <c r="E418">
        <v>0</v>
      </c>
      <c r="F418">
        <v>0</v>
      </c>
      <c r="G418">
        <v>0</v>
      </c>
      <c r="H418">
        <v>0</v>
      </c>
      <c r="I418" s="58" t="s">
        <v>1976</v>
      </c>
      <c r="J418">
        <v>0.22549556453619199</v>
      </c>
    </row>
    <row r="419" spans="1:10" x14ac:dyDescent="0.2">
      <c r="A419" t="s">
        <v>1618</v>
      </c>
      <c r="B419" t="s">
        <v>1518</v>
      </c>
      <c r="C419" t="s">
        <v>679</v>
      </c>
      <c r="D419">
        <v>0</v>
      </c>
      <c r="E419">
        <v>0</v>
      </c>
      <c r="F419">
        <v>0</v>
      </c>
      <c r="G419">
        <v>0</v>
      </c>
      <c r="H419">
        <v>0</v>
      </c>
      <c r="I419" s="58" t="s">
        <v>2030</v>
      </c>
      <c r="J419" s="59">
        <v>0.15426109705141899</v>
      </c>
    </row>
    <row r="420" spans="1:10" x14ac:dyDescent="0.2">
      <c r="A420" t="s">
        <v>1002</v>
      </c>
      <c r="B420" t="s">
        <v>662</v>
      </c>
      <c r="C420" t="s">
        <v>679</v>
      </c>
      <c r="D420">
        <v>0</v>
      </c>
      <c r="E420">
        <v>0</v>
      </c>
      <c r="F420">
        <v>0</v>
      </c>
      <c r="G420">
        <v>0</v>
      </c>
      <c r="H420">
        <v>0</v>
      </c>
      <c r="I420" s="58" t="s">
        <v>1601</v>
      </c>
      <c r="J420">
        <v>-0.41765101755838502</v>
      </c>
    </row>
    <row r="421" spans="1:10" x14ac:dyDescent="0.2">
      <c r="A421" t="s">
        <v>1064</v>
      </c>
      <c r="B421" t="s">
        <v>670</v>
      </c>
      <c r="C421" t="s">
        <v>679</v>
      </c>
      <c r="D421">
        <v>0</v>
      </c>
      <c r="E421">
        <v>0</v>
      </c>
      <c r="F421">
        <v>0</v>
      </c>
      <c r="G421">
        <v>0</v>
      </c>
      <c r="H421">
        <v>0</v>
      </c>
      <c r="I421" s="58" t="s">
        <v>2031</v>
      </c>
      <c r="J421" s="59">
        <v>-1</v>
      </c>
    </row>
    <row r="422" spans="1:10" x14ac:dyDescent="0.2">
      <c r="A422" t="s">
        <v>1065</v>
      </c>
      <c r="B422" t="s">
        <v>575</v>
      </c>
      <c r="C422" t="s">
        <v>680</v>
      </c>
      <c r="D422">
        <v>0</v>
      </c>
      <c r="E422">
        <v>0</v>
      </c>
      <c r="F422">
        <v>0</v>
      </c>
      <c r="G422">
        <v>0</v>
      </c>
      <c r="H422">
        <v>0</v>
      </c>
      <c r="I422" s="58" t="s">
        <v>2032</v>
      </c>
      <c r="J422">
        <v>0.90005513839975904</v>
      </c>
    </row>
    <row r="423" spans="1:10" x14ac:dyDescent="0.2">
      <c r="A423" t="s">
        <v>1066</v>
      </c>
      <c r="B423" t="s">
        <v>582</v>
      </c>
      <c r="C423" t="s">
        <v>680</v>
      </c>
      <c r="D423">
        <v>0</v>
      </c>
      <c r="E423">
        <v>0</v>
      </c>
      <c r="F423">
        <v>0</v>
      </c>
      <c r="G423">
        <v>0</v>
      </c>
      <c r="H423">
        <v>0</v>
      </c>
      <c r="I423" s="58" t="s">
        <v>2033</v>
      </c>
      <c r="J423" s="59">
        <v>2.8597976528569598E-2</v>
      </c>
    </row>
    <row r="424" spans="1:10" x14ac:dyDescent="0.2">
      <c r="A424" t="s">
        <v>1067</v>
      </c>
      <c r="B424" t="s">
        <v>588</v>
      </c>
      <c r="C424" t="s">
        <v>680</v>
      </c>
      <c r="D424">
        <v>0</v>
      </c>
      <c r="E424">
        <v>0</v>
      </c>
      <c r="F424">
        <v>0</v>
      </c>
      <c r="G424">
        <v>0</v>
      </c>
      <c r="H424">
        <v>0</v>
      </c>
      <c r="I424" s="58" t="s">
        <v>2034</v>
      </c>
      <c r="J424" s="59">
        <v>1.71358787964022E-3</v>
      </c>
    </row>
    <row r="425" spans="1:10" x14ac:dyDescent="0.2">
      <c r="A425" t="s">
        <v>1012</v>
      </c>
      <c r="B425" t="s">
        <v>663</v>
      </c>
      <c r="C425" t="s">
        <v>680</v>
      </c>
      <c r="D425">
        <v>0</v>
      </c>
      <c r="E425">
        <v>0</v>
      </c>
      <c r="F425">
        <v>0</v>
      </c>
      <c r="G425">
        <v>0</v>
      </c>
      <c r="H425">
        <v>0</v>
      </c>
      <c r="I425" s="58" t="s">
        <v>1942</v>
      </c>
      <c r="J425">
        <v>-2.7082857436776799</v>
      </c>
    </row>
    <row r="426" spans="1:10" x14ac:dyDescent="0.2">
      <c r="A426" t="s">
        <v>1022</v>
      </c>
      <c r="B426" t="s">
        <v>664</v>
      </c>
      <c r="C426" t="s">
        <v>680</v>
      </c>
      <c r="D426">
        <v>0</v>
      </c>
      <c r="E426">
        <v>0</v>
      </c>
      <c r="F426">
        <v>0</v>
      </c>
      <c r="G426">
        <v>0</v>
      </c>
      <c r="H426">
        <v>0</v>
      </c>
      <c r="I426" s="58" t="s">
        <v>1954</v>
      </c>
      <c r="J426">
        <v>-6.4509210665084998E-2</v>
      </c>
    </row>
    <row r="427" spans="1:10" x14ac:dyDescent="0.2">
      <c r="A427" t="s">
        <v>1032</v>
      </c>
      <c r="B427" t="s">
        <v>665</v>
      </c>
      <c r="C427" t="s">
        <v>680</v>
      </c>
      <c r="D427">
        <v>0</v>
      </c>
      <c r="E427">
        <v>0</v>
      </c>
      <c r="F427">
        <v>0</v>
      </c>
      <c r="G427">
        <v>0</v>
      </c>
      <c r="H427">
        <v>0</v>
      </c>
      <c r="I427" s="58" t="s">
        <v>1966</v>
      </c>
      <c r="J427" s="59">
        <v>-5.3448740602275897E-3</v>
      </c>
    </row>
    <row r="428" spans="1:10" x14ac:dyDescent="0.2">
      <c r="A428" t="s">
        <v>1597</v>
      </c>
      <c r="B428" t="s">
        <v>1512</v>
      </c>
      <c r="C428" t="s">
        <v>680</v>
      </c>
      <c r="D428">
        <v>0</v>
      </c>
      <c r="E428">
        <v>0</v>
      </c>
      <c r="F428">
        <v>0</v>
      </c>
      <c r="G428">
        <v>0</v>
      </c>
      <c r="H428">
        <v>0</v>
      </c>
      <c r="I428" s="58" t="s">
        <v>1977</v>
      </c>
      <c r="J428">
        <v>-0.360911036448819</v>
      </c>
    </row>
    <row r="429" spans="1:10" x14ac:dyDescent="0.2">
      <c r="A429" t="s">
        <v>1619</v>
      </c>
      <c r="B429" t="s">
        <v>1519</v>
      </c>
      <c r="C429" t="s">
        <v>680</v>
      </c>
      <c r="D429">
        <v>0</v>
      </c>
      <c r="E429">
        <v>0</v>
      </c>
      <c r="F429">
        <v>0</v>
      </c>
      <c r="G429">
        <v>0</v>
      </c>
      <c r="H429">
        <v>0</v>
      </c>
      <c r="I429" s="58" t="s">
        <v>1610</v>
      </c>
      <c r="J429" s="59">
        <v>0.194800759508687</v>
      </c>
    </row>
    <row r="430" spans="1:10" x14ac:dyDescent="0.2">
      <c r="A430" t="s">
        <v>1003</v>
      </c>
      <c r="B430" t="s">
        <v>662</v>
      </c>
      <c r="C430" t="s">
        <v>680</v>
      </c>
      <c r="D430">
        <v>0</v>
      </c>
      <c r="E430">
        <v>0</v>
      </c>
      <c r="F430">
        <v>0</v>
      </c>
      <c r="G430">
        <v>0</v>
      </c>
      <c r="H430">
        <v>0</v>
      </c>
      <c r="I430" s="58" t="s">
        <v>1931</v>
      </c>
      <c r="J430">
        <v>0.50997371228942001</v>
      </c>
    </row>
    <row r="431" spans="1:10" x14ac:dyDescent="0.2">
      <c r="A431" t="s">
        <v>1068</v>
      </c>
      <c r="B431" t="s">
        <v>671</v>
      </c>
      <c r="C431" t="s">
        <v>680</v>
      </c>
      <c r="D431">
        <v>0</v>
      </c>
      <c r="E431">
        <v>0</v>
      </c>
      <c r="F431">
        <v>0</v>
      </c>
      <c r="G431">
        <v>0</v>
      </c>
      <c r="H431">
        <v>0</v>
      </c>
      <c r="I431" s="58" t="s">
        <v>1351</v>
      </c>
      <c r="J431">
        <v>-1</v>
      </c>
    </row>
    <row r="432" spans="1:10" x14ac:dyDescent="0.2">
      <c r="A432" t="s">
        <v>992</v>
      </c>
      <c r="B432" t="s">
        <v>578</v>
      </c>
      <c r="C432" t="s">
        <v>674</v>
      </c>
      <c r="D432">
        <v>0</v>
      </c>
      <c r="E432">
        <v>0</v>
      </c>
      <c r="F432">
        <v>0</v>
      </c>
      <c r="G432">
        <v>0</v>
      </c>
      <c r="H432">
        <v>0</v>
      </c>
      <c r="I432" s="58" t="s">
        <v>1923</v>
      </c>
      <c r="J432">
        <v>31999.9886099469</v>
      </c>
    </row>
    <row r="433" spans="1:10" x14ac:dyDescent="0.2">
      <c r="A433" t="s">
        <v>1042</v>
      </c>
      <c r="B433" t="s">
        <v>652</v>
      </c>
      <c r="C433" t="s">
        <v>674</v>
      </c>
      <c r="D433">
        <v>0</v>
      </c>
      <c r="E433">
        <v>0</v>
      </c>
      <c r="F433">
        <v>0</v>
      </c>
      <c r="G433">
        <v>0</v>
      </c>
      <c r="H433">
        <v>0</v>
      </c>
      <c r="I433" s="58" t="s">
        <v>1989</v>
      </c>
      <c r="J433">
        <v>13.4230155238749</v>
      </c>
    </row>
    <row r="434" spans="1:10" x14ac:dyDescent="0.2">
      <c r="A434" t="s">
        <v>995</v>
      </c>
      <c r="B434" t="s">
        <v>584</v>
      </c>
      <c r="C434" t="s">
        <v>674</v>
      </c>
      <c r="D434">
        <v>0</v>
      </c>
      <c r="E434">
        <v>0</v>
      </c>
      <c r="F434">
        <v>0</v>
      </c>
      <c r="G434">
        <v>0</v>
      </c>
      <c r="H434">
        <v>0</v>
      </c>
      <c r="I434" s="58" t="s">
        <v>1925</v>
      </c>
      <c r="J434">
        <v>88874.138324454907</v>
      </c>
    </row>
    <row r="435" spans="1:10" x14ac:dyDescent="0.2">
      <c r="A435" t="s">
        <v>1043</v>
      </c>
      <c r="B435" t="s">
        <v>653</v>
      </c>
      <c r="C435" t="s">
        <v>674</v>
      </c>
      <c r="D435">
        <v>0</v>
      </c>
      <c r="E435">
        <v>0</v>
      </c>
      <c r="F435">
        <v>0</v>
      </c>
      <c r="G435">
        <v>0</v>
      </c>
      <c r="H435">
        <v>0</v>
      </c>
      <c r="I435" s="58" t="s">
        <v>1990</v>
      </c>
      <c r="J435" s="59">
        <v>13.690638348939901</v>
      </c>
    </row>
    <row r="436" spans="1:10" x14ac:dyDescent="0.2">
      <c r="A436" t="s">
        <v>1017</v>
      </c>
      <c r="B436" t="s">
        <v>664</v>
      </c>
      <c r="C436" t="s">
        <v>674</v>
      </c>
      <c r="D436">
        <v>0</v>
      </c>
      <c r="E436">
        <v>0</v>
      </c>
      <c r="F436">
        <v>0</v>
      </c>
      <c r="G436">
        <v>0</v>
      </c>
      <c r="H436">
        <v>0</v>
      </c>
      <c r="I436" s="58" t="s">
        <v>1947</v>
      </c>
      <c r="J436" s="59">
        <v>1677.87634326226</v>
      </c>
    </row>
    <row r="437" spans="1:10" x14ac:dyDescent="0.2">
      <c r="A437" t="s">
        <v>1027</v>
      </c>
      <c r="B437" t="s">
        <v>665</v>
      </c>
      <c r="C437" t="s">
        <v>674</v>
      </c>
      <c r="D437">
        <v>0</v>
      </c>
      <c r="E437">
        <v>0</v>
      </c>
      <c r="F437">
        <v>0</v>
      </c>
      <c r="G437">
        <v>0</v>
      </c>
      <c r="H437">
        <v>0</v>
      </c>
      <c r="I437" s="58" t="s">
        <v>1959</v>
      </c>
      <c r="J437" s="59">
        <v>4752.90502489756</v>
      </c>
    </row>
    <row r="438" spans="1:10" x14ac:dyDescent="0.2">
      <c r="A438" t="s">
        <v>1587</v>
      </c>
      <c r="B438" t="s">
        <v>1512</v>
      </c>
      <c r="C438" t="s">
        <v>674</v>
      </c>
      <c r="D438">
        <v>0</v>
      </c>
      <c r="E438">
        <v>0</v>
      </c>
      <c r="F438">
        <v>0</v>
      </c>
      <c r="G438">
        <v>0</v>
      </c>
      <c r="H438">
        <v>0</v>
      </c>
      <c r="I438" s="58" t="s">
        <v>1970</v>
      </c>
      <c r="J438">
        <v>8000</v>
      </c>
    </row>
    <row r="439" spans="1:10" x14ac:dyDescent="0.2">
      <c r="A439" t="s">
        <v>1584</v>
      </c>
      <c r="B439" t="s">
        <v>1514</v>
      </c>
      <c r="C439" t="s">
        <v>674</v>
      </c>
      <c r="D439">
        <v>0</v>
      </c>
      <c r="E439">
        <v>0</v>
      </c>
      <c r="F439">
        <v>0</v>
      </c>
      <c r="G439">
        <v>0</v>
      </c>
      <c r="H439">
        <v>0</v>
      </c>
      <c r="I439" s="58" t="s">
        <v>1928</v>
      </c>
      <c r="J439" s="59">
        <v>160000</v>
      </c>
    </row>
    <row r="440" spans="1:10" x14ac:dyDescent="0.2">
      <c r="A440" t="s">
        <v>1605</v>
      </c>
      <c r="B440" t="s">
        <v>1524</v>
      </c>
      <c r="C440" t="s">
        <v>674</v>
      </c>
      <c r="D440">
        <v>0</v>
      </c>
      <c r="E440">
        <v>0</v>
      </c>
      <c r="F440">
        <v>0</v>
      </c>
      <c r="G440">
        <v>0</v>
      </c>
      <c r="H440">
        <v>0</v>
      </c>
      <c r="I440" s="58" t="s">
        <v>1991</v>
      </c>
      <c r="J440" s="59">
        <v>12.8</v>
      </c>
    </row>
    <row r="441" spans="1:10" x14ac:dyDescent="0.2">
      <c r="A441" t="s">
        <v>998</v>
      </c>
      <c r="B441" t="s">
        <v>662</v>
      </c>
      <c r="C441" t="s">
        <v>674</v>
      </c>
      <c r="D441">
        <v>0</v>
      </c>
      <c r="E441">
        <v>0</v>
      </c>
      <c r="F441">
        <v>0</v>
      </c>
      <c r="G441">
        <v>0</v>
      </c>
      <c r="H441">
        <v>0</v>
      </c>
      <c r="I441" s="58" t="s">
        <v>1592</v>
      </c>
      <c r="J441">
        <v>-4123.0803909028</v>
      </c>
    </row>
    <row r="442" spans="1:10" x14ac:dyDescent="0.2">
      <c r="A442" t="s">
        <v>1037</v>
      </c>
      <c r="B442" t="s">
        <v>667</v>
      </c>
      <c r="C442" t="s">
        <v>674</v>
      </c>
      <c r="D442">
        <v>0</v>
      </c>
      <c r="E442">
        <v>0</v>
      </c>
      <c r="F442">
        <v>0</v>
      </c>
      <c r="G442">
        <v>0</v>
      </c>
      <c r="H442">
        <v>0</v>
      </c>
      <c r="I442" s="58" t="s">
        <v>1982</v>
      </c>
      <c r="J442" s="59">
        <v>-279815.36548549501</v>
      </c>
    </row>
    <row r="443" spans="1:10" x14ac:dyDescent="0.2">
      <c r="A443" t="s">
        <v>1044</v>
      </c>
      <c r="B443" t="s">
        <v>683</v>
      </c>
      <c r="C443" t="s">
        <v>674</v>
      </c>
      <c r="D443">
        <v>0</v>
      </c>
      <c r="E443">
        <v>0</v>
      </c>
      <c r="F443">
        <v>0</v>
      </c>
      <c r="G443">
        <v>0</v>
      </c>
      <c r="H443">
        <v>0</v>
      </c>
      <c r="I443" s="58" t="s">
        <v>1993</v>
      </c>
      <c r="J443">
        <v>-46.208970988555201</v>
      </c>
    </row>
    <row r="444" spans="1:10" x14ac:dyDescent="0.2">
      <c r="A444" t="s">
        <v>1343</v>
      </c>
      <c r="B444" t="s">
        <v>555</v>
      </c>
      <c r="C444" t="s">
        <v>1305</v>
      </c>
      <c r="D444">
        <v>0</v>
      </c>
      <c r="E444">
        <v>0</v>
      </c>
      <c r="F444">
        <v>0</v>
      </c>
      <c r="G444">
        <v>0</v>
      </c>
      <c r="H444">
        <v>0</v>
      </c>
      <c r="I444" s="58" t="s">
        <v>2049</v>
      </c>
      <c r="J444" s="59">
        <v>-1</v>
      </c>
    </row>
    <row r="445" spans="1:10" x14ac:dyDescent="0.2">
      <c r="A445" t="s">
        <v>1337</v>
      </c>
      <c r="B445" t="s">
        <v>1306</v>
      </c>
      <c r="C445" t="s">
        <v>1305</v>
      </c>
      <c r="D445">
        <v>0</v>
      </c>
      <c r="E445">
        <v>0</v>
      </c>
      <c r="F445">
        <v>0</v>
      </c>
      <c r="G445">
        <v>0</v>
      </c>
      <c r="H445">
        <v>0</v>
      </c>
      <c r="I445" s="58" t="s">
        <v>2045</v>
      </c>
      <c r="J445">
        <v>1</v>
      </c>
    </row>
    <row r="446" spans="1:10" x14ac:dyDescent="0.2">
      <c r="A446" t="s">
        <v>1339</v>
      </c>
      <c r="B446" t="s">
        <v>1277</v>
      </c>
      <c r="C446" t="s">
        <v>1301</v>
      </c>
      <c r="D446">
        <v>0</v>
      </c>
      <c r="E446">
        <v>0</v>
      </c>
      <c r="F446">
        <v>0</v>
      </c>
      <c r="G446">
        <v>0</v>
      </c>
      <c r="H446">
        <v>0</v>
      </c>
      <c r="I446" s="58" t="s">
        <v>2047</v>
      </c>
      <c r="J446" s="59">
        <v>1</v>
      </c>
    </row>
    <row r="447" spans="1:10" x14ac:dyDescent="0.2">
      <c r="A447" t="s">
        <v>1345</v>
      </c>
      <c r="B447" t="s">
        <v>1289</v>
      </c>
      <c r="C447" t="s">
        <v>1301</v>
      </c>
      <c r="D447">
        <v>0</v>
      </c>
      <c r="E447">
        <v>0</v>
      </c>
      <c r="F447">
        <v>0</v>
      </c>
      <c r="G447">
        <v>0</v>
      </c>
      <c r="H447">
        <v>0</v>
      </c>
      <c r="I447" s="58" t="s">
        <v>2051</v>
      </c>
      <c r="J447">
        <v>-1</v>
      </c>
    </row>
    <row r="448" spans="1:10" x14ac:dyDescent="0.2">
      <c r="A448" t="s">
        <v>1347</v>
      </c>
      <c r="B448" t="s">
        <v>1292</v>
      </c>
      <c r="C448" t="s">
        <v>1304</v>
      </c>
      <c r="D448">
        <v>0</v>
      </c>
      <c r="E448">
        <v>0</v>
      </c>
      <c r="F448">
        <v>0</v>
      </c>
      <c r="G448">
        <v>0</v>
      </c>
      <c r="H448">
        <v>0</v>
      </c>
      <c r="I448" s="58" t="s">
        <v>2053</v>
      </c>
      <c r="J448">
        <v>-1</v>
      </c>
    </row>
    <row r="449" spans="1:10" x14ac:dyDescent="0.2">
      <c r="A449" t="s">
        <v>1342</v>
      </c>
      <c r="B449" t="s">
        <v>1309</v>
      </c>
      <c r="C449" t="s">
        <v>1304</v>
      </c>
      <c r="D449">
        <v>0</v>
      </c>
      <c r="E449">
        <v>0</v>
      </c>
      <c r="F449">
        <v>0</v>
      </c>
      <c r="G449">
        <v>0</v>
      </c>
      <c r="H449">
        <v>0</v>
      </c>
      <c r="I449" s="58" t="s">
        <v>1628</v>
      </c>
      <c r="J449">
        <v>1</v>
      </c>
    </row>
    <row r="450" spans="1:10" x14ac:dyDescent="0.2">
      <c r="A450" t="s">
        <v>1385</v>
      </c>
      <c r="B450" t="s">
        <v>635</v>
      </c>
      <c r="C450" t="s">
        <v>1313</v>
      </c>
      <c r="D450">
        <v>0</v>
      </c>
      <c r="E450">
        <v>0</v>
      </c>
      <c r="F450">
        <v>0</v>
      </c>
      <c r="G450">
        <v>0</v>
      </c>
      <c r="H450">
        <v>0</v>
      </c>
      <c r="I450" s="58" t="s">
        <v>2090</v>
      </c>
      <c r="J450">
        <v>-8.1999999999999993</v>
      </c>
    </row>
    <row r="451" spans="1:10" x14ac:dyDescent="0.2">
      <c r="A451" t="s">
        <v>1388</v>
      </c>
      <c r="B451" t="s">
        <v>1324</v>
      </c>
      <c r="C451" t="s">
        <v>1313</v>
      </c>
      <c r="D451">
        <v>0</v>
      </c>
      <c r="E451">
        <v>0</v>
      </c>
      <c r="F451">
        <v>0</v>
      </c>
      <c r="G451">
        <v>0</v>
      </c>
      <c r="H451">
        <v>0</v>
      </c>
      <c r="I451" s="58" t="s">
        <v>2093</v>
      </c>
      <c r="J451">
        <v>8.1999999999999993</v>
      </c>
    </row>
    <row r="452" spans="1:10" x14ac:dyDescent="0.2">
      <c r="A452" t="s">
        <v>1352</v>
      </c>
      <c r="B452" t="s">
        <v>1306</v>
      </c>
      <c r="C452" t="s">
        <v>1313</v>
      </c>
      <c r="D452">
        <v>0</v>
      </c>
      <c r="E452">
        <v>0</v>
      </c>
      <c r="F452">
        <v>0</v>
      </c>
      <c r="G452">
        <v>0</v>
      </c>
      <c r="H452">
        <v>0</v>
      </c>
      <c r="I452" s="58" t="s">
        <v>2060</v>
      </c>
      <c r="J452" s="59">
        <v>-49.499987500080799</v>
      </c>
    </row>
    <row r="453" spans="1:10" x14ac:dyDescent="0.2">
      <c r="A453" t="s">
        <v>1377</v>
      </c>
      <c r="B453" t="s">
        <v>1319</v>
      </c>
      <c r="C453" t="s">
        <v>1313</v>
      </c>
      <c r="D453">
        <v>0</v>
      </c>
      <c r="E453">
        <v>0</v>
      </c>
      <c r="F453">
        <v>0</v>
      </c>
      <c r="G453">
        <v>0</v>
      </c>
      <c r="H453">
        <v>0</v>
      </c>
      <c r="I453" s="58" t="s">
        <v>2082</v>
      </c>
      <c r="J453">
        <v>-49.499987500080799</v>
      </c>
    </row>
    <row r="454" spans="1:10" x14ac:dyDescent="0.2">
      <c r="A454" t="s">
        <v>1387</v>
      </c>
      <c r="B454" t="s">
        <v>1323</v>
      </c>
      <c r="C454" t="s">
        <v>1313</v>
      </c>
      <c r="D454">
        <v>0</v>
      </c>
      <c r="E454">
        <v>0</v>
      </c>
      <c r="F454">
        <v>0</v>
      </c>
      <c r="G454">
        <v>0</v>
      </c>
      <c r="H454">
        <v>0</v>
      </c>
      <c r="I454" s="58" t="s">
        <v>2092</v>
      </c>
      <c r="J454">
        <v>1</v>
      </c>
    </row>
    <row r="455" spans="1:10" x14ac:dyDescent="0.2">
      <c r="A455" t="s">
        <v>1370</v>
      </c>
      <c r="B455" t="s">
        <v>1309</v>
      </c>
      <c r="C455" t="s">
        <v>1313</v>
      </c>
      <c r="D455">
        <v>0</v>
      </c>
      <c r="E455">
        <v>0</v>
      </c>
      <c r="F455">
        <v>0</v>
      </c>
      <c r="G455">
        <v>0</v>
      </c>
      <c r="H455">
        <v>0</v>
      </c>
      <c r="I455" s="58" t="s">
        <v>2076</v>
      </c>
      <c r="J455">
        <v>100</v>
      </c>
    </row>
    <row r="456" spans="1:10" x14ac:dyDescent="0.2">
      <c r="A456" t="s">
        <v>1386</v>
      </c>
      <c r="B456" t="s">
        <v>1322</v>
      </c>
      <c r="C456" t="s">
        <v>1313</v>
      </c>
      <c r="D456">
        <v>0</v>
      </c>
      <c r="E456">
        <v>0</v>
      </c>
      <c r="F456">
        <v>0</v>
      </c>
      <c r="G456">
        <v>0</v>
      </c>
      <c r="H456">
        <v>0</v>
      </c>
      <c r="I456" s="58" t="s">
        <v>2091</v>
      </c>
      <c r="J456">
        <v>7.2</v>
      </c>
    </row>
    <row r="457" spans="1:10" x14ac:dyDescent="0.2">
      <c r="A457" t="s">
        <v>1363</v>
      </c>
      <c r="B457" t="s">
        <v>1308</v>
      </c>
      <c r="C457" t="s">
        <v>1313</v>
      </c>
      <c r="D457">
        <v>0</v>
      </c>
      <c r="E457">
        <v>0</v>
      </c>
      <c r="F457">
        <v>0</v>
      </c>
      <c r="G457">
        <v>0</v>
      </c>
      <c r="H457">
        <v>0</v>
      </c>
      <c r="I457" s="58" t="s">
        <v>2070</v>
      </c>
      <c r="J457">
        <v>42.486111062023099</v>
      </c>
    </row>
    <row r="458" spans="1:10" x14ac:dyDescent="0.2">
      <c r="A458" t="s">
        <v>1389</v>
      </c>
      <c r="B458" t="s">
        <v>636</v>
      </c>
      <c r="C458" t="s">
        <v>1314</v>
      </c>
      <c r="D458">
        <v>0</v>
      </c>
      <c r="E458">
        <v>0</v>
      </c>
      <c r="F458">
        <v>0</v>
      </c>
      <c r="G458">
        <v>0</v>
      </c>
      <c r="H458">
        <v>0</v>
      </c>
      <c r="I458" s="58" t="s">
        <v>2094</v>
      </c>
      <c r="J458">
        <v>-8.1999999999999993</v>
      </c>
    </row>
    <row r="459" spans="1:10" x14ac:dyDescent="0.2">
      <c r="A459" t="s">
        <v>1392</v>
      </c>
      <c r="B459" t="s">
        <v>1327</v>
      </c>
      <c r="C459" t="s">
        <v>1314</v>
      </c>
      <c r="D459">
        <v>0</v>
      </c>
      <c r="E459">
        <v>0</v>
      </c>
      <c r="F459">
        <v>0</v>
      </c>
      <c r="G459">
        <v>0</v>
      </c>
      <c r="H459">
        <v>0</v>
      </c>
      <c r="I459" s="58" t="s">
        <v>2097</v>
      </c>
      <c r="J459">
        <v>8.1999999999999993</v>
      </c>
    </row>
    <row r="460" spans="1:10" x14ac:dyDescent="0.2">
      <c r="A460" t="s">
        <v>1353</v>
      </c>
      <c r="B460" t="s">
        <v>1306</v>
      </c>
      <c r="C460" t="s">
        <v>1314</v>
      </c>
      <c r="D460">
        <v>0</v>
      </c>
      <c r="E460">
        <v>0</v>
      </c>
      <c r="F460">
        <v>0</v>
      </c>
      <c r="G460">
        <v>0</v>
      </c>
      <c r="H460">
        <v>0</v>
      </c>
      <c r="I460" s="58" t="s">
        <v>2061</v>
      </c>
      <c r="J460" s="59">
        <v>-99.499900000339295</v>
      </c>
    </row>
    <row r="461" spans="1:10" x14ac:dyDescent="0.2">
      <c r="A461" t="s">
        <v>1378</v>
      </c>
      <c r="B461" t="s">
        <v>1319</v>
      </c>
      <c r="C461" t="s">
        <v>1314</v>
      </c>
      <c r="D461">
        <v>0</v>
      </c>
      <c r="E461">
        <v>0</v>
      </c>
      <c r="F461">
        <v>0</v>
      </c>
      <c r="G461">
        <v>0</v>
      </c>
      <c r="H461">
        <v>0</v>
      </c>
      <c r="I461" s="58" t="s">
        <v>2083</v>
      </c>
      <c r="J461">
        <v>-99.499900000339295</v>
      </c>
    </row>
    <row r="462" spans="1:10" x14ac:dyDescent="0.2">
      <c r="A462" t="s">
        <v>1391</v>
      </c>
      <c r="B462" t="s">
        <v>1326</v>
      </c>
      <c r="C462" t="s">
        <v>1314</v>
      </c>
      <c r="D462">
        <v>0</v>
      </c>
      <c r="E462">
        <v>0</v>
      </c>
      <c r="F462">
        <v>0</v>
      </c>
      <c r="G462">
        <v>0</v>
      </c>
      <c r="H462">
        <v>0</v>
      </c>
      <c r="I462" s="58" t="s">
        <v>2096</v>
      </c>
      <c r="J462">
        <v>1</v>
      </c>
    </row>
    <row r="463" spans="1:10" x14ac:dyDescent="0.2">
      <c r="A463" t="s">
        <v>1371</v>
      </c>
      <c r="B463" t="s">
        <v>1309</v>
      </c>
      <c r="C463" t="s">
        <v>1314</v>
      </c>
      <c r="D463">
        <v>0</v>
      </c>
      <c r="E463">
        <v>0</v>
      </c>
      <c r="F463">
        <v>0</v>
      </c>
      <c r="G463">
        <v>0</v>
      </c>
      <c r="H463">
        <v>0</v>
      </c>
      <c r="I463" s="58" t="s">
        <v>2077</v>
      </c>
      <c r="J463">
        <v>100</v>
      </c>
    </row>
    <row r="464" spans="1:10" x14ac:dyDescent="0.2">
      <c r="A464" t="s">
        <v>1390</v>
      </c>
      <c r="B464" t="s">
        <v>1325</v>
      </c>
      <c r="C464" t="s">
        <v>1314</v>
      </c>
      <c r="D464">
        <v>0</v>
      </c>
      <c r="E464">
        <v>0</v>
      </c>
      <c r="F464">
        <v>0</v>
      </c>
      <c r="G464">
        <v>0</v>
      </c>
      <c r="H464">
        <v>0</v>
      </c>
      <c r="I464" s="58" t="s">
        <v>2095</v>
      </c>
      <c r="J464">
        <v>7.2</v>
      </c>
    </row>
    <row r="465" spans="1:10" x14ac:dyDescent="0.2">
      <c r="A465" t="s">
        <v>1364</v>
      </c>
      <c r="B465" t="s">
        <v>1308</v>
      </c>
      <c r="C465" t="s">
        <v>1314</v>
      </c>
      <c r="D465">
        <v>0</v>
      </c>
      <c r="E465">
        <v>0</v>
      </c>
      <c r="F465">
        <v>0</v>
      </c>
      <c r="G465">
        <v>0</v>
      </c>
      <c r="H465">
        <v>0</v>
      </c>
      <c r="I465" s="58" t="s">
        <v>2071</v>
      </c>
      <c r="J465">
        <v>99.430555553369103</v>
      </c>
    </row>
    <row r="466" spans="1:10" x14ac:dyDescent="0.2">
      <c r="A466" t="s">
        <v>1349</v>
      </c>
      <c r="B466" t="s">
        <v>1306</v>
      </c>
      <c r="C466" t="s">
        <v>1311</v>
      </c>
      <c r="D466">
        <v>0</v>
      </c>
      <c r="E466">
        <v>0</v>
      </c>
      <c r="F466">
        <v>0</v>
      </c>
      <c r="G466">
        <v>0</v>
      </c>
      <c r="H466">
        <v>0</v>
      </c>
      <c r="I466" s="58" t="s">
        <v>2058</v>
      </c>
      <c r="J466">
        <v>-1</v>
      </c>
    </row>
    <row r="467" spans="1:10" x14ac:dyDescent="0.2">
      <c r="A467" t="s">
        <v>1376</v>
      </c>
      <c r="B467" t="s">
        <v>1319</v>
      </c>
      <c r="C467" t="s">
        <v>1311</v>
      </c>
      <c r="D467">
        <v>0</v>
      </c>
      <c r="E467">
        <v>0</v>
      </c>
      <c r="F467">
        <v>0</v>
      </c>
      <c r="G467">
        <v>0</v>
      </c>
      <c r="H467">
        <v>0</v>
      </c>
      <c r="I467" s="58" t="s">
        <v>2081</v>
      </c>
      <c r="J467">
        <v>-1</v>
      </c>
    </row>
    <row r="468" spans="1:10" x14ac:dyDescent="0.2">
      <c r="A468" t="s">
        <v>1368</v>
      </c>
      <c r="B468" t="s">
        <v>1309</v>
      </c>
      <c r="C468" t="s">
        <v>1311</v>
      </c>
      <c r="D468">
        <v>0</v>
      </c>
      <c r="E468">
        <v>0</v>
      </c>
      <c r="F468">
        <v>0</v>
      </c>
      <c r="G468">
        <v>0</v>
      </c>
      <c r="H468">
        <v>0</v>
      </c>
      <c r="I468" s="58" t="s">
        <v>1740</v>
      </c>
      <c r="J468" s="59">
        <v>1</v>
      </c>
    </row>
    <row r="469" spans="1:10" x14ac:dyDescent="0.2">
      <c r="A469" t="s">
        <v>1361</v>
      </c>
      <c r="B469" t="s">
        <v>1308</v>
      </c>
      <c r="C469" t="s">
        <v>1311</v>
      </c>
      <c r="D469">
        <v>0</v>
      </c>
      <c r="E469">
        <v>0</v>
      </c>
      <c r="F469">
        <v>0</v>
      </c>
      <c r="G469">
        <v>0</v>
      </c>
      <c r="H469">
        <v>0</v>
      </c>
      <c r="I469" s="58" t="s">
        <v>2068</v>
      </c>
      <c r="J469">
        <v>1</v>
      </c>
    </row>
    <row r="470" spans="1:10" x14ac:dyDescent="0.2">
      <c r="A470" t="s">
        <v>1346</v>
      </c>
      <c r="B470" t="s">
        <v>1291</v>
      </c>
      <c r="C470" t="s">
        <v>1303</v>
      </c>
      <c r="D470">
        <v>0</v>
      </c>
      <c r="E470">
        <v>0</v>
      </c>
      <c r="F470">
        <v>0</v>
      </c>
      <c r="G470">
        <v>0</v>
      </c>
      <c r="H470">
        <v>0</v>
      </c>
      <c r="I470" s="58" t="s">
        <v>2052</v>
      </c>
      <c r="J470">
        <v>-1</v>
      </c>
    </row>
    <row r="471" spans="1:10" x14ac:dyDescent="0.2">
      <c r="A471" t="s">
        <v>1341</v>
      </c>
      <c r="B471" t="s">
        <v>1308</v>
      </c>
      <c r="C471" t="s">
        <v>1303</v>
      </c>
      <c r="D471">
        <v>0</v>
      </c>
      <c r="E471">
        <v>0</v>
      </c>
      <c r="F471">
        <v>0</v>
      </c>
      <c r="G471">
        <v>0</v>
      </c>
      <c r="H471">
        <v>0</v>
      </c>
      <c r="I471" s="58" t="s">
        <v>1627</v>
      </c>
      <c r="J471">
        <v>1</v>
      </c>
    </row>
    <row r="472" spans="1:10" x14ac:dyDescent="0.2">
      <c r="A472" t="s">
        <v>1382</v>
      </c>
      <c r="B472" t="s">
        <v>571</v>
      </c>
      <c r="C472" t="s">
        <v>1312</v>
      </c>
      <c r="D472">
        <v>0</v>
      </c>
      <c r="E472">
        <v>0</v>
      </c>
      <c r="F472">
        <v>0</v>
      </c>
      <c r="G472">
        <v>0</v>
      </c>
      <c r="H472">
        <v>0</v>
      </c>
      <c r="I472" s="58" t="s">
        <v>2087</v>
      </c>
      <c r="J472">
        <v>-8</v>
      </c>
    </row>
    <row r="473" spans="1:10" x14ac:dyDescent="0.2">
      <c r="A473" t="s">
        <v>1350</v>
      </c>
      <c r="B473" t="s">
        <v>1306</v>
      </c>
      <c r="C473" t="s">
        <v>1312</v>
      </c>
      <c r="D473">
        <v>0</v>
      </c>
      <c r="E473">
        <v>0</v>
      </c>
      <c r="F473">
        <v>0</v>
      </c>
      <c r="G473">
        <v>0</v>
      </c>
      <c r="H473">
        <v>0</v>
      </c>
      <c r="I473" s="58" t="s">
        <v>2059</v>
      </c>
      <c r="J473">
        <v>-0.78691463946754203</v>
      </c>
    </row>
    <row r="474" spans="1:10" x14ac:dyDescent="0.2">
      <c r="A474" t="s">
        <v>1369</v>
      </c>
      <c r="B474" t="s">
        <v>1309</v>
      </c>
      <c r="C474" t="s">
        <v>1312</v>
      </c>
      <c r="D474">
        <v>0</v>
      </c>
      <c r="E474">
        <v>0</v>
      </c>
      <c r="F474">
        <v>0</v>
      </c>
      <c r="G474">
        <v>0</v>
      </c>
      <c r="H474">
        <v>0</v>
      </c>
      <c r="I474" s="58" t="s">
        <v>2075</v>
      </c>
      <c r="J474">
        <v>0.75</v>
      </c>
    </row>
    <row r="475" spans="1:10" x14ac:dyDescent="0.2">
      <c r="A475" t="s">
        <v>1384</v>
      </c>
      <c r="B475" t="s">
        <v>1321</v>
      </c>
      <c r="C475" t="s">
        <v>1312</v>
      </c>
      <c r="D475">
        <v>0</v>
      </c>
      <c r="E475">
        <v>0</v>
      </c>
      <c r="F475">
        <v>0</v>
      </c>
      <c r="G475">
        <v>0</v>
      </c>
      <c r="H475">
        <v>0</v>
      </c>
      <c r="I475" s="58" t="s">
        <v>2089</v>
      </c>
      <c r="J475">
        <v>1</v>
      </c>
    </row>
    <row r="476" spans="1:10" x14ac:dyDescent="0.2">
      <c r="A476" t="s">
        <v>1362</v>
      </c>
      <c r="B476" t="s">
        <v>1308</v>
      </c>
      <c r="C476" t="s">
        <v>1312</v>
      </c>
      <c r="D476">
        <v>0</v>
      </c>
      <c r="E476">
        <v>0</v>
      </c>
      <c r="F476">
        <v>0</v>
      </c>
      <c r="G476">
        <v>0</v>
      </c>
      <c r="H476">
        <v>0</v>
      </c>
      <c r="I476" s="58" t="s">
        <v>2069</v>
      </c>
      <c r="J476">
        <v>0.77018293274171301</v>
      </c>
    </row>
    <row r="477" spans="1:10" x14ac:dyDescent="0.2">
      <c r="A477" t="s">
        <v>1383</v>
      </c>
      <c r="B477" t="s">
        <v>1320</v>
      </c>
      <c r="C477" t="s">
        <v>1312</v>
      </c>
      <c r="D477">
        <v>0</v>
      </c>
      <c r="E477">
        <v>0</v>
      </c>
      <c r="F477">
        <v>0</v>
      </c>
      <c r="G477">
        <v>0</v>
      </c>
      <c r="H477">
        <v>0</v>
      </c>
      <c r="I477" s="58" t="s">
        <v>2088</v>
      </c>
      <c r="J477">
        <v>7.2</v>
      </c>
    </row>
    <row r="478" spans="1:10" x14ac:dyDescent="0.2">
      <c r="A478" t="s">
        <v>1348</v>
      </c>
      <c r="B478" t="s">
        <v>1306</v>
      </c>
      <c r="C478" t="s">
        <v>1310</v>
      </c>
      <c r="D478">
        <v>0</v>
      </c>
      <c r="E478">
        <v>0</v>
      </c>
      <c r="F478">
        <v>0</v>
      </c>
      <c r="G478">
        <v>0</v>
      </c>
      <c r="H478">
        <v>0</v>
      </c>
      <c r="I478" s="58" t="s">
        <v>2057</v>
      </c>
      <c r="J478">
        <v>0.68757497271141998</v>
      </c>
    </row>
    <row r="479" spans="1:10" x14ac:dyDescent="0.2">
      <c r="A479" t="s">
        <v>1357</v>
      </c>
      <c r="B479" t="s">
        <v>1277</v>
      </c>
      <c r="C479" t="s">
        <v>1310</v>
      </c>
      <c r="D479">
        <v>0</v>
      </c>
      <c r="E479">
        <v>0</v>
      </c>
      <c r="F479">
        <v>0</v>
      </c>
      <c r="G479">
        <v>0</v>
      </c>
      <c r="H479">
        <v>0</v>
      </c>
      <c r="I479" s="58" t="s">
        <v>2065</v>
      </c>
      <c r="J479" s="59">
        <v>-9.6688342093361902E-3</v>
      </c>
    </row>
    <row r="480" spans="1:10" x14ac:dyDescent="0.2">
      <c r="A480" t="s">
        <v>1360</v>
      </c>
      <c r="B480" t="s">
        <v>1318</v>
      </c>
      <c r="C480" t="s">
        <v>1310</v>
      </c>
      <c r="D480">
        <v>0</v>
      </c>
      <c r="E480">
        <v>0</v>
      </c>
      <c r="F480">
        <v>0</v>
      </c>
      <c r="G480">
        <v>0</v>
      </c>
      <c r="H480">
        <v>0</v>
      </c>
      <c r="I480" s="58" t="s">
        <v>1739</v>
      </c>
      <c r="J480">
        <v>-5.5005997816913599</v>
      </c>
    </row>
    <row r="481" spans="1:10" x14ac:dyDescent="0.2">
      <c r="A481" t="s">
        <v>1359</v>
      </c>
      <c r="B481" t="s">
        <v>1307</v>
      </c>
      <c r="C481" t="s">
        <v>1310</v>
      </c>
      <c r="D481">
        <v>0</v>
      </c>
      <c r="E481">
        <v>0</v>
      </c>
      <c r="F481">
        <v>0</v>
      </c>
      <c r="G481">
        <v>0</v>
      </c>
      <c r="H481">
        <v>0</v>
      </c>
      <c r="I481" s="58" t="s">
        <v>2067</v>
      </c>
      <c r="J481">
        <v>-0.1</v>
      </c>
    </row>
    <row r="482" spans="1:10" x14ac:dyDescent="0.2">
      <c r="A482" t="s">
        <v>1358</v>
      </c>
      <c r="B482" t="s">
        <v>1276</v>
      </c>
      <c r="C482" t="s">
        <v>1310</v>
      </c>
      <c r="D482">
        <v>0</v>
      </c>
      <c r="E482">
        <v>0</v>
      </c>
      <c r="F482">
        <v>0</v>
      </c>
      <c r="G482">
        <v>0</v>
      </c>
      <c r="H482">
        <v>0</v>
      </c>
      <c r="I482" s="58" t="s">
        <v>2066</v>
      </c>
      <c r="J482">
        <v>-0.13024802740510999</v>
      </c>
    </row>
    <row r="483" spans="1:10" x14ac:dyDescent="0.2">
      <c r="A483" t="s">
        <v>1393</v>
      </c>
      <c r="B483" t="s">
        <v>574</v>
      </c>
      <c r="C483" t="s">
        <v>1315</v>
      </c>
      <c r="D483">
        <v>0</v>
      </c>
      <c r="E483">
        <v>0</v>
      </c>
      <c r="F483">
        <v>0</v>
      </c>
      <c r="G483">
        <v>0</v>
      </c>
      <c r="H483">
        <v>0</v>
      </c>
      <c r="I483" s="58" t="s">
        <v>2098</v>
      </c>
      <c r="J483">
        <v>1.15219630158793</v>
      </c>
    </row>
    <row r="484" spans="1:10" x14ac:dyDescent="0.2">
      <c r="A484" t="s">
        <v>1354</v>
      </c>
      <c r="B484" t="s">
        <v>1306</v>
      </c>
      <c r="C484" t="s">
        <v>1315</v>
      </c>
      <c r="D484">
        <v>0</v>
      </c>
      <c r="E484">
        <v>0</v>
      </c>
      <c r="F484">
        <v>0</v>
      </c>
      <c r="G484">
        <v>0</v>
      </c>
      <c r="H484">
        <v>0</v>
      </c>
      <c r="I484" s="58" t="s">
        <v>2062</v>
      </c>
      <c r="J484">
        <v>3.2863528824355601</v>
      </c>
    </row>
    <row r="485" spans="1:10" x14ac:dyDescent="0.2">
      <c r="A485" t="s">
        <v>1379</v>
      </c>
      <c r="B485" t="s">
        <v>1319</v>
      </c>
      <c r="C485" t="s">
        <v>1315</v>
      </c>
      <c r="D485">
        <v>0</v>
      </c>
      <c r="E485">
        <v>0</v>
      </c>
      <c r="F485">
        <v>0</v>
      </c>
      <c r="G485">
        <v>0</v>
      </c>
      <c r="H485">
        <v>0</v>
      </c>
      <c r="I485" s="58" t="s">
        <v>2084</v>
      </c>
      <c r="J485">
        <v>3.2863528824355601</v>
      </c>
    </row>
    <row r="486" spans="1:10" x14ac:dyDescent="0.2">
      <c r="A486" t="s">
        <v>1372</v>
      </c>
      <c r="B486" t="s">
        <v>1309</v>
      </c>
      <c r="C486" t="s">
        <v>1315</v>
      </c>
      <c r="D486">
        <v>0</v>
      </c>
      <c r="E486">
        <v>0</v>
      </c>
      <c r="F486">
        <v>0</v>
      </c>
      <c r="G486">
        <v>0</v>
      </c>
      <c r="H486">
        <v>0</v>
      </c>
      <c r="I486" s="58" t="s">
        <v>2078</v>
      </c>
      <c r="J486">
        <v>-3.55963665270203</v>
      </c>
    </row>
    <row r="487" spans="1:10" x14ac:dyDescent="0.2">
      <c r="A487" t="s">
        <v>1394</v>
      </c>
      <c r="B487" t="s">
        <v>1328</v>
      </c>
      <c r="C487" t="s">
        <v>1315</v>
      </c>
      <c r="D487">
        <v>0</v>
      </c>
      <c r="E487">
        <v>0</v>
      </c>
      <c r="F487">
        <v>0</v>
      </c>
      <c r="G487">
        <v>0</v>
      </c>
      <c r="H487">
        <v>0</v>
      </c>
      <c r="I487" s="58" t="s">
        <v>2099</v>
      </c>
      <c r="J487">
        <v>-0.15219630158792999</v>
      </c>
    </row>
    <row r="488" spans="1:10" x14ac:dyDescent="0.2">
      <c r="A488" t="s">
        <v>1365</v>
      </c>
      <c r="B488" t="s">
        <v>1308</v>
      </c>
      <c r="C488" t="s">
        <v>1315</v>
      </c>
      <c r="D488">
        <v>0</v>
      </c>
      <c r="E488">
        <v>0</v>
      </c>
      <c r="F488">
        <v>0</v>
      </c>
      <c r="G488">
        <v>0</v>
      </c>
      <c r="H488">
        <v>0</v>
      </c>
      <c r="I488" s="58" t="s">
        <v>2072</v>
      </c>
      <c r="J488">
        <v>-3.24839680323189</v>
      </c>
    </row>
    <row r="489" spans="1:10" x14ac:dyDescent="0.2">
      <c r="A489" t="s">
        <v>1395</v>
      </c>
      <c r="B489" t="s">
        <v>1329</v>
      </c>
      <c r="C489" t="s">
        <v>1315</v>
      </c>
      <c r="D489">
        <v>0</v>
      </c>
      <c r="E489">
        <v>0</v>
      </c>
      <c r="F489">
        <v>0</v>
      </c>
      <c r="G489">
        <v>0</v>
      </c>
      <c r="H489">
        <v>0</v>
      </c>
      <c r="I489" s="58" t="s">
        <v>2100</v>
      </c>
      <c r="J489">
        <v>-1</v>
      </c>
    </row>
    <row r="490" spans="1:10" x14ac:dyDescent="0.2">
      <c r="A490" t="s">
        <v>1396</v>
      </c>
      <c r="B490" t="s">
        <v>1330</v>
      </c>
      <c r="C490" t="s">
        <v>1315</v>
      </c>
      <c r="D490">
        <v>0</v>
      </c>
      <c r="E490">
        <v>0</v>
      </c>
      <c r="F490">
        <v>0</v>
      </c>
      <c r="G490">
        <v>0</v>
      </c>
      <c r="H490">
        <v>0</v>
      </c>
      <c r="I490" s="58" t="s">
        <v>1741</v>
      </c>
      <c r="J490">
        <v>1.15219630158793</v>
      </c>
    </row>
    <row r="491" spans="1:10" x14ac:dyDescent="0.2">
      <c r="A491" t="s">
        <v>1401</v>
      </c>
      <c r="B491" t="s">
        <v>575</v>
      </c>
      <c r="C491" t="s">
        <v>1317</v>
      </c>
      <c r="D491">
        <v>0</v>
      </c>
      <c r="E491">
        <v>0</v>
      </c>
      <c r="F491">
        <v>0</v>
      </c>
      <c r="G491">
        <v>0</v>
      </c>
      <c r="H491">
        <v>0</v>
      </c>
      <c r="I491" s="58" t="s">
        <v>2105</v>
      </c>
      <c r="J491">
        <v>2.0552403159088901</v>
      </c>
    </row>
    <row r="492" spans="1:10" x14ac:dyDescent="0.2">
      <c r="A492" t="s">
        <v>1356</v>
      </c>
      <c r="B492" t="s">
        <v>1306</v>
      </c>
      <c r="C492" t="s">
        <v>1317</v>
      </c>
      <c r="D492">
        <v>0</v>
      </c>
      <c r="E492">
        <v>0</v>
      </c>
      <c r="F492">
        <v>0</v>
      </c>
      <c r="G492">
        <v>0</v>
      </c>
      <c r="H492">
        <v>0</v>
      </c>
      <c r="I492" s="58" t="s">
        <v>2064</v>
      </c>
      <c r="J492">
        <v>-6.0457279764215297</v>
      </c>
    </row>
    <row r="493" spans="1:10" x14ac:dyDescent="0.2">
      <c r="A493" t="s">
        <v>1381</v>
      </c>
      <c r="B493" t="s">
        <v>1319</v>
      </c>
      <c r="C493" t="s">
        <v>1317</v>
      </c>
      <c r="D493">
        <v>0</v>
      </c>
      <c r="E493">
        <v>0</v>
      </c>
      <c r="F493">
        <v>0</v>
      </c>
      <c r="G493">
        <v>0</v>
      </c>
      <c r="H493">
        <v>0</v>
      </c>
      <c r="I493" s="58" t="s">
        <v>2086</v>
      </c>
      <c r="J493">
        <v>-6.0457279764215297</v>
      </c>
    </row>
    <row r="494" spans="1:10" x14ac:dyDescent="0.2">
      <c r="A494" t="s">
        <v>1375</v>
      </c>
      <c r="B494" t="s">
        <v>1309</v>
      </c>
      <c r="C494" t="s">
        <v>1317</v>
      </c>
      <c r="D494">
        <v>0</v>
      </c>
      <c r="E494">
        <v>0</v>
      </c>
      <c r="F494">
        <v>0</v>
      </c>
      <c r="G494">
        <v>0</v>
      </c>
      <c r="H494">
        <v>0</v>
      </c>
      <c r="I494" s="58" t="s">
        <v>2080</v>
      </c>
      <c r="J494">
        <v>24.129806041852099</v>
      </c>
    </row>
    <row r="495" spans="1:10" x14ac:dyDescent="0.2">
      <c r="A495" t="s">
        <v>1402</v>
      </c>
      <c r="B495" t="s">
        <v>1334</v>
      </c>
      <c r="C495" t="s">
        <v>1317</v>
      </c>
      <c r="D495">
        <v>0</v>
      </c>
      <c r="E495">
        <v>0</v>
      </c>
      <c r="F495">
        <v>0</v>
      </c>
      <c r="G495">
        <v>0</v>
      </c>
      <c r="H495">
        <v>0</v>
      </c>
      <c r="I495" s="58" t="s">
        <v>2106</v>
      </c>
      <c r="J495">
        <v>-1.14094298397891</v>
      </c>
    </row>
    <row r="496" spans="1:10" x14ac:dyDescent="0.2">
      <c r="A496" t="s">
        <v>1367</v>
      </c>
      <c r="B496" t="s">
        <v>1308</v>
      </c>
      <c r="C496" t="s">
        <v>1317</v>
      </c>
      <c r="D496">
        <v>0</v>
      </c>
      <c r="E496">
        <v>0</v>
      </c>
      <c r="F496">
        <v>0</v>
      </c>
      <c r="G496">
        <v>0</v>
      </c>
      <c r="H496">
        <v>0</v>
      </c>
      <c r="I496" s="58" t="s">
        <v>2074</v>
      </c>
      <c r="J496">
        <v>3.5340504673339499</v>
      </c>
    </row>
    <row r="497" spans="1:10" x14ac:dyDescent="0.2">
      <c r="A497" t="s">
        <v>1403</v>
      </c>
      <c r="B497" t="s">
        <v>1335</v>
      </c>
      <c r="C497" t="s">
        <v>1317</v>
      </c>
      <c r="D497">
        <v>0</v>
      </c>
      <c r="E497">
        <v>0</v>
      </c>
      <c r="F497">
        <v>0</v>
      </c>
      <c r="G497">
        <v>0</v>
      </c>
      <c r="H497">
        <v>0</v>
      </c>
      <c r="I497" s="58" t="s">
        <v>2107</v>
      </c>
      <c r="J497">
        <v>-1</v>
      </c>
    </row>
    <row r="498" spans="1:10" x14ac:dyDescent="0.2">
      <c r="A498" t="s">
        <v>1404</v>
      </c>
      <c r="B498" t="s">
        <v>1336</v>
      </c>
      <c r="C498" t="s">
        <v>1317</v>
      </c>
      <c r="D498">
        <v>0</v>
      </c>
      <c r="E498">
        <v>0</v>
      </c>
      <c r="F498">
        <v>0</v>
      </c>
      <c r="G498">
        <v>0</v>
      </c>
      <c r="H498">
        <v>0</v>
      </c>
      <c r="I498" s="58" t="s">
        <v>1663</v>
      </c>
      <c r="J498">
        <v>2.0552403159088901</v>
      </c>
    </row>
    <row r="499" spans="1:10" x14ac:dyDescent="0.2">
      <c r="A499" t="s">
        <v>1397</v>
      </c>
      <c r="B499" t="s">
        <v>576</v>
      </c>
      <c r="C499" t="s">
        <v>1316</v>
      </c>
      <c r="D499">
        <v>0</v>
      </c>
      <c r="E499">
        <v>0</v>
      </c>
      <c r="F499">
        <v>0</v>
      </c>
      <c r="G499">
        <v>0</v>
      </c>
      <c r="H499">
        <v>0</v>
      </c>
      <c r="I499" s="58" t="s">
        <v>2101</v>
      </c>
      <c r="J499">
        <v>1.1658936599966201</v>
      </c>
    </row>
    <row r="500" spans="1:10" x14ac:dyDescent="0.2">
      <c r="A500" t="s">
        <v>1355</v>
      </c>
      <c r="B500" t="s">
        <v>1306</v>
      </c>
      <c r="C500" t="s">
        <v>1316</v>
      </c>
      <c r="D500">
        <v>0</v>
      </c>
      <c r="E500">
        <v>0</v>
      </c>
      <c r="F500">
        <v>0</v>
      </c>
      <c r="G500">
        <v>0</v>
      </c>
      <c r="H500">
        <v>0</v>
      </c>
      <c r="I500" s="58" t="s">
        <v>2063</v>
      </c>
      <c r="J500">
        <v>3.3254211846216499</v>
      </c>
    </row>
    <row r="501" spans="1:10" x14ac:dyDescent="0.2">
      <c r="A501" t="s">
        <v>1380</v>
      </c>
      <c r="B501" t="s">
        <v>1319</v>
      </c>
      <c r="C501" t="s">
        <v>1316</v>
      </c>
      <c r="D501">
        <v>0</v>
      </c>
      <c r="E501">
        <v>0</v>
      </c>
      <c r="F501">
        <v>0</v>
      </c>
      <c r="G501">
        <v>0</v>
      </c>
      <c r="H501">
        <v>0</v>
      </c>
      <c r="I501" s="58" t="s">
        <v>2085</v>
      </c>
      <c r="J501">
        <v>3.3254211846216499</v>
      </c>
    </row>
    <row r="502" spans="1:10" x14ac:dyDescent="0.2">
      <c r="A502" t="s">
        <v>1374</v>
      </c>
      <c r="B502" t="s">
        <v>1309</v>
      </c>
      <c r="C502" t="s">
        <v>1316</v>
      </c>
      <c r="D502">
        <v>0</v>
      </c>
      <c r="E502">
        <v>0</v>
      </c>
      <c r="F502">
        <v>0</v>
      </c>
      <c r="G502">
        <v>0</v>
      </c>
      <c r="H502">
        <v>0</v>
      </c>
      <c r="I502" s="58" t="s">
        <v>2079</v>
      </c>
      <c r="J502">
        <v>-3.8799967306279899</v>
      </c>
    </row>
    <row r="503" spans="1:10" x14ac:dyDescent="0.2">
      <c r="A503" t="s">
        <v>1398</v>
      </c>
      <c r="B503" t="s">
        <v>1331</v>
      </c>
      <c r="C503" t="s">
        <v>1316</v>
      </c>
      <c r="D503">
        <v>0</v>
      </c>
      <c r="E503">
        <v>0</v>
      </c>
      <c r="F503">
        <v>0</v>
      </c>
      <c r="G503">
        <v>0</v>
      </c>
      <c r="H503">
        <v>0</v>
      </c>
      <c r="I503" s="58" t="s">
        <v>2102</v>
      </c>
      <c r="J503">
        <v>-0.16589365999661501</v>
      </c>
    </row>
    <row r="504" spans="1:10" x14ac:dyDescent="0.2">
      <c r="A504" t="s">
        <v>1366</v>
      </c>
      <c r="B504" t="s">
        <v>1308</v>
      </c>
      <c r="C504" t="s">
        <v>1316</v>
      </c>
      <c r="D504">
        <v>0</v>
      </c>
      <c r="E504">
        <v>0</v>
      </c>
      <c r="F504">
        <v>0</v>
      </c>
      <c r="G504">
        <v>0</v>
      </c>
      <c r="H504">
        <v>0</v>
      </c>
      <c r="I504" s="58" t="s">
        <v>2073</v>
      </c>
      <c r="J504">
        <v>-3.2483968032319201</v>
      </c>
    </row>
    <row r="505" spans="1:10" x14ac:dyDescent="0.2">
      <c r="A505" t="s">
        <v>1399</v>
      </c>
      <c r="B505" t="s">
        <v>1332</v>
      </c>
      <c r="C505" t="s">
        <v>1316</v>
      </c>
      <c r="D505">
        <v>0</v>
      </c>
      <c r="E505">
        <v>0</v>
      </c>
      <c r="F505">
        <v>0</v>
      </c>
      <c r="G505">
        <v>0</v>
      </c>
      <c r="H505">
        <v>0</v>
      </c>
      <c r="I505" s="58" t="s">
        <v>2103</v>
      </c>
      <c r="J505">
        <v>-1</v>
      </c>
    </row>
    <row r="506" spans="1:10" x14ac:dyDescent="0.2">
      <c r="A506" t="s">
        <v>1400</v>
      </c>
      <c r="B506" t="s">
        <v>1333</v>
      </c>
      <c r="C506" t="s">
        <v>1316</v>
      </c>
      <c r="D506">
        <v>0</v>
      </c>
      <c r="E506">
        <v>0</v>
      </c>
      <c r="F506">
        <v>0</v>
      </c>
      <c r="G506">
        <v>0</v>
      </c>
      <c r="H506">
        <v>0</v>
      </c>
      <c r="I506" s="58" t="s">
        <v>2104</v>
      </c>
      <c r="J506">
        <v>1.1658936599966201</v>
      </c>
    </row>
    <row r="507" spans="1:10" x14ac:dyDescent="0.2">
      <c r="A507" t="s">
        <v>1338</v>
      </c>
      <c r="B507" t="s">
        <v>1276</v>
      </c>
      <c r="C507" t="s">
        <v>1302</v>
      </c>
      <c r="D507">
        <v>0</v>
      </c>
      <c r="E507">
        <v>0</v>
      </c>
      <c r="F507">
        <v>0</v>
      </c>
      <c r="G507">
        <v>0</v>
      </c>
      <c r="H507">
        <v>0</v>
      </c>
      <c r="I507" s="58" t="s">
        <v>2046</v>
      </c>
      <c r="J507">
        <v>1</v>
      </c>
    </row>
    <row r="508" spans="1:10" x14ac:dyDescent="0.2">
      <c r="A508" t="s">
        <v>1344</v>
      </c>
      <c r="B508" t="s">
        <v>1288</v>
      </c>
      <c r="C508" t="s">
        <v>1302</v>
      </c>
      <c r="D508">
        <v>0</v>
      </c>
      <c r="E508">
        <v>0</v>
      </c>
      <c r="F508">
        <v>0</v>
      </c>
      <c r="G508">
        <v>0</v>
      </c>
      <c r="H508">
        <v>0</v>
      </c>
      <c r="I508" s="58" t="s">
        <v>2050</v>
      </c>
      <c r="J508">
        <v>-1</v>
      </c>
    </row>
    <row r="509" spans="1:10" x14ac:dyDescent="0.2">
      <c r="A509" t="s">
        <v>1573</v>
      </c>
      <c r="B509" t="s">
        <v>1513</v>
      </c>
      <c r="C509" t="s">
        <v>1503</v>
      </c>
      <c r="D509">
        <v>0</v>
      </c>
      <c r="E509">
        <v>0</v>
      </c>
      <c r="F509">
        <v>0</v>
      </c>
      <c r="G509">
        <v>0</v>
      </c>
      <c r="H509">
        <v>0</v>
      </c>
      <c r="I509" s="58" t="s">
        <v>1910</v>
      </c>
      <c r="J509">
        <v>1</v>
      </c>
    </row>
    <row r="510" spans="1:10" x14ac:dyDescent="0.2">
      <c r="A510" t="s">
        <v>1574</v>
      </c>
      <c r="B510" t="s">
        <v>1514</v>
      </c>
      <c r="C510" t="s">
        <v>1497</v>
      </c>
      <c r="D510">
        <v>0</v>
      </c>
      <c r="E510">
        <v>0</v>
      </c>
      <c r="F510">
        <v>0</v>
      </c>
      <c r="G510">
        <v>0</v>
      </c>
      <c r="H510">
        <v>0</v>
      </c>
      <c r="I510" s="58" t="s">
        <v>1911</v>
      </c>
      <c r="J510">
        <v>1</v>
      </c>
    </row>
    <row r="511" spans="1:10" x14ac:dyDescent="0.2">
      <c r="A511" t="s">
        <v>1575</v>
      </c>
      <c r="B511" t="s">
        <v>1515</v>
      </c>
      <c r="C511" t="s">
        <v>1501</v>
      </c>
      <c r="D511">
        <v>0</v>
      </c>
      <c r="E511">
        <v>0</v>
      </c>
      <c r="F511">
        <v>0</v>
      </c>
      <c r="G511">
        <v>0</v>
      </c>
      <c r="H511">
        <v>0</v>
      </c>
      <c r="I511" s="58" t="s">
        <v>1912</v>
      </c>
      <c r="J511">
        <v>1</v>
      </c>
    </row>
    <row r="512" spans="1:10" x14ac:dyDescent="0.2">
      <c r="A512" t="s">
        <v>1576</v>
      </c>
      <c r="B512" t="s">
        <v>1516</v>
      </c>
      <c r="C512" t="s">
        <v>1498</v>
      </c>
      <c r="D512">
        <v>0</v>
      </c>
      <c r="E512">
        <v>0</v>
      </c>
      <c r="F512">
        <v>0</v>
      </c>
      <c r="G512">
        <v>0</v>
      </c>
      <c r="H512">
        <v>0</v>
      </c>
      <c r="I512" s="58" t="s">
        <v>1913</v>
      </c>
      <c r="J512">
        <v>1</v>
      </c>
    </row>
    <row r="513" spans="1:10" x14ac:dyDescent="0.2">
      <c r="A513" t="s">
        <v>1577</v>
      </c>
      <c r="B513" t="s">
        <v>1517</v>
      </c>
      <c r="C513" t="s">
        <v>1499</v>
      </c>
      <c r="D513">
        <v>0</v>
      </c>
      <c r="E513">
        <v>0</v>
      </c>
      <c r="F513">
        <v>0</v>
      </c>
      <c r="G513">
        <v>0</v>
      </c>
      <c r="H513">
        <v>0</v>
      </c>
      <c r="I513" s="58" t="s">
        <v>1914</v>
      </c>
      <c r="J513">
        <v>1</v>
      </c>
    </row>
    <row r="514" spans="1:10" x14ac:dyDescent="0.2">
      <c r="A514" t="s">
        <v>1578</v>
      </c>
      <c r="B514" t="s">
        <v>1518</v>
      </c>
      <c r="C514" t="s">
        <v>1500</v>
      </c>
      <c r="D514">
        <v>0</v>
      </c>
      <c r="E514">
        <v>0</v>
      </c>
      <c r="F514">
        <v>0</v>
      </c>
      <c r="G514">
        <v>0</v>
      </c>
      <c r="H514">
        <v>0</v>
      </c>
      <c r="I514" s="58" t="s">
        <v>1915</v>
      </c>
      <c r="J514">
        <v>1</v>
      </c>
    </row>
    <row r="515" spans="1:10" x14ac:dyDescent="0.2">
      <c r="A515" t="s">
        <v>1579</v>
      </c>
      <c r="B515" t="s">
        <v>1519</v>
      </c>
      <c r="C515" t="s">
        <v>1502</v>
      </c>
      <c r="D515">
        <v>0</v>
      </c>
      <c r="E515">
        <v>0</v>
      </c>
      <c r="F515">
        <v>0</v>
      </c>
      <c r="G515">
        <v>0</v>
      </c>
      <c r="H515">
        <v>0</v>
      </c>
      <c r="I515" s="58" t="s">
        <v>1916</v>
      </c>
      <c r="J515">
        <v>1</v>
      </c>
    </row>
  </sheetData>
  <sortState xmlns:xlrd2="http://schemas.microsoft.com/office/spreadsheetml/2017/richdata2" ref="A2:I515">
    <sortCondition ref="C2"/>
  </sortState>
  <phoneticPr fontId="2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"/>
  <dimension ref="A1"/>
  <sheetViews>
    <sheetView workbookViewId="0"/>
  </sheetViews>
  <sheetFormatPr defaultRowHeight="12.75" x14ac:dyDescent="0.2"/>
  <sheetData/>
  <sortState xmlns:xlrd2="http://schemas.microsoft.com/office/spreadsheetml/2017/richdata2" ref="A1:A272">
    <sortCondition ref="A1"/>
  </sortState>
  <phoneticPr fontId="2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3"/>
  <dimension ref="A1:H11"/>
  <sheetViews>
    <sheetView workbookViewId="0">
      <selection activeCell="I17" sqref="I17"/>
    </sheetView>
  </sheetViews>
  <sheetFormatPr defaultRowHeight="12.75" x14ac:dyDescent="0.2"/>
  <cols>
    <col min="2" max="2" width="15.140625" style="7" customWidth="1"/>
    <col min="3" max="3" width="14.7109375" style="7" customWidth="1"/>
    <col min="4" max="4" width="14.5703125" style="7" customWidth="1"/>
    <col min="5" max="5" width="9.140625" style="7"/>
    <col min="8" max="8" width="11" customWidth="1"/>
  </cols>
  <sheetData>
    <row r="1" spans="1:8" x14ac:dyDescent="0.2">
      <c r="A1" s="1" t="s">
        <v>79</v>
      </c>
      <c r="B1" s="29" t="s">
        <v>80</v>
      </c>
      <c r="C1" s="29" t="s">
        <v>26</v>
      </c>
      <c r="D1" s="29" t="s">
        <v>27</v>
      </c>
      <c r="E1" s="29" t="s">
        <v>30</v>
      </c>
      <c r="F1" s="1" t="s">
        <v>77</v>
      </c>
      <c r="G1" s="1" t="s">
        <v>78</v>
      </c>
      <c r="H1" s="29" t="s">
        <v>11</v>
      </c>
    </row>
    <row r="2" spans="1:8" ht="13.5" x14ac:dyDescent="0.25">
      <c r="A2" s="9">
        <v>1</v>
      </c>
      <c r="B2" s="8"/>
      <c r="C2" s="8"/>
      <c r="D2" s="8"/>
      <c r="E2" s="8"/>
      <c r="F2" s="21">
        <v>-1E+20</v>
      </c>
      <c r="G2" s="21">
        <v>1E+20</v>
      </c>
      <c r="H2" s="21"/>
    </row>
    <row r="3" spans="1:8" ht="13.5" x14ac:dyDescent="0.25">
      <c r="A3" s="9">
        <f>A2+1</f>
        <v>2</v>
      </c>
      <c r="B3" s="8"/>
      <c r="C3" s="8"/>
      <c r="D3" s="8"/>
      <c r="E3" s="8"/>
      <c r="F3" s="21">
        <v>-1E+20</v>
      </c>
      <c r="G3" s="21">
        <v>1E+20</v>
      </c>
      <c r="H3" s="21"/>
    </row>
    <row r="4" spans="1:8" ht="13.5" x14ac:dyDescent="0.25">
      <c r="A4" s="9">
        <f t="shared" ref="A4:A11" si="0">A3+1</f>
        <v>3</v>
      </c>
      <c r="B4" s="8"/>
      <c r="C4" s="8"/>
      <c r="D4" s="8"/>
      <c r="E4" s="8"/>
      <c r="F4" s="21">
        <v>-1E+20</v>
      </c>
      <c r="G4" s="21">
        <v>1E+20</v>
      </c>
      <c r="H4" s="21"/>
    </row>
    <row r="5" spans="1:8" ht="13.5" x14ac:dyDescent="0.25">
      <c r="A5" s="9">
        <f t="shared" si="0"/>
        <v>4</v>
      </c>
      <c r="B5" s="8"/>
      <c r="C5" s="8"/>
      <c r="D5" s="8"/>
      <c r="E5" s="8"/>
      <c r="F5" s="21">
        <v>-1E+20</v>
      </c>
      <c r="G5" s="21">
        <v>1E+20</v>
      </c>
      <c r="H5" s="21"/>
    </row>
    <row r="6" spans="1:8" ht="13.5" x14ac:dyDescent="0.25">
      <c r="A6" s="9">
        <f t="shared" si="0"/>
        <v>5</v>
      </c>
      <c r="B6" s="8"/>
      <c r="C6" s="8"/>
      <c r="D6" s="8"/>
      <c r="E6" s="8"/>
      <c r="F6" s="21">
        <v>-1E+20</v>
      </c>
      <c r="G6" s="21">
        <v>1E+20</v>
      </c>
      <c r="H6" s="9"/>
    </row>
    <row r="7" spans="1:8" ht="13.5" x14ac:dyDescent="0.25">
      <c r="A7" s="9">
        <f t="shared" si="0"/>
        <v>6</v>
      </c>
      <c r="B7" s="8"/>
      <c r="C7" s="8"/>
      <c r="D7" s="8"/>
      <c r="E7" s="8"/>
      <c r="F7" s="21">
        <v>-1E+20</v>
      </c>
      <c r="G7" s="21">
        <v>1E+20</v>
      </c>
      <c r="H7" s="9"/>
    </row>
    <row r="8" spans="1:8" ht="13.5" x14ac:dyDescent="0.25">
      <c r="A8" s="9">
        <f t="shared" si="0"/>
        <v>7</v>
      </c>
      <c r="B8" s="8"/>
      <c r="C8" s="8"/>
      <c r="D8" s="8"/>
      <c r="E8" s="8"/>
      <c r="F8" s="21">
        <v>-1E+20</v>
      </c>
      <c r="G8" s="21">
        <v>1E+20</v>
      </c>
      <c r="H8" s="9"/>
    </row>
    <row r="9" spans="1:8" ht="13.5" x14ac:dyDescent="0.25">
      <c r="A9" s="9">
        <f t="shared" si="0"/>
        <v>8</v>
      </c>
      <c r="B9" s="8"/>
      <c r="C9" s="8"/>
      <c r="D9" s="8"/>
      <c r="E9" s="8"/>
      <c r="F9" s="21">
        <v>-1E+20</v>
      </c>
      <c r="G9" s="21">
        <v>1E+20</v>
      </c>
      <c r="H9" s="9"/>
    </row>
    <row r="10" spans="1:8" ht="13.5" x14ac:dyDescent="0.25">
      <c r="A10" s="9">
        <f t="shared" si="0"/>
        <v>9</v>
      </c>
      <c r="B10" s="8"/>
      <c r="C10" s="8"/>
      <c r="D10" s="8"/>
      <c r="E10" s="8"/>
      <c r="F10" s="21">
        <v>-1E+20</v>
      </c>
      <c r="G10" s="21">
        <v>1E+20</v>
      </c>
      <c r="H10" s="9"/>
    </row>
    <row r="11" spans="1:8" ht="13.5" x14ac:dyDescent="0.25">
      <c r="A11" s="9">
        <f t="shared" si="0"/>
        <v>10</v>
      </c>
      <c r="B11" s="8"/>
      <c r="C11" s="8"/>
      <c r="D11" s="8"/>
      <c r="E11" s="8"/>
      <c r="F11" s="21">
        <v>-1E+20</v>
      </c>
      <c r="G11" s="21">
        <v>1E+20</v>
      </c>
      <c r="H11" s="9"/>
    </row>
  </sheetData>
  <sheetProtection selectLockedCells="1"/>
  <pageMargins left="0.75" right="0.75" top="1" bottom="1" header="0.5" footer="0.5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1"/>
  <dimension ref="A1:S22"/>
  <sheetViews>
    <sheetView workbookViewId="0">
      <selection activeCell="E11" sqref="E11"/>
    </sheetView>
  </sheetViews>
  <sheetFormatPr defaultRowHeight="12.75" x14ac:dyDescent="0.2"/>
  <cols>
    <col min="1" max="1" width="31.28515625" customWidth="1"/>
    <col min="2" max="3" width="10.7109375" customWidth="1"/>
    <col min="4" max="4" width="5.7109375" customWidth="1"/>
    <col min="5" max="5" width="20.7109375" customWidth="1"/>
    <col min="6" max="6" width="15.7109375" customWidth="1"/>
    <col min="7" max="7" width="5.7109375" customWidth="1"/>
    <col min="8" max="8" width="20.7109375" customWidth="1"/>
    <col min="9" max="9" width="15.7109375" customWidth="1"/>
    <col min="10" max="10" width="20.7109375" customWidth="1"/>
    <col min="11" max="11" width="5.7109375" customWidth="1"/>
    <col min="12" max="12" width="20.7109375" customWidth="1"/>
    <col min="13" max="13" width="15.7109375" customWidth="1"/>
    <col min="14" max="14" width="20.7109375" customWidth="1"/>
    <col min="15" max="15" width="5.7109375" customWidth="1"/>
    <col min="16" max="16" width="20.7109375" customWidth="1"/>
    <col min="17" max="17" width="15.7109375" customWidth="1"/>
    <col min="18" max="18" width="20.7109375" customWidth="1"/>
    <col min="19" max="19" width="5.7109375" customWidth="1"/>
  </cols>
  <sheetData>
    <row r="1" spans="1:19" ht="15.75" x14ac:dyDescent="0.25">
      <c r="A1" s="24" t="s">
        <v>98</v>
      </c>
    </row>
    <row r="2" spans="1:19" x14ac:dyDescent="0.2">
      <c r="A2" s="1" t="s">
        <v>99</v>
      </c>
      <c r="E2" s="1" t="s">
        <v>59</v>
      </c>
      <c r="H2" s="1" t="s">
        <v>64</v>
      </c>
      <c r="L2" s="1" t="s">
        <v>63</v>
      </c>
      <c r="P2" s="1" t="s">
        <v>92</v>
      </c>
    </row>
    <row r="3" spans="1:19" x14ac:dyDescent="0.2">
      <c r="A3" s="2" t="s">
        <v>95</v>
      </c>
      <c r="B3" s="44" t="s">
        <v>506</v>
      </c>
      <c r="C3" t="s">
        <v>96</v>
      </c>
      <c r="E3" t="s">
        <v>26</v>
      </c>
      <c r="F3" t="s">
        <v>27</v>
      </c>
      <c r="H3" t="s">
        <v>26</v>
      </c>
      <c r="I3" t="s">
        <v>27</v>
      </c>
      <c r="J3" t="s">
        <v>62</v>
      </c>
      <c r="L3" t="s">
        <v>26</v>
      </c>
      <c r="M3" t="s">
        <v>27</v>
      </c>
      <c r="N3" t="s">
        <v>62</v>
      </c>
      <c r="P3" t="s">
        <v>26</v>
      </c>
      <c r="Q3" t="s">
        <v>27</v>
      </c>
      <c r="R3" t="s">
        <v>62</v>
      </c>
      <c r="S3" s="2" t="s">
        <v>11</v>
      </c>
    </row>
    <row r="4" spans="1:19" x14ac:dyDescent="0.2">
      <c r="A4" s="2" t="s">
        <v>2</v>
      </c>
      <c r="B4" s="23">
        <v>0.33</v>
      </c>
      <c r="C4" t="s">
        <v>24</v>
      </c>
      <c r="F4" t="s">
        <v>81</v>
      </c>
      <c r="S4" s="22"/>
    </row>
    <row r="5" spans="1:19" x14ac:dyDescent="0.2">
      <c r="A5" t="s">
        <v>3</v>
      </c>
      <c r="B5">
        <v>8</v>
      </c>
      <c r="C5" t="s">
        <v>4</v>
      </c>
    </row>
    <row r="6" spans="1:19" x14ac:dyDescent="0.2">
      <c r="A6" s="2" t="s">
        <v>14</v>
      </c>
      <c r="B6" t="s">
        <v>5</v>
      </c>
    </row>
    <row r="7" spans="1:19" x14ac:dyDescent="0.2">
      <c r="A7" s="2" t="s">
        <v>18</v>
      </c>
      <c r="B7">
        <v>1</v>
      </c>
      <c r="C7" t="s">
        <v>25</v>
      </c>
    </row>
    <row r="8" spans="1:19" x14ac:dyDescent="0.2">
      <c r="A8" s="2" t="s">
        <v>19</v>
      </c>
      <c r="B8">
        <v>60</v>
      </c>
      <c r="C8" t="s">
        <v>25</v>
      </c>
    </row>
    <row r="9" spans="1:19" x14ac:dyDescent="0.2">
      <c r="A9" s="2" t="s">
        <v>17</v>
      </c>
      <c r="B9">
        <v>5</v>
      </c>
      <c r="C9" t="s">
        <v>25</v>
      </c>
    </row>
    <row r="10" spans="1:19" x14ac:dyDescent="0.2">
      <c r="A10" t="s">
        <v>57</v>
      </c>
      <c r="B10" t="s">
        <v>52</v>
      </c>
    </row>
    <row r="11" spans="1:19" x14ac:dyDescent="0.2">
      <c r="A11" t="s">
        <v>60</v>
      </c>
      <c r="B11" t="s">
        <v>45</v>
      </c>
    </row>
    <row r="12" spans="1:19" x14ac:dyDescent="0.2">
      <c r="A12" s="2" t="s">
        <v>74</v>
      </c>
      <c r="B12" s="27" t="s">
        <v>45</v>
      </c>
    </row>
    <row r="13" spans="1:19" x14ac:dyDescent="0.2">
      <c r="A13" s="2" t="s">
        <v>93</v>
      </c>
      <c r="B13" s="2" t="s">
        <v>52</v>
      </c>
    </row>
    <row r="14" spans="1:19" x14ac:dyDescent="0.2">
      <c r="A14" s="2" t="s">
        <v>94</v>
      </c>
      <c r="B14">
        <v>1</v>
      </c>
      <c r="C14" s="27" t="s">
        <v>101</v>
      </c>
    </row>
    <row r="15" spans="1:19" x14ac:dyDescent="0.2">
      <c r="A15" s="27" t="s">
        <v>109</v>
      </c>
      <c r="B15" s="27" t="s">
        <v>52</v>
      </c>
    </row>
    <row r="16" spans="1:19" x14ac:dyDescent="0.2">
      <c r="A16" s="27" t="s">
        <v>115</v>
      </c>
      <c r="B16" s="28" t="s">
        <v>45</v>
      </c>
    </row>
    <row r="17" spans="1:2" x14ac:dyDescent="0.2">
      <c r="A17" s="27" t="s">
        <v>138</v>
      </c>
      <c r="B17" s="28" t="s">
        <v>52</v>
      </c>
    </row>
    <row r="18" spans="1:2" x14ac:dyDescent="0.2">
      <c r="A18" s="27" t="s">
        <v>139</v>
      </c>
      <c r="B18">
        <v>9.9999999999999995E-7</v>
      </c>
    </row>
    <row r="19" spans="1:2" x14ac:dyDescent="0.2">
      <c r="A19" s="27" t="s">
        <v>140</v>
      </c>
      <c r="B19">
        <v>1E-8</v>
      </c>
    </row>
    <row r="20" spans="1:2" x14ac:dyDescent="0.2">
      <c r="A20" s="27" t="s">
        <v>141</v>
      </c>
      <c r="B20">
        <v>5</v>
      </c>
    </row>
    <row r="21" spans="1:2" x14ac:dyDescent="0.2">
      <c r="A21" t="s">
        <v>149</v>
      </c>
      <c r="B21" s="27" t="s">
        <v>45</v>
      </c>
    </row>
    <row r="22" spans="1:2" x14ac:dyDescent="0.2">
      <c r="A22" s="27" t="s">
        <v>164</v>
      </c>
      <c r="B22" s="27">
        <v>0</v>
      </c>
    </row>
  </sheetData>
  <pageMargins left="0.75" right="0.75" top="1" bottom="1" header="0.5" footer="0.5"/>
  <pageSetup paperSize="9" orientation="portrait" horizontalDpi="4294967294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"/>
  <dimension ref="A1:S22"/>
  <sheetViews>
    <sheetView workbookViewId="0">
      <selection activeCell="H13" sqref="H13"/>
    </sheetView>
  </sheetViews>
  <sheetFormatPr defaultRowHeight="12.75" x14ac:dyDescent="0.2"/>
  <cols>
    <col min="1" max="1" width="30.140625" customWidth="1"/>
    <col min="2" max="3" width="10.7109375" customWidth="1"/>
    <col min="4" max="4" width="5.7109375" customWidth="1"/>
    <col min="5" max="5" width="20.7109375" customWidth="1"/>
    <col min="6" max="6" width="15.7109375" customWidth="1"/>
    <col min="7" max="7" width="5.7109375" customWidth="1"/>
    <col min="8" max="8" width="20.7109375" customWidth="1"/>
    <col min="9" max="9" width="15.7109375" customWidth="1"/>
    <col min="10" max="10" width="20.7109375" customWidth="1"/>
    <col min="11" max="11" width="5.7109375" customWidth="1"/>
    <col min="12" max="12" width="20.7109375" customWidth="1"/>
    <col min="13" max="13" width="15.7109375" customWidth="1"/>
    <col min="14" max="14" width="20.7109375" customWidth="1"/>
    <col min="15" max="15" width="5.7109375" customWidth="1"/>
    <col min="16" max="16" width="20.7109375" customWidth="1"/>
    <col min="17" max="17" width="15.7109375" customWidth="1"/>
    <col min="18" max="18" width="20.7109375" customWidth="1"/>
    <col min="19" max="19" width="5.7109375" customWidth="1"/>
  </cols>
  <sheetData>
    <row r="1" spans="1:19" ht="15.75" x14ac:dyDescent="0.25">
      <c r="A1" s="24" t="s">
        <v>97</v>
      </c>
    </row>
    <row r="2" spans="1:19" x14ac:dyDescent="0.2">
      <c r="A2" s="1" t="s">
        <v>0</v>
      </c>
      <c r="E2" s="1" t="s">
        <v>59</v>
      </c>
      <c r="H2" s="1" t="s">
        <v>64</v>
      </c>
      <c r="L2" s="1" t="s">
        <v>63</v>
      </c>
      <c r="P2" s="1" t="s">
        <v>92</v>
      </c>
    </row>
    <row r="3" spans="1:19" x14ac:dyDescent="0.2">
      <c r="A3" s="2" t="s">
        <v>95</v>
      </c>
      <c r="B3" s="26" t="s">
        <v>506</v>
      </c>
      <c r="C3" t="s">
        <v>96</v>
      </c>
      <c r="E3" t="s">
        <v>26</v>
      </c>
      <c r="F3" t="s">
        <v>27</v>
      </c>
      <c r="H3" t="s">
        <v>26</v>
      </c>
      <c r="I3" t="s">
        <v>27</v>
      </c>
      <c r="J3" t="s">
        <v>62</v>
      </c>
      <c r="L3" t="s">
        <v>26</v>
      </c>
      <c r="M3" t="s">
        <v>27</v>
      </c>
      <c r="N3" t="s">
        <v>62</v>
      </c>
      <c r="P3" t="s">
        <v>26</v>
      </c>
      <c r="Q3" t="s">
        <v>27</v>
      </c>
      <c r="R3" t="s">
        <v>62</v>
      </c>
      <c r="S3" s="2" t="s">
        <v>11</v>
      </c>
    </row>
    <row r="4" spans="1:19" x14ac:dyDescent="0.2">
      <c r="A4" s="2" t="s">
        <v>2</v>
      </c>
      <c r="B4" s="23">
        <v>0.5</v>
      </c>
      <c r="C4" t="s">
        <v>24</v>
      </c>
      <c r="F4" t="s">
        <v>81</v>
      </c>
      <c r="S4" s="22"/>
    </row>
    <row r="5" spans="1:19" x14ac:dyDescent="0.2">
      <c r="A5" t="s">
        <v>3</v>
      </c>
      <c r="B5">
        <v>22</v>
      </c>
      <c r="C5" t="s">
        <v>4</v>
      </c>
    </row>
    <row r="6" spans="1:19" x14ac:dyDescent="0.2">
      <c r="A6" s="2" t="s">
        <v>14</v>
      </c>
      <c r="B6" t="s">
        <v>5</v>
      </c>
    </row>
    <row r="7" spans="1:19" x14ac:dyDescent="0.2">
      <c r="A7" s="2" t="s">
        <v>18</v>
      </c>
      <c r="B7">
        <v>1</v>
      </c>
      <c r="C7" t="s">
        <v>25</v>
      </c>
    </row>
    <row r="8" spans="1:19" x14ac:dyDescent="0.2">
      <c r="A8" s="2" t="s">
        <v>19</v>
      </c>
      <c r="B8">
        <v>60</v>
      </c>
      <c r="C8" t="s">
        <v>25</v>
      </c>
    </row>
    <row r="9" spans="1:19" x14ac:dyDescent="0.2">
      <c r="A9" s="2" t="s">
        <v>17</v>
      </c>
      <c r="B9">
        <v>5</v>
      </c>
      <c r="C9" t="s">
        <v>25</v>
      </c>
    </row>
    <row r="10" spans="1:19" x14ac:dyDescent="0.2">
      <c r="A10" t="s">
        <v>57</v>
      </c>
      <c r="B10" t="s">
        <v>52</v>
      </c>
    </row>
    <row r="11" spans="1:19" x14ac:dyDescent="0.2">
      <c r="A11" t="s">
        <v>60</v>
      </c>
      <c r="B11" t="s">
        <v>45</v>
      </c>
    </row>
    <row r="12" spans="1:19" x14ac:dyDescent="0.2">
      <c r="A12" s="2" t="s">
        <v>74</v>
      </c>
      <c r="B12" s="2" t="s">
        <v>45</v>
      </c>
    </row>
    <row r="13" spans="1:19" x14ac:dyDescent="0.2">
      <c r="A13" s="2" t="s">
        <v>93</v>
      </c>
      <c r="B13" s="2" t="s">
        <v>52</v>
      </c>
    </row>
    <row r="14" spans="1:19" x14ac:dyDescent="0.2">
      <c r="A14" s="2" t="s">
        <v>94</v>
      </c>
      <c r="B14">
        <v>1</v>
      </c>
      <c r="C14" s="27" t="s">
        <v>101</v>
      </c>
    </row>
    <row r="15" spans="1:19" x14ac:dyDescent="0.2">
      <c r="A15" s="27" t="s">
        <v>109</v>
      </c>
      <c r="B15" s="27" t="s">
        <v>52</v>
      </c>
    </row>
    <row r="16" spans="1:19" x14ac:dyDescent="0.2">
      <c r="A16" s="27" t="s">
        <v>115</v>
      </c>
      <c r="B16" s="28" t="s">
        <v>52</v>
      </c>
    </row>
    <row r="17" spans="1:2" x14ac:dyDescent="0.2">
      <c r="A17" s="27" t="s">
        <v>138</v>
      </c>
      <c r="B17" s="28" t="s">
        <v>52</v>
      </c>
    </row>
    <row r="18" spans="1:2" x14ac:dyDescent="0.2">
      <c r="A18" s="27" t="s">
        <v>139</v>
      </c>
      <c r="B18">
        <v>9.9999999999999995E-7</v>
      </c>
    </row>
    <row r="19" spans="1:2" x14ac:dyDescent="0.2">
      <c r="A19" s="27" t="s">
        <v>140</v>
      </c>
      <c r="B19">
        <v>1E-8</v>
      </c>
    </row>
    <row r="20" spans="1:2" x14ac:dyDescent="0.2">
      <c r="A20" s="27" t="s">
        <v>141</v>
      </c>
      <c r="B20">
        <v>5</v>
      </c>
    </row>
    <row r="21" spans="1:2" x14ac:dyDescent="0.2">
      <c r="A21" t="s">
        <v>149</v>
      </c>
      <c r="B21" s="27" t="s">
        <v>45</v>
      </c>
    </row>
    <row r="22" spans="1:2" x14ac:dyDescent="0.2">
      <c r="A22" s="27" t="s">
        <v>164</v>
      </c>
      <c r="B22" s="27">
        <v>0</v>
      </c>
    </row>
  </sheetData>
  <phoneticPr fontId="2" type="noConversion"/>
  <pageMargins left="0.75" right="0.75" top="1" bottom="1" header="0.5" footer="0.5"/>
  <pageSetup paperSize="9" orientation="portrait" horizontalDpi="4294967294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9"/>
  <dimension ref="A1:AX184"/>
  <sheetViews>
    <sheetView workbookViewId="0">
      <pane xSplit="1" ySplit="5" topLeftCell="B18" activePane="bottomRight" state="frozen"/>
      <selection pane="topRight" activeCell="B1" sqref="B1"/>
      <selection pane="bottomLeft" activeCell="A6" sqref="A6"/>
      <selection pane="bottomRight" activeCell="G22" sqref="G22"/>
    </sheetView>
  </sheetViews>
  <sheetFormatPr defaultColWidth="9.140625" defaultRowHeight="12.75" x14ac:dyDescent="0.25"/>
  <cols>
    <col min="1" max="1" width="23.7109375" style="8" customWidth="1"/>
    <col min="2" max="2" width="14" style="8" customWidth="1"/>
    <col min="3" max="3" width="12.85546875" style="8" customWidth="1"/>
    <col min="4" max="4" width="17.42578125" style="8" customWidth="1"/>
    <col min="5" max="5" width="14" style="8" customWidth="1"/>
    <col min="6" max="6" width="15.7109375" style="8" customWidth="1"/>
    <col min="7" max="7" width="17.140625" style="8" customWidth="1"/>
    <col min="8" max="8" width="15.42578125" style="8" customWidth="1"/>
    <col min="9" max="9" width="17.42578125" style="8" customWidth="1"/>
    <col min="10" max="10" width="14.85546875" style="8" customWidth="1"/>
    <col min="11" max="12" width="17.42578125" style="8" customWidth="1"/>
    <col min="13" max="13" width="14.85546875" style="8" customWidth="1"/>
    <col min="14" max="15" width="11.7109375" style="8" customWidth="1"/>
    <col min="16" max="16" width="10.140625" style="8" customWidth="1"/>
    <col min="17" max="17" width="11.7109375" style="8" customWidth="1"/>
    <col min="18" max="18" width="17.42578125" style="8" customWidth="1"/>
    <col min="19" max="19" width="9.140625" style="8"/>
    <col min="20" max="20" width="15.42578125" style="8" customWidth="1"/>
    <col min="21" max="21" width="16" style="8" bestFit="1" customWidth="1"/>
    <col min="22" max="22" width="12.140625" style="8" bestFit="1" customWidth="1"/>
    <col min="23" max="23" width="10.28515625" style="8" bestFit="1" customWidth="1"/>
    <col min="24" max="24" width="10.85546875" style="8" bestFit="1" customWidth="1"/>
    <col min="25" max="38" width="9.140625" style="8"/>
    <col min="39" max="39" width="14.85546875" style="8" customWidth="1"/>
    <col min="40" max="40" width="12.5703125" style="8" customWidth="1"/>
    <col min="41" max="41" width="22.7109375" style="8" customWidth="1"/>
    <col min="42" max="16384" width="9.140625" style="8"/>
  </cols>
  <sheetData>
    <row r="1" spans="1:50" x14ac:dyDescent="0.25">
      <c r="A1" s="10"/>
      <c r="B1" s="11" t="s">
        <v>44</v>
      </c>
      <c r="C1" s="10"/>
      <c r="D1" s="11" t="s">
        <v>45</v>
      </c>
      <c r="E1" s="11" t="s">
        <v>45</v>
      </c>
      <c r="F1" s="11" t="s">
        <v>45</v>
      </c>
      <c r="G1" s="11" t="s">
        <v>45</v>
      </c>
      <c r="H1" s="11" t="s">
        <v>45</v>
      </c>
      <c r="I1" s="11" t="s">
        <v>45</v>
      </c>
      <c r="J1" s="11" t="s">
        <v>45</v>
      </c>
      <c r="K1" s="11" t="s">
        <v>45</v>
      </c>
      <c r="L1" s="11" t="s">
        <v>45</v>
      </c>
      <c r="M1" s="11" t="s">
        <v>45</v>
      </c>
      <c r="N1" s="11" t="s">
        <v>52</v>
      </c>
      <c r="O1" s="11" t="s">
        <v>52</v>
      </c>
      <c r="P1" s="11" t="s">
        <v>52</v>
      </c>
      <c r="Q1" s="11" t="s">
        <v>52</v>
      </c>
      <c r="R1" s="11" t="s">
        <v>45</v>
      </c>
      <c r="S1" s="11" t="s">
        <v>52</v>
      </c>
      <c r="T1" s="11" t="s">
        <v>52</v>
      </c>
      <c r="U1" s="11" t="s">
        <v>45</v>
      </c>
      <c r="V1" s="11" t="s">
        <v>52</v>
      </c>
      <c r="W1" s="11" t="s">
        <v>52</v>
      </c>
      <c r="X1" s="11" t="s">
        <v>52</v>
      </c>
      <c r="Y1" s="12" t="s">
        <v>52</v>
      </c>
      <c r="Z1" s="12" t="s">
        <v>52</v>
      </c>
      <c r="AA1" s="12" t="s">
        <v>52</v>
      </c>
      <c r="AB1" s="12" t="s">
        <v>52</v>
      </c>
      <c r="AC1" s="12" t="s">
        <v>52</v>
      </c>
      <c r="AD1" s="12" t="s">
        <v>52</v>
      </c>
      <c r="AE1" s="12" t="s">
        <v>45</v>
      </c>
      <c r="AF1" s="12" t="s">
        <v>52</v>
      </c>
      <c r="AG1" s="12" t="s">
        <v>45</v>
      </c>
      <c r="AH1" s="12" t="s">
        <v>45</v>
      </c>
      <c r="AI1" s="12" t="s">
        <v>52</v>
      </c>
      <c r="AJ1" s="12" t="s">
        <v>52</v>
      </c>
      <c r="AK1" s="12" t="s">
        <v>52</v>
      </c>
      <c r="AL1" s="12" t="s">
        <v>52</v>
      </c>
      <c r="AM1" s="12" t="s">
        <v>52</v>
      </c>
      <c r="AN1" s="18" t="s">
        <v>52</v>
      </c>
      <c r="AO1" s="18" t="s">
        <v>52</v>
      </c>
      <c r="AP1" s="12" t="s">
        <v>52</v>
      </c>
    </row>
    <row r="2" spans="1:50" x14ac:dyDescent="0.25">
      <c r="B2" s="8">
        <v>1</v>
      </c>
      <c r="C2" s="8">
        <v>2</v>
      </c>
      <c r="D2" s="8">
        <v>3</v>
      </c>
      <c r="E2" s="8">
        <v>4</v>
      </c>
      <c r="F2" s="8">
        <v>5</v>
      </c>
      <c r="G2" s="8">
        <v>6</v>
      </c>
      <c r="H2" s="8">
        <v>7</v>
      </c>
      <c r="I2" s="8">
        <v>8</v>
      </c>
      <c r="J2" s="8">
        <v>9</v>
      </c>
      <c r="K2" s="8">
        <v>10</v>
      </c>
      <c r="L2" s="8">
        <v>11</v>
      </c>
      <c r="M2" s="8">
        <v>12</v>
      </c>
      <c r="N2" s="8">
        <v>13</v>
      </c>
      <c r="O2" s="8">
        <v>14</v>
      </c>
      <c r="P2" s="8">
        <v>15</v>
      </c>
      <c r="Q2" s="8">
        <v>16</v>
      </c>
      <c r="R2" s="8">
        <v>17</v>
      </c>
      <c r="S2" s="8">
        <v>18</v>
      </c>
      <c r="T2" s="8">
        <v>19</v>
      </c>
      <c r="U2" s="8">
        <v>20</v>
      </c>
      <c r="V2" s="8">
        <v>21</v>
      </c>
      <c r="W2" s="8">
        <v>22</v>
      </c>
      <c r="X2" s="8">
        <v>23</v>
      </c>
      <c r="Y2" s="8">
        <v>24</v>
      </c>
      <c r="Z2" s="8">
        <v>25</v>
      </c>
      <c r="AA2" s="8">
        <v>26</v>
      </c>
      <c r="AB2" s="8">
        <v>27</v>
      </c>
      <c r="AC2" s="8">
        <v>28</v>
      </c>
      <c r="AD2" s="8">
        <v>29</v>
      </c>
      <c r="AE2" s="8">
        <v>30</v>
      </c>
      <c r="AF2" s="8">
        <v>31</v>
      </c>
      <c r="AG2" s="8">
        <v>32</v>
      </c>
      <c r="AH2" s="8">
        <v>33</v>
      </c>
      <c r="AI2" s="8">
        <v>34</v>
      </c>
      <c r="AJ2" s="8">
        <v>35</v>
      </c>
      <c r="AK2" s="8">
        <v>36</v>
      </c>
      <c r="AL2" s="8">
        <v>37</v>
      </c>
      <c r="AM2" s="8">
        <v>38</v>
      </c>
      <c r="AN2" s="8">
        <v>39</v>
      </c>
      <c r="AO2" s="8">
        <v>40</v>
      </c>
      <c r="AP2" s="8">
        <v>41</v>
      </c>
    </row>
    <row r="3" spans="1:50" x14ac:dyDescent="0.25">
      <c r="H3" s="12" t="s">
        <v>46</v>
      </c>
      <c r="K3" s="12" t="s">
        <v>55</v>
      </c>
      <c r="N3" s="12" t="s">
        <v>56</v>
      </c>
      <c r="AE3" s="8" t="s">
        <v>150</v>
      </c>
      <c r="AF3" s="8" t="s">
        <v>163</v>
      </c>
      <c r="AG3" s="8" t="s">
        <v>154</v>
      </c>
      <c r="AN3" s="8" t="s">
        <v>153</v>
      </c>
      <c r="AO3" s="8" t="s">
        <v>152</v>
      </c>
      <c r="AP3" s="8" t="s">
        <v>154</v>
      </c>
    </row>
    <row r="4" spans="1:50" x14ac:dyDescent="0.25">
      <c r="A4" s="8" t="s">
        <v>157</v>
      </c>
      <c r="B4" s="8" t="s">
        <v>158</v>
      </c>
      <c r="C4" s="8" t="s">
        <v>158</v>
      </c>
      <c r="D4" s="8" t="s">
        <v>5</v>
      </c>
      <c r="F4" s="34">
        <v>-1E+30</v>
      </c>
      <c r="G4" s="34">
        <v>1E+30</v>
      </c>
      <c r="H4" s="8">
        <v>0</v>
      </c>
      <c r="I4" s="8">
        <v>0</v>
      </c>
      <c r="J4" s="8">
        <v>0</v>
      </c>
      <c r="K4" s="8" t="s">
        <v>158</v>
      </c>
      <c r="L4" s="8" t="s">
        <v>158</v>
      </c>
      <c r="M4" s="8" t="s">
        <v>158</v>
      </c>
      <c r="N4" s="8">
        <v>0</v>
      </c>
      <c r="O4" s="8">
        <v>0</v>
      </c>
      <c r="P4" s="8" t="s">
        <v>52</v>
      </c>
      <c r="Q4" s="8" t="s">
        <v>158</v>
      </c>
      <c r="R4" s="8" t="s">
        <v>158</v>
      </c>
      <c r="S4" s="8" t="s">
        <v>161</v>
      </c>
      <c r="T4" s="8" t="s">
        <v>52</v>
      </c>
      <c r="U4" s="8" t="s">
        <v>52</v>
      </c>
      <c r="V4" s="8">
        <v>0</v>
      </c>
      <c r="W4" s="8">
        <v>0</v>
      </c>
      <c r="X4" s="8" t="s">
        <v>159</v>
      </c>
      <c r="Y4" s="8" t="s">
        <v>52</v>
      </c>
      <c r="Z4" s="8">
        <v>4</v>
      </c>
      <c r="AA4" s="8">
        <v>0</v>
      </c>
      <c r="AB4" s="8">
        <v>0</v>
      </c>
      <c r="AC4" s="34">
        <v>-1E+30</v>
      </c>
      <c r="AD4" s="34">
        <v>1E+30</v>
      </c>
      <c r="AE4" s="8" t="s">
        <v>52</v>
      </c>
      <c r="AF4" s="8">
        <v>0</v>
      </c>
      <c r="AK4" s="8">
        <v>0</v>
      </c>
      <c r="AL4" s="8">
        <v>0</v>
      </c>
      <c r="AN4" s="8">
        <v>0</v>
      </c>
      <c r="AO4" s="8" t="s">
        <v>158</v>
      </c>
    </row>
    <row r="5" spans="1:50" ht="25.5" x14ac:dyDescent="0.25">
      <c r="A5" s="13" t="s">
        <v>7</v>
      </c>
      <c r="B5" s="13" t="s">
        <v>26</v>
      </c>
      <c r="C5" s="13" t="s">
        <v>27</v>
      </c>
      <c r="D5" s="13" t="s">
        <v>23</v>
      </c>
      <c r="E5" s="13" t="s">
        <v>20</v>
      </c>
      <c r="F5" s="13" t="s">
        <v>21</v>
      </c>
      <c r="G5" s="13" t="s">
        <v>22</v>
      </c>
      <c r="H5" s="13" t="s">
        <v>47</v>
      </c>
      <c r="I5" s="13" t="s">
        <v>48</v>
      </c>
      <c r="J5" s="13" t="s">
        <v>1</v>
      </c>
      <c r="K5" s="13" t="s">
        <v>49</v>
      </c>
      <c r="L5" s="13" t="s">
        <v>50</v>
      </c>
      <c r="M5" s="13" t="s">
        <v>51</v>
      </c>
      <c r="N5" s="13" t="s">
        <v>53</v>
      </c>
      <c r="O5" s="13" t="s">
        <v>54</v>
      </c>
      <c r="P5" s="13" t="s">
        <v>16</v>
      </c>
      <c r="Q5" s="13" t="s">
        <v>42</v>
      </c>
      <c r="R5" s="13" t="s">
        <v>41</v>
      </c>
      <c r="S5" s="13" t="s">
        <v>65</v>
      </c>
      <c r="T5" s="13" t="s">
        <v>66</v>
      </c>
      <c r="U5" s="13" t="s">
        <v>43</v>
      </c>
      <c r="V5" s="13" t="s">
        <v>67</v>
      </c>
      <c r="W5" s="13" t="s">
        <v>61</v>
      </c>
      <c r="X5" s="13" t="s">
        <v>68</v>
      </c>
      <c r="Y5" s="14" t="s">
        <v>72</v>
      </c>
      <c r="Z5" s="14" t="s">
        <v>73</v>
      </c>
      <c r="AA5" s="14" t="s">
        <v>84</v>
      </c>
      <c r="AB5" s="14" t="s">
        <v>83</v>
      </c>
      <c r="AC5" s="13" t="s">
        <v>85</v>
      </c>
      <c r="AD5" s="13" t="s">
        <v>86</v>
      </c>
      <c r="AE5" s="13" t="s">
        <v>88</v>
      </c>
      <c r="AF5" s="12" t="s">
        <v>100</v>
      </c>
      <c r="AG5" s="12" t="s">
        <v>102</v>
      </c>
      <c r="AH5" s="12" t="s">
        <v>105</v>
      </c>
      <c r="AI5" s="12" t="s">
        <v>103</v>
      </c>
      <c r="AJ5" s="12" t="s">
        <v>104</v>
      </c>
      <c r="AK5" s="12" t="s">
        <v>106</v>
      </c>
      <c r="AL5" s="12" t="s">
        <v>107</v>
      </c>
      <c r="AM5" s="12" t="s">
        <v>110</v>
      </c>
      <c r="AN5" s="12" t="s">
        <v>113</v>
      </c>
      <c r="AO5" s="12" t="s">
        <v>114</v>
      </c>
      <c r="AP5" s="12" t="s">
        <v>134</v>
      </c>
    </row>
    <row r="6" spans="1:50" ht="13.5" x14ac:dyDescent="0.25">
      <c r="A6" s="61" t="s">
        <v>512</v>
      </c>
      <c r="B6" s="13"/>
      <c r="C6" s="13"/>
      <c r="D6" s="13" t="s">
        <v>5</v>
      </c>
      <c r="E6">
        <v>212</v>
      </c>
      <c r="F6" s="13"/>
      <c r="G6" s="13"/>
      <c r="H6" s="13"/>
      <c r="I6" s="61">
        <v>1</v>
      </c>
      <c r="J6">
        <v>212</v>
      </c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>
        <v>0.2</v>
      </c>
      <c r="W6" s="13"/>
      <c r="X6" s="13"/>
      <c r="Y6" s="14"/>
      <c r="Z6" s="14"/>
      <c r="AA6" s="14"/>
      <c r="AB6" s="14"/>
      <c r="AC6" s="13"/>
      <c r="AD6" s="13"/>
      <c r="AE6" s="13"/>
      <c r="AF6" s="12">
        <v>0</v>
      </c>
      <c r="AG6" s="12"/>
      <c r="AH6" s="12"/>
      <c r="AI6" s="12"/>
      <c r="AJ6" s="12"/>
      <c r="AK6" s="12"/>
      <c r="AL6" s="12"/>
      <c r="AM6" s="12"/>
      <c r="AN6" s="12"/>
      <c r="AO6" s="12"/>
      <c r="AP6" s="12"/>
      <c r="AX6" s="8">
        <v>1</v>
      </c>
    </row>
    <row r="7" spans="1:50" ht="13.5" x14ac:dyDescent="0.25">
      <c r="A7" s="61" t="s">
        <v>513</v>
      </c>
      <c r="B7" s="13"/>
      <c r="C7" s="13"/>
      <c r="D7" s="13" t="s">
        <v>5</v>
      </c>
      <c r="E7">
        <v>14.2</v>
      </c>
      <c r="F7" s="13"/>
      <c r="G7" s="13"/>
      <c r="H7" s="13"/>
      <c r="I7" s="61">
        <v>1</v>
      </c>
      <c r="J7">
        <v>14.2</v>
      </c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>
        <v>0.2</v>
      </c>
      <c r="W7" s="13"/>
      <c r="X7" s="13"/>
      <c r="Y7" s="14"/>
      <c r="Z7" s="14"/>
      <c r="AA7" s="14"/>
      <c r="AB7" s="14"/>
      <c r="AC7" s="13"/>
      <c r="AD7" s="13"/>
      <c r="AE7" s="13"/>
      <c r="AF7" s="12">
        <v>0</v>
      </c>
      <c r="AG7" s="12"/>
      <c r="AH7" s="12"/>
      <c r="AI7" s="12"/>
      <c r="AJ7" s="12"/>
      <c r="AK7" s="12"/>
      <c r="AL7" s="12"/>
      <c r="AM7" s="12"/>
      <c r="AN7" s="12"/>
      <c r="AO7" s="12"/>
      <c r="AP7" s="12"/>
      <c r="AX7" s="8">
        <v>2</v>
      </c>
    </row>
    <row r="8" spans="1:50" ht="13.5" x14ac:dyDescent="0.25">
      <c r="A8" s="61" t="s">
        <v>514</v>
      </c>
      <c r="B8" s="13"/>
      <c r="C8" s="13"/>
      <c r="D8" s="13" t="s">
        <v>5</v>
      </c>
      <c r="E8">
        <v>80</v>
      </c>
      <c r="F8" s="13"/>
      <c r="G8" s="13"/>
      <c r="H8" s="13"/>
      <c r="I8" s="61">
        <v>1</v>
      </c>
      <c r="J8">
        <v>80</v>
      </c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>
        <v>0.2</v>
      </c>
      <c r="W8" s="13"/>
      <c r="X8" s="13"/>
      <c r="Y8" s="14"/>
      <c r="Z8" s="14"/>
      <c r="AA8" s="14"/>
      <c r="AB8" s="14"/>
      <c r="AC8" s="13"/>
      <c r="AD8" s="13"/>
      <c r="AE8" s="13"/>
      <c r="AF8" s="12">
        <v>0</v>
      </c>
      <c r="AG8" s="12"/>
      <c r="AH8" s="12"/>
      <c r="AI8" s="12"/>
      <c r="AJ8" s="12"/>
      <c r="AK8" s="12"/>
      <c r="AL8" s="12"/>
      <c r="AM8" s="12"/>
      <c r="AN8" s="12"/>
      <c r="AO8" s="12"/>
      <c r="AP8" s="12"/>
      <c r="AX8" s="8">
        <v>3</v>
      </c>
    </row>
    <row r="9" spans="1:50" ht="13.5" x14ac:dyDescent="0.25">
      <c r="A9" s="61" t="s">
        <v>515</v>
      </c>
      <c r="B9" s="13"/>
      <c r="C9" s="13"/>
      <c r="D9" s="13" t="s">
        <v>5</v>
      </c>
      <c r="E9">
        <v>16</v>
      </c>
      <c r="F9" s="13"/>
      <c r="G9" s="13"/>
      <c r="H9" s="13"/>
      <c r="I9" s="61">
        <v>1</v>
      </c>
      <c r="J9">
        <v>16</v>
      </c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>
        <v>0.2</v>
      </c>
      <c r="W9" s="13"/>
      <c r="X9" s="13"/>
      <c r="Y9" s="14"/>
      <c r="Z9" s="14"/>
      <c r="AA9" s="14"/>
      <c r="AB9" s="14"/>
      <c r="AC9" s="13"/>
      <c r="AD9" s="13"/>
      <c r="AE9" s="13"/>
      <c r="AF9" s="12">
        <v>4</v>
      </c>
      <c r="AG9" s="12"/>
      <c r="AH9" s="12"/>
      <c r="AI9" s="12"/>
      <c r="AJ9" s="12"/>
      <c r="AK9" s="12"/>
      <c r="AL9" s="12"/>
      <c r="AM9" s="12"/>
      <c r="AN9" s="12"/>
      <c r="AO9" s="12"/>
      <c r="AP9" s="12"/>
      <c r="AX9" s="8">
        <v>4</v>
      </c>
    </row>
    <row r="10" spans="1:50" ht="13.5" x14ac:dyDescent="0.25">
      <c r="A10" s="61" t="s">
        <v>516</v>
      </c>
      <c r="B10" s="13"/>
      <c r="C10" s="13"/>
      <c r="D10" s="13" t="s">
        <v>5</v>
      </c>
      <c r="E10">
        <v>16</v>
      </c>
      <c r="F10" s="13"/>
      <c r="G10" s="13"/>
      <c r="H10" s="13"/>
      <c r="I10" s="61">
        <v>1</v>
      </c>
      <c r="J10">
        <v>16</v>
      </c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>
        <v>0.2</v>
      </c>
      <c r="W10" s="13"/>
      <c r="X10" s="13"/>
      <c r="Y10" s="14"/>
      <c r="Z10" s="14"/>
      <c r="AA10" s="14"/>
      <c r="AB10" s="14"/>
      <c r="AC10" s="13"/>
      <c r="AD10" s="13"/>
      <c r="AE10" s="13"/>
      <c r="AF10" s="12">
        <v>0</v>
      </c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X10" s="8">
        <v>5</v>
      </c>
    </row>
    <row r="11" spans="1:50" ht="13.5" x14ac:dyDescent="0.25">
      <c r="A11" s="61" t="s">
        <v>517</v>
      </c>
      <c r="B11" s="13"/>
      <c r="C11" s="13"/>
      <c r="D11" s="13" t="s">
        <v>5</v>
      </c>
      <c r="E11">
        <v>16</v>
      </c>
      <c r="F11" s="13"/>
      <c r="G11" s="13"/>
      <c r="H11" s="13"/>
      <c r="I11" s="61">
        <v>1</v>
      </c>
      <c r="J11">
        <v>16</v>
      </c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>
        <v>0.2</v>
      </c>
      <c r="W11" s="13"/>
      <c r="X11" s="13"/>
      <c r="Y11" s="14"/>
      <c r="Z11" s="14"/>
      <c r="AA11" s="14"/>
      <c r="AB11" s="14"/>
      <c r="AC11" s="13"/>
      <c r="AD11" s="13"/>
      <c r="AE11" s="13"/>
      <c r="AF11" s="12">
        <v>0</v>
      </c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X11" s="8">
        <v>6</v>
      </c>
    </row>
    <row r="12" spans="1:50" ht="13.5" x14ac:dyDescent="0.25">
      <c r="A12" s="61" t="s">
        <v>519</v>
      </c>
      <c r="B12" s="13"/>
      <c r="C12" s="13"/>
      <c r="D12" s="13" t="s">
        <v>5</v>
      </c>
      <c r="E12">
        <v>16</v>
      </c>
      <c r="F12" s="13"/>
      <c r="G12" s="13"/>
      <c r="H12" s="13"/>
      <c r="I12" s="61">
        <v>1</v>
      </c>
      <c r="J12">
        <v>16</v>
      </c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>
        <v>0.2</v>
      </c>
      <c r="W12" s="13"/>
      <c r="X12" s="13"/>
      <c r="Y12" s="14"/>
      <c r="Z12" s="14"/>
      <c r="AA12" s="14"/>
      <c r="AB12" s="14"/>
      <c r="AC12" s="13"/>
      <c r="AD12" s="13"/>
      <c r="AE12" s="13"/>
      <c r="AF12" s="12">
        <v>0</v>
      </c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X12" s="8">
        <v>7</v>
      </c>
    </row>
    <row r="13" spans="1:50" ht="13.5" x14ac:dyDescent="0.25">
      <c r="A13" s="61" t="s">
        <v>520</v>
      </c>
      <c r="B13" s="13"/>
      <c r="C13" s="13"/>
      <c r="D13" s="13" t="s">
        <v>349</v>
      </c>
      <c r="E13">
        <v>16</v>
      </c>
      <c r="F13" s="13"/>
      <c r="G13" s="13"/>
      <c r="H13" s="13"/>
      <c r="I13" s="61">
        <v>0</v>
      </c>
      <c r="J13">
        <v>16</v>
      </c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>
        <v>0.2</v>
      </c>
      <c r="W13" s="13"/>
      <c r="X13" s="13"/>
      <c r="Y13" s="14"/>
      <c r="Z13" s="14"/>
      <c r="AA13" s="14"/>
      <c r="AB13" s="14"/>
      <c r="AC13" s="13"/>
      <c r="AD13" s="13"/>
      <c r="AE13" s="13"/>
      <c r="AF13" s="12">
        <v>4</v>
      </c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X13" s="8">
        <v>8</v>
      </c>
    </row>
    <row r="14" spans="1:50" ht="13.5" x14ac:dyDescent="0.25">
      <c r="A14" s="13" t="s">
        <v>564</v>
      </c>
      <c r="B14" s="13"/>
      <c r="C14" s="13"/>
      <c r="D14" s="13" t="s">
        <v>349</v>
      </c>
      <c r="E14">
        <v>80</v>
      </c>
      <c r="F14" s="13"/>
      <c r="G14" s="13"/>
      <c r="H14" s="13"/>
      <c r="I14" s="61">
        <v>0</v>
      </c>
      <c r="J14">
        <v>80</v>
      </c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>
        <v>0.2</v>
      </c>
      <c r="W14" s="13"/>
      <c r="X14" s="13"/>
      <c r="Y14" s="14"/>
      <c r="Z14" s="14"/>
      <c r="AA14" s="14"/>
      <c r="AB14" s="14"/>
      <c r="AC14" s="13"/>
      <c r="AD14" s="13"/>
      <c r="AE14" s="13"/>
      <c r="AF14" s="12">
        <v>4</v>
      </c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X14" s="8">
        <v>9</v>
      </c>
    </row>
    <row r="15" spans="1:50" ht="13.5" x14ac:dyDescent="0.25">
      <c r="A15" s="13" t="s">
        <v>565</v>
      </c>
      <c r="B15" s="13"/>
      <c r="C15" s="13"/>
      <c r="D15" s="13" t="s">
        <v>349</v>
      </c>
      <c r="E15">
        <v>16</v>
      </c>
      <c r="F15" s="13"/>
      <c r="G15" s="13"/>
      <c r="H15" s="13"/>
      <c r="I15" s="61">
        <v>0</v>
      </c>
      <c r="J15">
        <v>16</v>
      </c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>
        <v>0.2</v>
      </c>
      <c r="W15" s="13"/>
      <c r="X15" s="13"/>
      <c r="Y15" s="14"/>
      <c r="Z15" s="14"/>
      <c r="AA15" s="14"/>
      <c r="AB15" s="14"/>
      <c r="AC15" s="13"/>
      <c r="AD15" s="13"/>
      <c r="AE15" s="13"/>
      <c r="AF15" s="12">
        <v>4</v>
      </c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X15" s="8">
        <v>10</v>
      </c>
    </row>
    <row r="16" spans="1:50" ht="13.5" x14ac:dyDescent="0.25">
      <c r="A16" s="13" t="s">
        <v>566</v>
      </c>
      <c r="B16" s="13"/>
      <c r="C16" s="13"/>
      <c r="D16" s="13" t="s">
        <v>349</v>
      </c>
      <c r="E16">
        <v>16</v>
      </c>
      <c r="F16" s="13"/>
      <c r="G16" s="13"/>
      <c r="H16" s="13"/>
      <c r="I16" s="61">
        <v>0</v>
      </c>
      <c r="J16">
        <v>16</v>
      </c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>
        <v>0.2</v>
      </c>
      <c r="W16" s="13"/>
      <c r="X16" s="13"/>
      <c r="Y16" s="14"/>
      <c r="Z16" s="14"/>
      <c r="AA16" s="14"/>
      <c r="AB16" s="14"/>
      <c r="AC16" s="13"/>
      <c r="AD16" s="13"/>
      <c r="AE16" s="13"/>
      <c r="AF16" s="12">
        <v>4</v>
      </c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X16" s="8">
        <v>11</v>
      </c>
    </row>
    <row r="17" spans="1:50" ht="13.5" x14ac:dyDescent="0.25">
      <c r="A17" s="13" t="s">
        <v>567</v>
      </c>
      <c r="B17" s="13"/>
      <c r="C17" s="13"/>
      <c r="D17" s="13" t="s">
        <v>349</v>
      </c>
      <c r="E17">
        <v>16</v>
      </c>
      <c r="F17" s="13"/>
      <c r="G17" s="13"/>
      <c r="H17" s="13"/>
      <c r="I17" s="61">
        <v>0</v>
      </c>
      <c r="J17">
        <v>16</v>
      </c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>
        <v>0.2</v>
      </c>
      <c r="W17" s="13"/>
      <c r="X17" s="13"/>
      <c r="Y17" s="14"/>
      <c r="Z17" s="14"/>
      <c r="AA17" s="14"/>
      <c r="AB17" s="14"/>
      <c r="AC17" s="13"/>
      <c r="AD17" s="13"/>
      <c r="AE17" s="13"/>
      <c r="AF17" s="12">
        <v>4</v>
      </c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X17" s="8">
        <v>12</v>
      </c>
    </row>
    <row r="18" spans="1:50" ht="13.5" x14ac:dyDescent="0.25">
      <c r="A18" s="13" t="s">
        <v>568</v>
      </c>
      <c r="B18" s="13"/>
      <c r="C18" s="13"/>
      <c r="D18" s="13" t="s">
        <v>349</v>
      </c>
      <c r="E18">
        <v>16</v>
      </c>
      <c r="F18" s="13"/>
      <c r="G18" s="13"/>
      <c r="H18" s="13"/>
      <c r="I18" s="61">
        <v>0</v>
      </c>
      <c r="J18">
        <v>16</v>
      </c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>
        <v>0.2</v>
      </c>
      <c r="W18" s="13"/>
      <c r="X18" s="13"/>
      <c r="Y18" s="14"/>
      <c r="Z18" s="14"/>
      <c r="AA18" s="14"/>
      <c r="AB18" s="14"/>
      <c r="AC18" s="13"/>
      <c r="AD18" s="13"/>
      <c r="AE18" s="13"/>
      <c r="AF18" s="12">
        <v>4</v>
      </c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X18" s="8">
        <v>13</v>
      </c>
    </row>
    <row r="19" spans="1:50" ht="13.5" x14ac:dyDescent="0.25">
      <c r="A19" s="13" t="s">
        <v>569</v>
      </c>
      <c r="B19" s="13"/>
      <c r="C19" s="13"/>
      <c r="D19" s="13" t="s">
        <v>349</v>
      </c>
      <c r="E19">
        <v>16</v>
      </c>
      <c r="F19" s="13"/>
      <c r="G19" s="13"/>
      <c r="H19" s="13"/>
      <c r="I19" s="61">
        <v>0</v>
      </c>
      <c r="J19">
        <v>16</v>
      </c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>
        <v>0.2</v>
      </c>
      <c r="W19" s="13"/>
      <c r="X19" s="13"/>
      <c r="Y19" s="14"/>
      <c r="Z19" s="14"/>
      <c r="AA19" s="14"/>
      <c r="AB19" s="14"/>
      <c r="AC19" s="13"/>
      <c r="AD19" s="13"/>
      <c r="AE19" s="13"/>
      <c r="AF19" s="12">
        <v>4</v>
      </c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X19" s="8">
        <v>14</v>
      </c>
    </row>
    <row r="20" spans="1:50" ht="13.5" x14ac:dyDescent="0.25">
      <c r="A20" s="13" t="s">
        <v>570</v>
      </c>
      <c r="B20" s="13"/>
      <c r="C20" s="13"/>
      <c r="D20" s="13" t="s">
        <v>349</v>
      </c>
      <c r="E20">
        <v>302</v>
      </c>
      <c r="F20" s="13"/>
      <c r="G20" s="13"/>
      <c r="H20" s="13"/>
      <c r="I20" s="61">
        <v>0</v>
      </c>
      <c r="J20">
        <v>302</v>
      </c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>
        <v>0.2</v>
      </c>
      <c r="W20" s="13"/>
      <c r="X20" s="13"/>
      <c r="Y20" s="14"/>
      <c r="Z20" s="14"/>
      <c r="AA20" s="14"/>
      <c r="AB20" s="14"/>
      <c r="AC20" s="13"/>
      <c r="AD20" s="13"/>
      <c r="AE20" s="13"/>
      <c r="AF20" s="12">
        <v>4</v>
      </c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X20" s="8">
        <v>15</v>
      </c>
    </row>
    <row r="21" spans="1:50" ht="13.5" x14ac:dyDescent="0.25">
      <c r="A21" s="13" t="s">
        <v>571</v>
      </c>
      <c r="B21" s="13"/>
      <c r="C21" s="13"/>
      <c r="D21" s="13" t="s">
        <v>349</v>
      </c>
      <c r="E21">
        <v>0.78691463946754203</v>
      </c>
      <c r="F21" s="13"/>
      <c r="G21" s="13"/>
      <c r="H21" s="13"/>
      <c r="I21" s="61">
        <v>0</v>
      </c>
      <c r="J21">
        <v>0.78691463946754203</v>
      </c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>
        <v>0.2</v>
      </c>
      <c r="W21" s="13"/>
      <c r="X21" s="13"/>
      <c r="Y21" s="14"/>
      <c r="Z21" s="14"/>
      <c r="AA21" s="14"/>
      <c r="AB21" s="14"/>
      <c r="AC21" s="13"/>
      <c r="AD21" s="13"/>
      <c r="AE21" s="13"/>
      <c r="AF21" s="12">
        <v>4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X21" s="8">
        <v>16</v>
      </c>
    </row>
    <row r="22" spans="1:50" ht="13.5" x14ac:dyDescent="0.25">
      <c r="A22" s="13" t="s">
        <v>572</v>
      </c>
      <c r="B22" s="13"/>
      <c r="C22" s="13"/>
      <c r="D22" s="13" t="s">
        <v>349</v>
      </c>
      <c r="E22">
        <v>2448.4359202393998</v>
      </c>
      <c r="F22" s="13"/>
      <c r="G22" s="13"/>
      <c r="H22" s="13"/>
      <c r="I22" s="61">
        <v>0</v>
      </c>
      <c r="J22">
        <v>2448.4359202393998</v>
      </c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>
        <v>0.2</v>
      </c>
      <c r="W22" s="13"/>
      <c r="X22" s="13"/>
      <c r="Y22" s="14"/>
      <c r="Z22" s="14"/>
      <c r="AA22" s="14"/>
      <c r="AB22" s="14"/>
      <c r="AC22" s="13"/>
      <c r="AD22" s="13"/>
      <c r="AE22" s="13"/>
      <c r="AF22" s="12">
        <v>4</v>
      </c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X22" s="8">
        <v>17</v>
      </c>
    </row>
    <row r="23" spans="1:50" ht="13.5" x14ac:dyDescent="0.25">
      <c r="A23" s="13" t="s">
        <v>573</v>
      </c>
      <c r="B23" s="13"/>
      <c r="C23" s="13"/>
      <c r="D23" s="13" t="s">
        <v>349</v>
      </c>
      <c r="E23">
        <v>482</v>
      </c>
      <c r="F23" s="13"/>
      <c r="G23" s="13"/>
      <c r="H23" s="13"/>
      <c r="I23" s="61">
        <v>0</v>
      </c>
      <c r="J23">
        <v>482</v>
      </c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>
        <v>0.2</v>
      </c>
      <c r="W23" s="13"/>
      <c r="X23" s="13"/>
      <c r="Y23" s="14"/>
      <c r="Z23" s="14"/>
      <c r="AA23" s="14"/>
      <c r="AB23" s="14"/>
      <c r="AC23" s="13"/>
      <c r="AD23" s="13"/>
      <c r="AE23" s="13"/>
      <c r="AF23" s="12">
        <v>4</v>
      </c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X23" s="8">
        <v>18</v>
      </c>
    </row>
    <row r="24" spans="1:50" ht="13.5" x14ac:dyDescent="0.25">
      <c r="A24" s="13" t="s">
        <v>574</v>
      </c>
      <c r="B24" s="13"/>
      <c r="C24" s="13"/>
      <c r="D24" s="13" t="s">
        <v>349</v>
      </c>
      <c r="E24">
        <v>-60.368271634673597</v>
      </c>
      <c r="F24" s="13"/>
      <c r="G24" s="13"/>
      <c r="H24" s="13"/>
      <c r="I24" s="61">
        <v>0</v>
      </c>
      <c r="J24">
        <v>-60.368271634673597</v>
      </c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>
        <v>0.2</v>
      </c>
      <c r="W24" s="13"/>
      <c r="X24" s="13"/>
      <c r="Y24" s="14"/>
      <c r="Z24" s="14"/>
      <c r="AA24" s="14"/>
      <c r="AB24" s="14"/>
      <c r="AC24" s="13"/>
      <c r="AD24" s="13"/>
      <c r="AE24" s="13"/>
      <c r="AF24" s="12">
        <v>4</v>
      </c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X24" s="8">
        <v>19</v>
      </c>
    </row>
    <row r="25" spans="1:50" ht="13.5" x14ac:dyDescent="0.25">
      <c r="A25" s="13" t="s">
        <v>575</v>
      </c>
      <c r="B25" s="13"/>
      <c r="C25" s="13"/>
      <c r="D25" s="13" t="s">
        <v>349</v>
      </c>
      <c r="E25">
        <v>107.76158985170844</v>
      </c>
      <c r="F25" s="13"/>
      <c r="G25" s="13"/>
      <c r="H25" s="13"/>
      <c r="I25" s="61">
        <v>0</v>
      </c>
      <c r="J25">
        <v>107.76158985170844</v>
      </c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>
        <v>0.2</v>
      </c>
      <c r="W25" s="13"/>
      <c r="X25" s="13"/>
      <c r="Y25" s="14"/>
      <c r="Z25" s="14"/>
      <c r="AA25" s="14"/>
      <c r="AB25" s="14"/>
      <c r="AC25" s="13"/>
      <c r="AD25" s="13"/>
      <c r="AE25" s="13"/>
      <c r="AF25" s="12">
        <v>4</v>
      </c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X25" s="8">
        <v>20</v>
      </c>
    </row>
    <row r="26" spans="1:50" ht="13.5" x14ac:dyDescent="0.25">
      <c r="A26" s="13" t="s">
        <v>576</v>
      </c>
      <c r="B26" s="13"/>
      <c r="C26" s="13"/>
      <c r="D26" s="13" t="s">
        <v>349</v>
      </c>
      <c r="E26">
        <v>-44.1073881934444</v>
      </c>
      <c r="F26" s="13"/>
      <c r="G26" s="13"/>
      <c r="H26" s="13"/>
      <c r="I26" s="61">
        <v>0</v>
      </c>
      <c r="J26">
        <v>-44.1073881934444</v>
      </c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>
        <v>0.2</v>
      </c>
      <c r="W26" s="13"/>
      <c r="X26" s="13"/>
      <c r="Y26" s="14"/>
      <c r="Z26" s="14"/>
      <c r="AA26" s="14"/>
      <c r="AB26" s="14"/>
      <c r="AC26" s="13"/>
      <c r="AD26" s="13"/>
      <c r="AE26" s="13"/>
      <c r="AF26" s="12">
        <v>4</v>
      </c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X26" s="8">
        <v>21</v>
      </c>
    </row>
    <row r="27" spans="1:50" ht="13.5" x14ac:dyDescent="0.25">
      <c r="A27" s="13" t="s">
        <v>577</v>
      </c>
      <c r="B27" s="13"/>
      <c r="C27" s="13"/>
      <c r="D27" s="13" t="s">
        <v>349</v>
      </c>
      <c r="E27">
        <v>56.534183307583703</v>
      </c>
      <c r="F27" s="13"/>
      <c r="G27" s="13"/>
      <c r="H27" s="13"/>
      <c r="I27" s="61">
        <v>0</v>
      </c>
      <c r="J27">
        <v>56.534183307583703</v>
      </c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>
        <v>0.2</v>
      </c>
      <c r="W27" s="13"/>
      <c r="X27" s="13"/>
      <c r="Y27" s="14"/>
      <c r="Z27" s="14"/>
      <c r="AA27" s="14"/>
      <c r="AB27" s="14"/>
      <c r="AC27" s="13"/>
      <c r="AD27" s="13"/>
      <c r="AE27" s="13"/>
      <c r="AF27" s="12">
        <v>4</v>
      </c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X27" s="8">
        <v>22</v>
      </c>
    </row>
    <row r="28" spans="1:50" ht="13.5" x14ac:dyDescent="0.25">
      <c r="A28" s="13" t="s">
        <v>578</v>
      </c>
      <c r="B28" s="13"/>
      <c r="C28" s="13"/>
      <c r="D28" s="13" t="s">
        <v>349</v>
      </c>
      <c r="E28">
        <v>0.83893847024218304</v>
      </c>
      <c r="F28" s="13"/>
      <c r="G28" s="13"/>
      <c r="H28" s="13"/>
      <c r="I28" s="61">
        <v>0</v>
      </c>
      <c r="J28">
        <v>0.83893847024218304</v>
      </c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>
        <v>0.2</v>
      </c>
      <c r="W28" s="13"/>
      <c r="X28" s="13"/>
      <c r="Y28" s="14"/>
      <c r="Z28" s="14"/>
      <c r="AA28" s="14"/>
      <c r="AB28" s="14"/>
      <c r="AC28" s="13"/>
      <c r="AD28" s="13"/>
      <c r="AE28" s="13"/>
      <c r="AF28" s="12">
        <v>4</v>
      </c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X28" s="8">
        <v>23</v>
      </c>
    </row>
    <row r="29" spans="1:50" ht="13.5" x14ac:dyDescent="0.25">
      <c r="A29" s="13" t="s">
        <v>579</v>
      </c>
      <c r="B29" s="13"/>
      <c r="C29" s="13"/>
      <c r="D29" s="13" t="s">
        <v>349</v>
      </c>
      <c r="E29">
        <v>3999.9951392451198</v>
      </c>
      <c r="F29" s="13"/>
      <c r="G29" s="13"/>
      <c r="H29" s="13"/>
      <c r="I29" s="61">
        <v>0</v>
      </c>
      <c r="J29">
        <v>3999.9951392451198</v>
      </c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>
        <v>0.2</v>
      </c>
      <c r="W29" s="13"/>
      <c r="X29" s="13"/>
      <c r="Y29" s="14"/>
      <c r="Z29" s="14"/>
      <c r="AA29" s="14"/>
      <c r="AB29" s="14"/>
      <c r="AC29" s="13"/>
      <c r="AD29" s="13"/>
      <c r="AE29" s="13"/>
      <c r="AF29" s="12">
        <v>4</v>
      </c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X29" s="8">
        <v>24</v>
      </c>
    </row>
    <row r="30" spans="1:50" ht="13.5" x14ac:dyDescent="0.25">
      <c r="A30" s="13" t="s">
        <v>580</v>
      </c>
      <c r="B30" s="13"/>
      <c r="C30" s="13"/>
      <c r="D30" s="13" t="s">
        <v>349</v>
      </c>
      <c r="E30">
        <v>662</v>
      </c>
      <c r="F30" s="13"/>
      <c r="G30" s="13"/>
      <c r="H30" s="13"/>
      <c r="I30" s="61">
        <v>0</v>
      </c>
      <c r="J30">
        <v>662</v>
      </c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>
        <v>0.2</v>
      </c>
      <c r="W30" s="13"/>
      <c r="X30" s="13"/>
      <c r="Y30" s="14"/>
      <c r="Z30" s="14"/>
      <c r="AA30" s="14"/>
      <c r="AB30" s="14"/>
      <c r="AC30" s="13"/>
      <c r="AD30" s="13"/>
      <c r="AE30" s="13"/>
      <c r="AF30" s="12">
        <v>4</v>
      </c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X30" s="8">
        <v>25</v>
      </c>
    </row>
    <row r="31" spans="1:50" ht="13.5" x14ac:dyDescent="0.25">
      <c r="A31" s="13" t="s">
        <v>581</v>
      </c>
      <c r="B31" s="13"/>
      <c r="C31" s="13"/>
      <c r="D31" s="13" t="s">
        <v>349</v>
      </c>
      <c r="E31">
        <v>5.0000019223871801</v>
      </c>
      <c r="F31" s="13"/>
      <c r="G31" s="13"/>
      <c r="H31" s="13"/>
      <c r="I31" s="61">
        <v>0</v>
      </c>
      <c r="J31">
        <v>5.0000019223871801</v>
      </c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>
        <v>0.2</v>
      </c>
      <c r="W31" s="13"/>
      <c r="X31" s="13"/>
      <c r="Y31" s="14"/>
      <c r="Z31" s="14"/>
      <c r="AA31" s="14"/>
      <c r="AB31" s="14"/>
      <c r="AC31" s="13"/>
      <c r="AD31" s="13"/>
      <c r="AE31" s="13"/>
      <c r="AF31" s="12">
        <v>4</v>
      </c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X31" s="8">
        <v>26</v>
      </c>
    </row>
    <row r="32" spans="1:50" ht="13.5" x14ac:dyDescent="0.25">
      <c r="A32" s="13" t="s">
        <v>582</v>
      </c>
      <c r="B32" s="13"/>
      <c r="C32" s="13"/>
      <c r="D32" s="13" t="s">
        <v>349</v>
      </c>
      <c r="E32">
        <v>217.91921301060444</v>
      </c>
      <c r="F32" s="13"/>
      <c r="G32" s="13"/>
      <c r="H32" s="13"/>
      <c r="I32" s="61">
        <v>0</v>
      </c>
      <c r="J32">
        <v>217.91921301060444</v>
      </c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>
        <v>0.2</v>
      </c>
      <c r="W32" s="13"/>
      <c r="X32" s="13"/>
      <c r="Y32" s="14"/>
      <c r="Z32" s="14"/>
      <c r="AA32" s="14"/>
      <c r="AB32" s="14"/>
      <c r="AC32" s="13"/>
      <c r="AD32" s="13"/>
      <c r="AE32" s="13"/>
      <c r="AF32" s="12">
        <v>4</v>
      </c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X32" s="8">
        <v>27</v>
      </c>
    </row>
    <row r="33" spans="1:50" ht="13.5" x14ac:dyDescent="0.25">
      <c r="A33" s="13" t="s">
        <v>583</v>
      </c>
      <c r="B33" s="13"/>
      <c r="C33" s="13"/>
      <c r="D33" s="13" t="s">
        <v>349</v>
      </c>
      <c r="E33">
        <v>43.681552531437497</v>
      </c>
      <c r="F33" s="13"/>
      <c r="G33" s="13"/>
      <c r="H33" s="13"/>
      <c r="I33" s="61">
        <v>0</v>
      </c>
      <c r="J33">
        <v>43.681552531437497</v>
      </c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>
        <v>0.2</v>
      </c>
      <c r="W33" s="13"/>
      <c r="X33" s="13"/>
      <c r="Y33" s="14"/>
      <c r="Z33" s="14"/>
      <c r="AA33" s="14"/>
      <c r="AB33" s="14"/>
      <c r="AC33" s="13"/>
      <c r="AD33" s="13"/>
      <c r="AE33" s="13"/>
      <c r="AF33" s="12">
        <v>4</v>
      </c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X33" s="8">
        <v>28</v>
      </c>
    </row>
    <row r="34" spans="1:50" ht="13.5" x14ac:dyDescent="0.25">
      <c r="A34" s="13" t="s">
        <v>584</v>
      </c>
      <c r="B34" s="13"/>
      <c r="C34" s="13"/>
      <c r="D34" s="13" t="s">
        <v>349</v>
      </c>
      <c r="E34">
        <v>0.8556648968087458</v>
      </c>
      <c r="F34" s="13"/>
      <c r="G34" s="13"/>
      <c r="H34" s="13"/>
      <c r="I34" s="61">
        <v>0</v>
      </c>
      <c r="J34">
        <v>0.8556648968087458</v>
      </c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>
        <v>0.2</v>
      </c>
      <c r="W34" s="13"/>
      <c r="X34" s="13"/>
      <c r="Y34" s="14"/>
      <c r="Z34" s="14"/>
      <c r="AA34" s="14"/>
      <c r="AB34" s="14"/>
      <c r="AC34" s="13"/>
      <c r="AD34" s="13"/>
      <c r="AE34" s="13"/>
      <c r="AF34" s="12">
        <v>4</v>
      </c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X34" s="8">
        <v>29</v>
      </c>
    </row>
    <row r="35" spans="1:50" ht="13.5" x14ac:dyDescent="0.25">
      <c r="A35" s="13" t="s">
        <v>585</v>
      </c>
      <c r="B35" s="13"/>
      <c r="C35" s="13"/>
      <c r="D35" s="13" t="s">
        <v>349</v>
      </c>
      <c r="E35">
        <v>5554.6341589663398</v>
      </c>
      <c r="F35" s="13"/>
      <c r="G35" s="13"/>
      <c r="H35" s="13"/>
      <c r="I35" s="61">
        <v>0</v>
      </c>
      <c r="J35">
        <v>5554.6341589663398</v>
      </c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>
        <v>0.2</v>
      </c>
      <c r="W35" s="13"/>
      <c r="X35" s="13"/>
      <c r="Y35" s="14"/>
      <c r="Z35" s="14"/>
      <c r="AA35" s="14"/>
      <c r="AB35" s="14"/>
      <c r="AC35" s="13"/>
      <c r="AD35" s="13"/>
      <c r="AE35" s="13"/>
      <c r="AF35" s="12">
        <v>4</v>
      </c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X35" s="8">
        <v>30</v>
      </c>
    </row>
    <row r="36" spans="1:50" ht="13.5" x14ac:dyDescent="0.25">
      <c r="A36" s="13" t="s">
        <v>586</v>
      </c>
      <c r="B36" s="13"/>
      <c r="C36" s="13"/>
      <c r="D36" s="13" t="s">
        <v>349</v>
      </c>
      <c r="E36">
        <v>842</v>
      </c>
      <c r="F36" s="13"/>
      <c r="G36" s="13"/>
      <c r="H36" s="13"/>
      <c r="I36" s="61">
        <v>0</v>
      </c>
      <c r="J36">
        <v>842</v>
      </c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>
        <v>0.2</v>
      </c>
      <c r="W36" s="13"/>
      <c r="X36" s="13"/>
      <c r="Y36" s="14"/>
      <c r="Z36" s="14"/>
      <c r="AA36" s="14"/>
      <c r="AB36" s="14"/>
      <c r="AC36" s="13"/>
      <c r="AD36" s="13"/>
      <c r="AE36" s="13"/>
      <c r="AF36" s="12">
        <v>4</v>
      </c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X36" s="8">
        <v>31</v>
      </c>
    </row>
    <row r="37" spans="1:50" ht="13.5" x14ac:dyDescent="0.25">
      <c r="A37" s="13" t="s">
        <v>587</v>
      </c>
      <c r="B37" s="13"/>
      <c r="C37" s="13"/>
      <c r="D37" s="13" t="s">
        <v>349</v>
      </c>
      <c r="E37">
        <v>70.368275479031098</v>
      </c>
      <c r="F37" s="13"/>
      <c r="G37" s="13"/>
      <c r="H37" s="13"/>
      <c r="I37" s="61">
        <v>0</v>
      </c>
      <c r="J37">
        <v>70.368275479031098</v>
      </c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>
        <v>0.2</v>
      </c>
      <c r="W37" s="13"/>
      <c r="X37" s="13"/>
      <c r="Y37" s="14"/>
      <c r="Z37" s="14"/>
      <c r="AA37" s="14"/>
      <c r="AB37" s="14"/>
      <c r="AC37" s="13"/>
      <c r="AD37" s="13"/>
      <c r="AE37" s="13"/>
      <c r="AF37" s="12">
        <v>4</v>
      </c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X37" s="8">
        <v>32</v>
      </c>
    </row>
    <row r="38" spans="1:50" ht="13.5" x14ac:dyDescent="0.25">
      <c r="A38" s="13" t="s">
        <v>588</v>
      </c>
      <c r="B38" s="13"/>
      <c r="C38" s="13"/>
      <c r="D38" s="13" t="s">
        <v>349</v>
      </c>
      <c r="E38">
        <v>323.62406847771763</v>
      </c>
      <c r="F38" s="13"/>
      <c r="G38" s="13"/>
      <c r="H38" s="13"/>
      <c r="I38" s="61">
        <v>0</v>
      </c>
      <c r="J38">
        <v>323.62406847771763</v>
      </c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>
        <v>0.2</v>
      </c>
      <c r="W38" s="13"/>
      <c r="X38" s="13"/>
      <c r="Y38" s="14"/>
      <c r="Z38" s="14"/>
      <c r="AA38" s="14"/>
      <c r="AB38" s="14"/>
      <c r="AC38" s="13"/>
      <c r="AD38" s="13"/>
      <c r="AE38" s="13"/>
      <c r="AF38" s="12">
        <v>4</v>
      </c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X38" s="8">
        <v>33</v>
      </c>
    </row>
    <row r="39" spans="1:50" ht="13.5" x14ac:dyDescent="0.25">
      <c r="A39" s="61" t="s">
        <v>623</v>
      </c>
      <c r="B39" s="13"/>
      <c r="C39" s="13"/>
      <c r="D39" s="13" t="s">
        <v>5</v>
      </c>
      <c r="E39">
        <v>9</v>
      </c>
      <c r="F39" s="13"/>
      <c r="G39" s="13"/>
      <c r="H39" s="13"/>
      <c r="I39" s="61">
        <v>1</v>
      </c>
      <c r="J39">
        <v>9</v>
      </c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>
        <v>0.2</v>
      </c>
      <c r="W39" s="13"/>
      <c r="X39" s="13"/>
      <c r="Y39" s="14"/>
      <c r="Z39" s="14"/>
      <c r="AA39" s="14"/>
      <c r="AB39" s="14"/>
      <c r="AC39" s="13"/>
      <c r="AD39" s="13"/>
      <c r="AE39" s="13"/>
      <c r="AF39" s="12">
        <v>0</v>
      </c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X39" s="8">
        <v>34</v>
      </c>
    </row>
    <row r="40" spans="1:50" ht="13.5" x14ac:dyDescent="0.25">
      <c r="A40" s="61" t="s">
        <v>624</v>
      </c>
      <c r="B40" s="13"/>
      <c r="C40" s="13"/>
      <c r="D40" s="13" t="s">
        <v>349</v>
      </c>
      <c r="E40">
        <v>392</v>
      </c>
      <c r="F40" s="13"/>
      <c r="G40" s="13"/>
      <c r="H40" s="13"/>
      <c r="I40" s="61">
        <v>1</v>
      </c>
      <c r="J40">
        <v>392</v>
      </c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>
        <v>0.2</v>
      </c>
      <c r="W40" s="13"/>
      <c r="X40" s="13"/>
      <c r="Y40" s="14"/>
      <c r="Z40" s="14"/>
      <c r="AA40" s="14"/>
      <c r="AB40" s="14"/>
      <c r="AC40" s="13"/>
      <c r="AD40" s="13"/>
      <c r="AE40" s="13"/>
      <c r="AF40" s="12">
        <v>0</v>
      </c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X40" s="8">
        <v>35</v>
      </c>
    </row>
    <row r="41" spans="1:50" ht="13.5" x14ac:dyDescent="0.25">
      <c r="A41" s="61" t="s">
        <v>625</v>
      </c>
      <c r="B41" s="13"/>
      <c r="C41" s="13"/>
      <c r="D41" s="13" t="s">
        <v>349</v>
      </c>
      <c r="E41">
        <v>90</v>
      </c>
      <c r="F41" s="13"/>
      <c r="G41" s="13"/>
      <c r="H41" s="13"/>
      <c r="I41" s="61">
        <v>1</v>
      </c>
      <c r="J41">
        <v>90</v>
      </c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>
        <v>0.2</v>
      </c>
      <c r="W41" s="13"/>
      <c r="X41" s="13"/>
      <c r="Y41" s="14"/>
      <c r="Z41" s="14"/>
      <c r="AA41" s="14"/>
      <c r="AB41" s="14"/>
      <c r="AC41" s="13"/>
      <c r="AD41" s="13"/>
      <c r="AE41" s="13"/>
      <c r="AF41" s="12">
        <v>0</v>
      </c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X41" s="8">
        <v>36</v>
      </c>
    </row>
    <row r="42" spans="1:50" ht="13.5" x14ac:dyDescent="0.25">
      <c r="A42" s="61" t="s">
        <v>626</v>
      </c>
      <c r="B42" s="13"/>
      <c r="C42" s="13"/>
      <c r="D42" s="13" t="s">
        <v>349</v>
      </c>
      <c r="E42">
        <v>0</v>
      </c>
      <c r="F42" s="13"/>
      <c r="G42" s="13"/>
      <c r="H42" s="13"/>
      <c r="I42" s="61">
        <v>1</v>
      </c>
      <c r="J42">
        <v>0</v>
      </c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>
        <v>0.2</v>
      </c>
      <c r="W42" s="13"/>
      <c r="X42" s="13"/>
      <c r="Y42" s="14"/>
      <c r="Z42" s="14"/>
      <c r="AA42" s="14"/>
      <c r="AB42" s="14"/>
      <c r="AC42" s="13"/>
      <c r="AD42" s="13"/>
      <c r="AE42" s="13"/>
      <c r="AF42" s="12">
        <v>0</v>
      </c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X42" s="8">
        <v>37</v>
      </c>
    </row>
    <row r="43" spans="1:50" ht="13.5" x14ac:dyDescent="0.25">
      <c r="A43" s="61" t="s">
        <v>627</v>
      </c>
      <c r="B43" s="13"/>
      <c r="C43" s="13"/>
      <c r="D43" s="13" t="s">
        <v>349</v>
      </c>
      <c r="E43">
        <v>572</v>
      </c>
      <c r="F43" s="13"/>
      <c r="G43" s="13"/>
      <c r="H43" s="13"/>
      <c r="I43" s="61">
        <v>1</v>
      </c>
      <c r="J43">
        <v>572</v>
      </c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>
        <v>0.2</v>
      </c>
      <c r="W43" s="13"/>
      <c r="X43" s="13"/>
      <c r="Y43" s="14"/>
      <c r="Z43" s="14"/>
      <c r="AA43" s="14"/>
      <c r="AB43" s="14"/>
      <c r="AC43" s="13"/>
      <c r="AD43" s="13"/>
      <c r="AE43" s="13"/>
      <c r="AF43" s="12">
        <v>0</v>
      </c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X43" s="8">
        <v>38</v>
      </c>
    </row>
    <row r="44" spans="1:50" ht="13.5" x14ac:dyDescent="0.25">
      <c r="A44" s="61" t="s">
        <v>628</v>
      </c>
      <c r="B44" s="13"/>
      <c r="C44" s="13"/>
      <c r="D44" s="13" t="s">
        <v>349</v>
      </c>
      <c r="E44">
        <v>72</v>
      </c>
      <c r="F44" s="13"/>
      <c r="G44" s="13"/>
      <c r="H44" s="13"/>
      <c r="I44" s="61">
        <v>1</v>
      </c>
      <c r="J44">
        <v>72</v>
      </c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>
        <v>0.2</v>
      </c>
      <c r="W44" s="13"/>
      <c r="X44" s="13"/>
      <c r="Y44" s="14"/>
      <c r="Z44" s="14"/>
      <c r="AA44" s="14"/>
      <c r="AB44" s="14"/>
      <c r="AC44" s="13"/>
      <c r="AD44" s="13"/>
      <c r="AE44" s="13"/>
      <c r="AF44" s="12">
        <v>0</v>
      </c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X44" s="8">
        <v>39</v>
      </c>
    </row>
    <row r="45" spans="1:50" ht="13.5" x14ac:dyDescent="0.25">
      <c r="A45" s="61" t="s">
        <v>629</v>
      </c>
      <c r="B45" s="13"/>
      <c r="C45" s="13"/>
      <c r="D45" s="13" t="s">
        <v>349</v>
      </c>
      <c r="E45">
        <v>18</v>
      </c>
      <c r="F45" s="13"/>
      <c r="G45" s="13"/>
      <c r="H45" s="13"/>
      <c r="I45" s="61">
        <v>1</v>
      </c>
      <c r="J45">
        <v>18</v>
      </c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>
        <v>0.2</v>
      </c>
      <c r="W45" s="13"/>
      <c r="X45" s="13"/>
      <c r="Y45" s="14"/>
      <c r="Z45" s="14"/>
      <c r="AA45" s="14"/>
      <c r="AB45" s="14"/>
      <c r="AC45" s="13"/>
      <c r="AD45" s="13"/>
      <c r="AE45" s="13"/>
      <c r="AF45" s="12">
        <v>0</v>
      </c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X45" s="8">
        <v>40</v>
      </c>
    </row>
    <row r="46" spans="1:50" ht="13.5" x14ac:dyDescent="0.25">
      <c r="A46" s="61" t="s">
        <v>630</v>
      </c>
      <c r="B46" s="13"/>
      <c r="C46" s="13"/>
      <c r="D46" s="13" t="s">
        <v>349</v>
      </c>
      <c r="E46">
        <v>0</v>
      </c>
      <c r="F46" s="13"/>
      <c r="G46" s="13"/>
      <c r="H46" s="13"/>
      <c r="I46" s="61">
        <v>1</v>
      </c>
      <c r="J46">
        <v>0</v>
      </c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>
        <v>0.2</v>
      </c>
      <c r="W46" s="13"/>
      <c r="X46" s="13"/>
      <c r="Y46" s="14"/>
      <c r="Z46" s="14"/>
      <c r="AA46" s="14"/>
      <c r="AB46" s="14"/>
      <c r="AC46" s="13"/>
      <c r="AD46" s="13"/>
      <c r="AE46" s="13"/>
      <c r="AF46" s="12">
        <v>0</v>
      </c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X46" s="8">
        <v>41</v>
      </c>
    </row>
    <row r="47" spans="1:50" ht="13.5" x14ac:dyDescent="0.25">
      <c r="A47" s="13" t="s">
        <v>1763</v>
      </c>
      <c r="B47" s="13"/>
      <c r="C47" s="13"/>
      <c r="D47" s="13" t="s">
        <v>349</v>
      </c>
      <c r="E47">
        <v>0</v>
      </c>
      <c r="F47" s="13"/>
      <c r="G47" s="13"/>
      <c r="H47" s="13"/>
      <c r="I47" s="61">
        <v>1</v>
      </c>
      <c r="J47">
        <v>0</v>
      </c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>
        <v>0.2</v>
      </c>
      <c r="W47" s="13"/>
      <c r="X47" s="13"/>
      <c r="Y47" s="14"/>
      <c r="Z47" s="14"/>
      <c r="AA47" s="14"/>
      <c r="AB47" s="14"/>
      <c r="AC47" s="13"/>
      <c r="AD47" s="13"/>
      <c r="AE47" s="13"/>
      <c r="AF47" s="12">
        <v>0</v>
      </c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X47" s="8">
        <v>42</v>
      </c>
    </row>
    <row r="48" spans="1:50" ht="13.5" x14ac:dyDescent="0.25">
      <c r="A48" s="61" t="s">
        <v>631</v>
      </c>
      <c r="B48" s="13"/>
      <c r="C48" s="13"/>
      <c r="D48" s="13" t="s">
        <v>349</v>
      </c>
      <c r="E48">
        <v>572</v>
      </c>
      <c r="F48" s="13"/>
      <c r="G48" s="13"/>
      <c r="H48" s="13"/>
      <c r="I48" s="61">
        <v>1</v>
      </c>
      <c r="J48">
        <v>572</v>
      </c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>
        <v>0.2</v>
      </c>
      <c r="W48" s="13"/>
      <c r="X48" s="13"/>
      <c r="Y48" s="14"/>
      <c r="Z48" s="14"/>
      <c r="AA48" s="14"/>
      <c r="AB48" s="14"/>
      <c r="AC48" s="13"/>
      <c r="AD48" s="13"/>
      <c r="AE48" s="13"/>
      <c r="AF48" s="12">
        <v>0</v>
      </c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X48" s="8">
        <v>43</v>
      </c>
    </row>
    <row r="49" spans="1:50" ht="13.5" x14ac:dyDescent="0.25">
      <c r="A49" s="61" t="s">
        <v>632</v>
      </c>
      <c r="B49" s="13"/>
      <c r="C49" s="13"/>
      <c r="D49" s="13" t="s">
        <v>349</v>
      </c>
      <c r="E49">
        <v>72</v>
      </c>
      <c r="F49" s="13"/>
      <c r="G49" s="13"/>
      <c r="H49" s="13"/>
      <c r="I49" s="61">
        <v>1</v>
      </c>
      <c r="J49">
        <v>72</v>
      </c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>
        <v>0.2</v>
      </c>
      <c r="W49" s="13"/>
      <c r="X49" s="13"/>
      <c r="Y49" s="14"/>
      <c r="Z49" s="14"/>
      <c r="AA49" s="14"/>
      <c r="AB49" s="14"/>
      <c r="AC49" s="13"/>
      <c r="AD49" s="13"/>
      <c r="AE49" s="13"/>
      <c r="AF49" s="12">
        <v>0</v>
      </c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X49" s="8">
        <v>44</v>
      </c>
    </row>
    <row r="50" spans="1:50" ht="13.5" x14ac:dyDescent="0.25">
      <c r="A50" s="61" t="s">
        <v>633</v>
      </c>
      <c r="B50" s="13"/>
      <c r="C50" s="13"/>
      <c r="D50" s="13" t="s">
        <v>349</v>
      </c>
      <c r="E50">
        <v>156</v>
      </c>
      <c r="F50" s="13"/>
      <c r="G50" s="13"/>
      <c r="H50" s="13"/>
      <c r="I50" s="61">
        <v>1</v>
      </c>
      <c r="J50">
        <v>156</v>
      </c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>
        <v>0.2</v>
      </c>
      <c r="W50" s="13"/>
      <c r="X50" s="13"/>
      <c r="Y50" s="14"/>
      <c r="Z50" s="14"/>
      <c r="AA50" s="14"/>
      <c r="AB50" s="14"/>
      <c r="AC50" s="13"/>
      <c r="AD50" s="13"/>
      <c r="AE50" s="13"/>
      <c r="AF50" s="12">
        <v>0</v>
      </c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X50" s="8">
        <v>45</v>
      </c>
    </row>
    <row r="51" spans="1:50" ht="13.5" x14ac:dyDescent="0.25">
      <c r="A51" s="61" t="s">
        <v>634</v>
      </c>
      <c r="B51" s="13"/>
      <c r="C51" s="13"/>
      <c r="D51" s="13" t="s">
        <v>349</v>
      </c>
      <c r="E51">
        <v>42</v>
      </c>
      <c r="F51" s="13"/>
      <c r="G51" s="13"/>
      <c r="H51" s="13"/>
      <c r="I51" s="61">
        <v>1</v>
      </c>
      <c r="J51">
        <v>42</v>
      </c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>
        <v>0.2</v>
      </c>
      <c r="W51" s="13"/>
      <c r="X51" s="13"/>
      <c r="Y51" s="14"/>
      <c r="Z51" s="14"/>
      <c r="AA51" s="14"/>
      <c r="AB51" s="14"/>
      <c r="AC51" s="13"/>
      <c r="AD51" s="13"/>
      <c r="AE51" s="13"/>
      <c r="AF51" s="12">
        <v>0</v>
      </c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X51" s="8">
        <v>46</v>
      </c>
    </row>
    <row r="52" spans="1:50" ht="13.5" x14ac:dyDescent="0.25">
      <c r="A52" s="13" t="s">
        <v>1764</v>
      </c>
      <c r="B52" s="13"/>
      <c r="C52" s="13"/>
      <c r="D52" s="13" t="s">
        <v>349</v>
      </c>
      <c r="E52">
        <v>0</v>
      </c>
      <c r="F52" s="13"/>
      <c r="G52" s="13"/>
      <c r="H52" s="13"/>
      <c r="I52" s="61">
        <v>1</v>
      </c>
      <c r="J52">
        <v>0</v>
      </c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>
        <v>0.2</v>
      </c>
      <c r="W52" s="13"/>
      <c r="X52" s="13"/>
      <c r="Y52" s="14"/>
      <c r="Z52" s="14"/>
      <c r="AA52" s="14"/>
      <c r="AB52" s="14"/>
      <c r="AC52" s="13"/>
      <c r="AD52" s="13"/>
      <c r="AE52" s="13"/>
      <c r="AF52" s="12">
        <v>0</v>
      </c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X52" s="8">
        <v>47</v>
      </c>
    </row>
    <row r="53" spans="1:50" ht="13.5" x14ac:dyDescent="0.25">
      <c r="A53" s="13" t="s">
        <v>635</v>
      </c>
      <c r="B53" s="13"/>
      <c r="C53" s="13"/>
      <c r="D53" s="13" t="s">
        <v>349</v>
      </c>
      <c r="E53">
        <v>49.999987500080792</v>
      </c>
      <c r="F53" s="13"/>
      <c r="G53" s="13"/>
      <c r="H53" s="13"/>
      <c r="I53" s="61">
        <v>0</v>
      </c>
      <c r="J53">
        <v>49.999987500080792</v>
      </c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>
        <v>0.2</v>
      </c>
      <c r="W53" s="13"/>
      <c r="X53" s="13"/>
      <c r="Y53" s="14"/>
      <c r="Z53" s="14"/>
      <c r="AA53" s="14"/>
      <c r="AB53" s="14"/>
      <c r="AC53" s="13"/>
      <c r="AD53" s="13"/>
      <c r="AE53" s="13"/>
      <c r="AF53" s="12">
        <v>4</v>
      </c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X53" s="8">
        <v>48</v>
      </c>
    </row>
    <row r="54" spans="1:50" ht="13.5" x14ac:dyDescent="0.25">
      <c r="A54" s="13" t="s">
        <v>636</v>
      </c>
      <c r="B54" s="13"/>
      <c r="C54" s="13"/>
      <c r="D54" s="13" t="s">
        <v>349</v>
      </c>
      <c r="E54">
        <v>99.999900000339295</v>
      </c>
      <c r="F54" s="13"/>
      <c r="G54" s="13"/>
      <c r="H54" s="13"/>
      <c r="I54" s="61">
        <v>0</v>
      </c>
      <c r="J54">
        <v>99.999900000339295</v>
      </c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>
        <v>0.2</v>
      </c>
      <c r="W54" s="13"/>
      <c r="X54" s="13"/>
      <c r="Y54" s="14"/>
      <c r="Z54" s="14"/>
      <c r="AA54" s="14"/>
      <c r="AB54" s="14"/>
      <c r="AC54" s="13"/>
      <c r="AD54" s="13"/>
      <c r="AE54" s="13"/>
      <c r="AF54" s="12">
        <v>4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X54" s="8">
        <v>49</v>
      </c>
    </row>
    <row r="55" spans="1:50" ht="13.5" x14ac:dyDescent="0.25">
      <c r="A55" s="13" t="s">
        <v>637</v>
      </c>
      <c r="B55" s="13"/>
      <c r="C55" s="13"/>
      <c r="D55" s="13" t="s">
        <v>349</v>
      </c>
      <c r="E55">
        <v>49.999987500080792</v>
      </c>
      <c r="F55" s="13"/>
      <c r="G55" s="13"/>
      <c r="H55" s="13"/>
      <c r="I55" s="61">
        <v>0</v>
      </c>
      <c r="J55">
        <v>49.999987500080792</v>
      </c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>
        <v>0.2</v>
      </c>
      <c r="W55" s="13"/>
      <c r="X55" s="13"/>
      <c r="Y55" s="14"/>
      <c r="Z55" s="14"/>
      <c r="AA55" s="14"/>
      <c r="AB55" s="14"/>
      <c r="AC55" s="13"/>
      <c r="AD55" s="13"/>
      <c r="AE55" s="13"/>
      <c r="AF55" s="12">
        <v>4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X55" s="8">
        <v>50</v>
      </c>
    </row>
    <row r="56" spans="1:50" ht="13.5" x14ac:dyDescent="0.25">
      <c r="A56" s="13" t="s">
        <v>638</v>
      </c>
      <c r="B56" s="13"/>
      <c r="C56" s="13"/>
      <c r="D56" s="13" t="s">
        <v>349</v>
      </c>
      <c r="E56">
        <v>89.999927100351186</v>
      </c>
      <c r="F56" s="13"/>
      <c r="G56" s="13"/>
      <c r="H56" s="13"/>
      <c r="I56" s="61">
        <v>0</v>
      </c>
      <c r="J56">
        <v>89.999927100351186</v>
      </c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>
        <v>0.2</v>
      </c>
      <c r="W56" s="13"/>
      <c r="X56" s="13"/>
      <c r="Y56" s="14"/>
      <c r="Z56" s="14"/>
      <c r="AA56" s="14"/>
      <c r="AB56" s="14"/>
      <c r="AC56" s="13"/>
      <c r="AD56" s="13"/>
      <c r="AE56" s="13"/>
      <c r="AF56" s="12">
        <v>4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X56" s="8">
        <v>51</v>
      </c>
    </row>
    <row r="57" spans="1:50" ht="13.5" x14ac:dyDescent="0.25">
      <c r="A57" s="13" t="s">
        <v>639</v>
      </c>
      <c r="B57" s="13"/>
      <c r="C57" s="13"/>
      <c r="D57" s="13" t="s">
        <v>349</v>
      </c>
      <c r="E57">
        <v>99.999900000339295</v>
      </c>
      <c r="F57" s="13"/>
      <c r="G57" s="13"/>
      <c r="H57" s="13"/>
      <c r="I57" s="61">
        <v>0</v>
      </c>
      <c r="J57">
        <v>99.999900000339295</v>
      </c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>
        <v>0.2</v>
      </c>
      <c r="W57" s="13"/>
      <c r="X57" s="13"/>
      <c r="Y57" s="14"/>
      <c r="Z57" s="14"/>
      <c r="AA57" s="14"/>
      <c r="AB57" s="14"/>
      <c r="AC57" s="13"/>
      <c r="AD57" s="13"/>
      <c r="AE57" s="13"/>
      <c r="AF57" s="12">
        <v>4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X57" s="8">
        <v>52</v>
      </c>
    </row>
    <row r="58" spans="1:50" ht="13.5" x14ac:dyDescent="0.25">
      <c r="A58" s="13" t="s">
        <v>1765</v>
      </c>
      <c r="B58" s="13"/>
      <c r="C58" s="13"/>
      <c r="D58" s="13" t="s">
        <v>349</v>
      </c>
      <c r="E58">
        <v>99.999900000339295</v>
      </c>
      <c r="F58" s="13"/>
      <c r="G58" s="13"/>
      <c r="H58" s="13"/>
      <c r="I58" s="61">
        <v>0</v>
      </c>
      <c r="J58">
        <v>99.999900000339295</v>
      </c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>
        <v>0.2</v>
      </c>
      <c r="W58" s="13"/>
      <c r="X58" s="13"/>
      <c r="Y58" s="14"/>
      <c r="Z58" s="14"/>
      <c r="AA58" s="14"/>
      <c r="AB58" s="14"/>
      <c r="AC58" s="13"/>
      <c r="AD58" s="13"/>
      <c r="AE58" s="13"/>
      <c r="AF58" s="12">
        <v>4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X58" s="8">
        <v>53</v>
      </c>
    </row>
    <row r="59" spans="1:50" ht="13.5" x14ac:dyDescent="0.25">
      <c r="A59" s="13" t="s">
        <v>640</v>
      </c>
      <c r="B59" s="13"/>
      <c r="C59" s="13"/>
      <c r="D59" s="13" t="s">
        <v>349</v>
      </c>
      <c r="E59">
        <v>0</v>
      </c>
      <c r="F59" s="13"/>
      <c r="G59" s="13"/>
      <c r="H59" s="13"/>
      <c r="I59" s="61">
        <v>0</v>
      </c>
      <c r="J59">
        <v>0</v>
      </c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>
        <v>0.2</v>
      </c>
      <c r="W59" s="13"/>
      <c r="X59" s="13"/>
      <c r="Y59" s="14"/>
      <c r="Z59" s="14"/>
      <c r="AA59" s="14"/>
      <c r="AB59" s="14"/>
      <c r="AC59" s="13"/>
      <c r="AD59" s="13"/>
      <c r="AE59" s="13"/>
      <c r="AF59" s="12">
        <v>4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X59" s="8">
        <v>54</v>
      </c>
    </row>
    <row r="60" spans="1:50" ht="13.5" x14ac:dyDescent="0.25">
      <c r="A60" s="13" t="s">
        <v>641</v>
      </c>
      <c r="B60" s="13"/>
      <c r="C60" s="13"/>
      <c r="D60" s="13" t="s">
        <v>349</v>
      </c>
      <c r="E60">
        <v>0</v>
      </c>
      <c r="F60" s="13"/>
      <c r="G60" s="13"/>
      <c r="H60" s="13"/>
      <c r="I60" s="61">
        <v>0</v>
      </c>
      <c r="J60">
        <v>0</v>
      </c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>
        <v>0.2</v>
      </c>
      <c r="W60" s="13"/>
      <c r="X60" s="13"/>
      <c r="Y60" s="14"/>
      <c r="Z60" s="14"/>
      <c r="AA60" s="14"/>
      <c r="AB60" s="14"/>
      <c r="AC60" s="13"/>
      <c r="AD60" s="13"/>
      <c r="AE60" s="13"/>
      <c r="AF60" s="12">
        <v>4</v>
      </c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X60" s="8">
        <v>55</v>
      </c>
    </row>
    <row r="61" spans="1:50" ht="13.5" x14ac:dyDescent="0.25">
      <c r="A61" s="13" t="s">
        <v>642</v>
      </c>
      <c r="B61" s="13"/>
      <c r="C61" s="13"/>
      <c r="D61" s="13" t="s">
        <v>349</v>
      </c>
      <c r="E61">
        <v>76.666666668622099</v>
      </c>
      <c r="F61" s="13"/>
      <c r="G61" s="13"/>
      <c r="H61" s="13"/>
      <c r="I61" s="61">
        <v>0</v>
      </c>
      <c r="J61">
        <v>76.666666668622099</v>
      </c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>
        <v>0.2</v>
      </c>
      <c r="W61" s="13"/>
      <c r="X61" s="13"/>
      <c r="Y61" s="14"/>
      <c r="Z61" s="14"/>
      <c r="AA61" s="14"/>
      <c r="AB61" s="14"/>
      <c r="AC61" s="13"/>
      <c r="AD61" s="13"/>
      <c r="AE61" s="13"/>
      <c r="AF61" s="12">
        <v>4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X61" s="8">
        <v>56</v>
      </c>
    </row>
    <row r="62" spans="1:50" ht="13.5" x14ac:dyDescent="0.25">
      <c r="A62" s="13" t="s">
        <v>1766</v>
      </c>
      <c r="B62" s="13"/>
      <c r="C62" s="13"/>
      <c r="D62" s="13" t="s">
        <v>349</v>
      </c>
      <c r="E62">
        <v>99.999900000339295</v>
      </c>
      <c r="F62" s="13"/>
      <c r="G62" s="13"/>
      <c r="H62" s="13"/>
      <c r="I62" s="61">
        <v>0</v>
      </c>
      <c r="J62">
        <v>99.999900000339295</v>
      </c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>
        <v>0.2</v>
      </c>
      <c r="W62" s="13"/>
      <c r="X62" s="13"/>
      <c r="Y62" s="14"/>
      <c r="Z62" s="14"/>
      <c r="AA62" s="14"/>
      <c r="AB62" s="14"/>
      <c r="AC62" s="13"/>
      <c r="AD62" s="13"/>
      <c r="AE62" s="13"/>
      <c r="AF62" s="12">
        <v>4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X62" s="8">
        <v>57</v>
      </c>
    </row>
    <row r="63" spans="1:50" ht="13.5" x14ac:dyDescent="0.25">
      <c r="A63" s="61" t="s">
        <v>643</v>
      </c>
      <c r="B63" s="13"/>
      <c r="C63" s="13"/>
      <c r="D63" s="13" t="s">
        <v>349</v>
      </c>
      <c r="E63">
        <v>12.042197141104362</v>
      </c>
      <c r="F63" s="13"/>
      <c r="G63" s="13"/>
      <c r="H63" s="13"/>
      <c r="I63" s="61">
        <v>1</v>
      </c>
      <c r="J63">
        <v>12.042197141104362</v>
      </c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>
        <v>0.2</v>
      </c>
      <c r="W63" s="13"/>
      <c r="X63" s="13"/>
      <c r="Y63" s="14"/>
      <c r="Z63" s="14"/>
      <c r="AA63" s="14"/>
      <c r="AB63" s="14"/>
      <c r="AC63" s="13"/>
      <c r="AD63" s="13"/>
      <c r="AE63" s="13"/>
      <c r="AF63" s="12">
        <v>0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X63" s="8">
        <v>58</v>
      </c>
    </row>
    <row r="64" spans="1:50" ht="13.5" x14ac:dyDescent="0.25">
      <c r="A64" s="13" t="s">
        <v>644</v>
      </c>
      <c r="B64" s="13"/>
      <c r="C64" s="13"/>
      <c r="D64" s="13" t="s">
        <v>349</v>
      </c>
      <c r="E64">
        <v>50.471607857742498</v>
      </c>
      <c r="F64" s="13"/>
      <c r="G64" s="13"/>
      <c r="H64" s="13"/>
      <c r="I64" s="61">
        <v>0</v>
      </c>
      <c r="J64">
        <v>50.471607857742498</v>
      </c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>
        <v>0.2</v>
      </c>
      <c r="W64" s="13"/>
      <c r="X64" s="13"/>
      <c r="Y64" s="14"/>
      <c r="Z64" s="14"/>
      <c r="AA64" s="14"/>
      <c r="AB64" s="14"/>
      <c r="AC64" s="13"/>
      <c r="AD64" s="13"/>
      <c r="AE64" s="13"/>
      <c r="AF64" s="12">
        <v>4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X64" s="8">
        <v>59</v>
      </c>
    </row>
    <row r="65" spans="1:50" ht="13.5" x14ac:dyDescent="0.25">
      <c r="A65" s="61" t="s">
        <v>645</v>
      </c>
      <c r="B65" s="13"/>
      <c r="C65" s="13"/>
      <c r="D65" s="13" t="s">
        <v>349</v>
      </c>
      <c r="E65">
        <v>0.57115285145789152</v>
      </c>
      <c r="F65" s="13"/>
      <c r="G65" s="13"/>
      <c r="H65" s="13"/>
      <c r="I65" s="61">
        <v>1</v>
      </c>
      <c r="J65">
        <v>0.57115285145789152</v>
      </c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>
        <v>0.2</v>
      </c>
      <c r="W65" s="13"/>
      <c r="X65" s="13"/>
      <c r="Y65" s="14"/>
      <c r="Z65" s="14"/>
      <c r="AA65" s="14"/>
      <c r="AB65" s="14"/>
      <c r="AC65" s="13"/>
      <c r="AD65" s="13"/>
      <c r="AE65" s="13"/>
      <c r="AF65" s="12">
        <v>0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X65" s="8">
        <v>60</v>
      </c>
    </row>
    <row r="66" spans="1:50" ht="13.5" x14ac:dyDescent="0.25">
      <c r="A66" s="61" t="s">
        <v>646</v>
      </c>
      <c r="B66" s="13"/>
      <c r="C66" s="13"/>
      <c r="D66" s="13" t="s">
        <v>349</v>
      </c>
      <c r="E66">
        <v>-96.779299884543775</v>
      </c>
      <c r="F66" s="13"/>
      <c r="G66" s="13"/>
      <c r="H66" s="13"/>
      <c r="I66" s="61">
        <v>1</v>
      </c>
      <c r="J66">
        <v>-96.779299884543775</v>
      </c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>
        <v>0.2</v>
      </c>
      <c r="W66" s="13"/>
      <c r="X66" s="13"/>
      <c r="Y66" s="14"/>
      <c r="Z66" s="14"/>
      <c r="AA66" s="14"/>
      <c r="AB66" s="14"/>
      <c r="AC66" s="13"/>
      <c r="AD66" s="13"/>
      <c r="AE66" s="13"/>
      <c r="AF66" s="12">
        <v>0</v>
      </c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X66" s="8">
        <v>61</v>
      </c>
    </row>
    <row r="67" spans="1:50" ht="13.5" x14ac:dyDescent="0.25">
      <c r="A67" s="13" t="s">
        <v>647</v>
      </c>
      <c r="B67" s="13"/>
      <c r="C67" s="13"/>
      <c r="D67" s="13" t="s">
        <v>349</v>
      </c>
      <c r="E67">
        <v>-2.1545100331143958</v>
      </c>
      <c r="F67" s="13"/>
      <c r="G67" s="13"/>
      <c r="H67" s="13"/>
      <c r="I67" s="61">
        <v>0</v>
      </c>
      <c r="J67">
        <v>-2.1545100331143958</v>
      </c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>
        <v>0.2</v>
      </c>
      <c r="W67" s="13"/>
      <c r="X67" s="13"/>
      <c r="Y67" s="14"/>
      <c r="Z67" s="14"/>
      <c r="AA67" s="14"/>
      <c r="AB67" s="14"/>
      <c r="AC67" s="13"/>
      <c r="AD67" s="13"/>
      <c r="AE67" s="13"/>
      <c r="AF67" s="12">
        <v>0</v>
      </c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X67" s="8">
        <v>62</v>
      </c>
    </row>
    <row r="68" spans="1:50" ht="13.5" x14ac:dyDescent="0.25">
      <c r="A68" s="13" t="s">
        <v>648</v>
      </c>
      <c r="B68" s="13"/>
      <c r="C68" s="13"/>
      <c r="D68" s="13" t="s">
        <v>349</v>
      </c>
      <c r="E68">
        <v>0.67442890978791203</v>
      </c>
      <c r="F68" s="13"/>
      <c r="G68" s="13"/>
      <c r="H68" s="13"/>
      <c r="I68" s="61">
        <v>0</v>
      </c>
      <c r="J68">
        <v>0.67442890978791203</v>
      </c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>
        <v>0.2</v>
      </c>
      <c r="W68" s="13"/>
      <c r="X68" s="13"/>
      <c r="Y68" s="14"/>
      <c r="Z68" s="14"/>
      <c r="AA68" s="14"/>
      <c r="AB68" s="14"/>
      <c r="AC68" s="13"/>
      <c r="AD68" s="13"/>
      <c r="AE68" s="13"/>
      <c r="AF68" s="12">
        <v>0</v>
      </c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X68" s="8">
        <v>63</v>
      </c>
    </row>
    <row r="69" spans="1:50" ht="13.5" x14ac:dyDescent="0.25">
      <c r="A69" s="13" t="s">
        <v>649</v>
      </c>
      <c r="B69" s="13"/>
      <c r="C69" s="13"/>
      <c r="D69" s="13" t="s">
        <v>349</v>
      </c>
      <c r="E69">
        <v>0.54553642181616391</v>
      </c>
      <c r="F69" s="13"/>
      <c r="G69" s="13"/>
      <c r="H69" s="13"/>
      <c r="I69" s="61">
        <v>0</v>
      </c>
      <c r="J69">
        <v>0.54553642181616391</v>
      </c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>
        <v>0.2</v>
      </c>
      <c r="W69" s="13"/>
      <c r="X69" s="13"/>
      <c r="Y69" s="14"/>
      <c r="Z69" s="14"/>
      <c r="AA69" s="14"/>
      <c r="AB69" s="14"/>
      <c r="AC69" s="13"/>
      <c r="AD69" s="13"/>
      <c r="AE69" s="13"/>
      <c r="AF69" s="12">
        <v>0</v>
      </c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X69" s="8">
        <v>64</v>
      </c>
    </row>
    <row r="70" spans="1:50" ht="13.5" x14ac:dyDescent="0.25">
      <c r="A70" s="61" t="s">
        <v>650</v>
      </c>
      <c r="B70" s="13"/>
      <c r="C70" s="13"/>
      <c r="D70" s="13" t="s">
        <v>349</v>
      </c>
      <c r="E70">
        <v>8.6551356167390114</v>
      </c>
      <c r="F70" s="13"/>
      <c r="G70" s="13"/>
      <c r="H70" s="13"/>
      <c r="I70" s="61">
        <v>1</v>
      </c>
      <c r="J70">
        <v>8.6551356167390114</v>
      </c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>
        <v>0.2</v>
      </c>
      <c r="W70" s="13"/>
      <c r="X70" s="13"/>
      <c r="Y70" s="14"/>
      <c r="Z70" s="14"/>
      <c r="AA70" s="14"/>
      <c r="AB70" s="14"/>
      <c r="AC70" s="13"/>
      <c r="AD70" s="13"/>
      <c r="AE70" s="13"/>
      <c r="AF70" s="12">
        <v>0</v>
      </c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X70" s="8">
        <v>65</v>
      </c>
    </row>
    <row r="71" spans="1:50" ht="13.5" x14ac:dyDescent="0.25">
      <c r="A71" s="61" t="s">
        <v>651</v>
      </c>
      <c r="B71" s="13"/>
      <c r="C71" s="13"/>
      <c r="D71" s="13" t="s">
        <v>349</v>
      </c>
      <c r="E71">
        <v>-964.40618386030928</v>
      </c>
      <c r="F71" s="13"/>
      <c r="G71" s="13"/>
      <c r="H71" s="13"/>
      <c r="I71" s="61">
        <v>1</v>
      </c>
      <c r="J71">
        <v>-964.40618386030928</v>
      </c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>
        <v>0.2</v>
      </c>
      <c r="W71" s="13"/>
      <c r="X71" s="13"/>
      <c r="Y71" s="14"/>
      <c r="Z71" s="14"/>
      <c r="AA71" s="14"/>
      <c r="AB71" s="14"/>
      <c r="AC71" s="13"/>
      <c r="AD71" s="13"/>
      <c r="AE71" s="13"/>
      <c r="AF71" s="12">
        <v>0</v>
      </c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X71" s="8">
        <v>66</v>
      </c>
    </row>
    <row r="72" spans="1:50" ht="13.5" x14ac:dyDescent="0.25">
      <c r="A72" s="13" t="s">
        <v>652</v>
      </c>
      <c r="B72" s="13"/>
      <c r="C72" s="13"/>
      <c r="D72" s="13" t="s">
        <v>349</v>
      </c>
      <c r="E72">
        <v>1999.9992881216799</v>
      </c>
      <c r="F72" s="13"/>
      <c r="G72" s="13"/>
      <c r="H72" s="13"/>
      <c r="I72" s="61">
        <v>0</v>
      </c>
      <c r="J72">
        <v>1999.9992881216799</v>
      </c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>
        <v>0.2</v>
      </c>
      <c r="W72" s="13"/>
      <c r="X72" s="13"/>
      <c r="Y72" s="14"/>
      <c r="Z72" s="14"/>
      <c r="AA72" s="14"/>
      <c r="AB72" s="14"/>
      <c r="AC72" s="13"/>
      <c r="AD72" s="13"/>
      <c r="AE72" s="13"/>
      <c r="AF72" s="12">
        <v>4</v>
      </c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X72" s="8">
        <v>67</v>
      </c>
    </row>
    <row r="73" spans="1:50" ht="13.5" x14ac:dyDescent="0.25">
      <c r="A73" s="13" t="s">
        <v>653</v>
      </c>
      <c r="B73" s="13"/>
      <c r="C73" s="13"/>
      <c r="D73" s="13" t="s">
        <v>349</v>
      </c>
      <c r="E73">
        <v>5554.6336452784299</v>
      </c>
      <c r="F73" s="13"/>
      <c r="G73" s="13"/>
      <c r="H73" s="13"/>
      <c r="I73" s="61">
        <v>0</v>
      </c>
      <c r="J73">
        <v>5554.6336452784299</v>
      </c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>
        <v>0.2</v>
      </c>
      <c r="W73" s="13"/>
      <c r="X73" s="13"/>
      <c r="Y73" s="14"/>
      <c r="Z73" s="14"/>
      <c r="AA73" s="14"/>
      <c r="AB73" s="14"/>
      <c r="AC73" s="13"/>
      <c r="AD73" s="13"/>
      <c r="AE73" s="13"/>
      <c r="AF73" s="12">
        <v>4</v>
      </c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X73" s="8">
        <v>68</v>
      </c>
    </row>
    <row r="74" spans="1:50" ht="13.5" x14ac:dyDescent="0.25">
      <c r="A74" s="61" t="s">
        <v>654</v>
      </c>
      <c r="B74" s="13"/>
      <c r="C74" s="13"/>
      <c r="D74" s="13" t="s">
        <v>349</v>
      </c>
      <c r="E74">
        <v>0.36315707531608604</v>
      </c>
      <c r="F74" s="13"/>
      <c r="G74" s="13"/>
      <c r="H74" s="13"/>
      <c r="I74" s="61">
        <v>1</v>
      </c>
      <c r="J74">
        <v>0.36315707531608604</v>
      </c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>
        <v>0.2</v>
      </c>
      <c r="W74" s="13"/>
      <c r="X74" s="13"/>
      <c r="Y74" s="14"/>
      <c r="Z74" s="14"/>
      <c r="AA74" s="14"/>
      <c r="AB74" s="14"/>
      <c r="AC74" s="13"/>
      <c r="AD74" s="13"/>
      <c r="AE74" s="13"/>
      <c r="AF74" s="12">
        <v>0</v>
      </c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X74" s="8">
        <v>69</v>
      </c>
    </row>
    <row r="75" spans="1:50" ht="13.5" x14ac:dyDescent="0.25">
      <c r="A75" s="61" t="s">
        <v>655</v>
      </c>
      <c r="B75" s="13"/>
      <c r="C75" s="13"/>
      <c r="D75" s="13" t="s">
        <v>349</v>
      </c>
      <c r="E75">
        <v>-209.89636978827252</v>
      </c>
      <c r="F75" s="13"/>
      <c r="G75" s="13"/>
      <c r="H75" s="13"/>
      <c r="I75" s="61">
        <v>1</v>
      </c>
      <c r="J75">
        <v>-209.89636978827252</v>
      </c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>
        <v>0.2</v>
      </c>
      <c r="W75" s="13"/>
      <c r="X75" s="13"/>
      <c r="Y75" s="14"/>
      <c r="Z75" s="14"/>
      <c r="AA75" s="14"/>
      <c r="AB75" s="14"/>
      <c r="AC75" s="13"/>
      <c r="AD75" s="13"/>
      <c r="AE75" s="13"/>
      <c r="AF75" s="12">
        <v>0</v>
      </c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X75" s="8">
        <v>70</v>
      </c>
    </row>
    <row r="76" spans="1:50" ht="13.5" x14ac:dyDescent="0.25">
      <c r="A76" s="61" t="s">
        <v>656</v>
      </c>
      <c r="B76" s="13"/>
      <c r="C76" s="13"/>
      <c r="D76" s="13" t="s">
        <v>349</v>
      </c>
      <c r="E76">
        <v>0.19076042805165852</v>
      </c>
      <c r="F76" s="13"/>
      <c r="G76" s="13"/>
      <c r="H76" s="13"/>
      <c r="I76" s="61">
        <v>1</v>
      </c>
      <c r="J76">
        <v>0.19076042805165852</v>
      </c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>
        <v>0.2</v>
      </c>
      <c r="W76" s="13"/>
      <c r="X76" s="13"/>
      <c r="Y76" s="14"/>
      <c r="Z76" s="14"/>
      <c r="AA76" s="14"/>
      <c r="AB76" s="14"/>
      <c r="AC76" s="13"/>
      <c r="AD76" s="13"/>
      <c r="AE76" s="13"/>
      <c r="AF76" s="12">
        <v>0</v>
      </c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X76" s="8">
        <v>71</v>
      </c>
    </row>
    <row r="77" spans="1:50" ht="13.5" x14ac:dyDescent="0.25">
      <c r="A77" s="61" t="s">
        <v>657</v>
      </c>
      <c r="B77" s="13"/>
      <c r="C77" s="13"/>
      <c r="D77" s="13" t="s">
        <v>349</v>
      </c>
      <c r="E77">
        <v>-120.94857931064145</v>
      </c>
      <c r="F77" s="13"/>
      <c r="G77" s="13"/>
      <c r="H77" s="13"/>
      <c r="I77" s="61">
        <v>1</v>
      </c>
      <c r="J77">
        <v>-120.94857931064145</v>
      </c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>
        <v>0.2</v>
      </c>
      <c r="W77" s="13"/>
      <c r="X77" s="13"/>
      <c r="Y77" s="14"/>
      <c r="Z77" s="14"/>
      <c r="AA77" s="14"/>
      <c r="AB77" s="14"/>
      <c r="AC77" s="13"/>
      <c r="AD77" s="13"/>
      <c r="AE77" s="13"/>
      <c r="AF77" s="12">
        <v>0</v>
      </c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X77" s="8">
        <v>72</v>
      </c>
    </row>
    <row r="78" spans="1:50" ht="13.5" x14ac:dyDescent="0.25">
      <c r="A78" s="61" t="s">
        <v>554</v>
      </c>
      <c r="B78" s="13"/>
      <c r="C78" s="13"/>
      <c r="D78" s="13" t="s">
        <v>349</v>
      </c>
      <c r="E78">
        <v>8</v>
      </c>
      <c r="F78" s="13"/>
      <c r="G78" s="13"/>
      <c r="H78" s="13"/>
      <c r="I78" s="61">
        <v>1</v>
      </c>
      <c r="J78">
        <v>8</v>
      </c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>
        <v>0.2</v>
      </c>
      <c r="W78" s="13"/>
      <c r="X78" s="13"/>
      <c r="Y78" s="14"/>
      <c r="Z78" s="14"/>
      <c r="AA78" s="14"/>
      <c r="AB78" s="14"/>
      <c r="AC78" s="13"/>
      <c r="AD78" s="13"/>
      <c r="AE78" s="13"/>
      <c r="AF78" s="12">
        <v>0</v>
      </c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X78" s="8">
        <v>73</v>
      </c>
    </row>
    <row r="79" spans="1:50" ht="13.5" x14ac:dyDescent="0.25">
      <c r="A79" s="13" t="s">
        <v>555</v>
      </c>
      <c r="B79" s="13"/>
      <c r="C79" s="13"/>
      <c r="D79" s="13" t="s">
        <v>349</v>
      </c>
      <c r="E79">
        <v>8</v>
      </c>
      <c r="F79" s="13"/>
      <c r="G79" s="13"/>
      <c r="H79" s="13"/>
      <c r="I79" s="61">
        <v>0</v>
      </c>
      <c r="J79">
        <v>8</v>
      </c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>
        <v>0.2</v>
      </c>
      <c r="W79" s="13"/>
      <c r="X79" s="13"/>
      <c r="Y79" s="14"/>
      <c r="Z79" s="14"/>
      <c r="AA79" s="14"/>
      <c r="AB79" s="14"/>
      <c r="AC79" s="13"/>
      <c r="AD79" s="13"/>
      <c r="AE79" s="13"/>
      <c r="AF79" s="12">
        <v>4</v>
      </c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X79" s="8">
        <v>74</v>
      </c>
    </row>
    <row r="80" spans="1:50" ht="13.5" x14ac:dyDescent="0.25">
      <c r="A80" s="13" t="s">
        <v>662</v>
      </c>
      <c r="B80" s="13"/>
      <c r="C80" s="13"/>
      <c r="D80" s="13" t="s">
        <v>349</v>
      </c>
      <c r="E80">
        <v>56</v>
      </c>
      <c r="F80" s="13"/>
      <c r="G80" s="13"/>
      <c r="H80" s="13"/>
      <c r="I80" s="61">
        <v>0</v>
      </c>
      <c r="J80">
        <v>56</v>
      </c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>
        <v>0.2</v>
      </c>
      <c r="W80" s="13"/>
      <c r="X80" s="13"/>
      <c r="Y80" s="14"/>
      <c r="Z80" s="14"/>
      <c r="AA80" s="14"/>
      <c r="AB80" s="14"/>
      <c r="AC80" s="13"/>
      <c r="AD80" s="13"/>
      <c r="AE80" s="13"/>
      <c r="AF80" s="12">
        <v>4</v>
      </c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X80" s="8">
        <v>75</v>
      </c>
    </row>
    <row r="81" spans="1:50" ht="13.5" x14ac:dyDescent="0.25">
      <c r="A81" s="13" t="s">
        <v>663</v>
      </c>
      <c r="B81" s="13"/>
      <c r="C81" s="13"/>
      <c r="D81" s="13" t="s">
        <v>349</v>
      </c>
      <c r="E81">
        <v>8</v>
      </c>
      <c r="F81" s="13"/>
      <c r="G81" s="13"/>
      <c r="H81" s="13"/>
      <c r="I81" s="61">
        <v>0</v>
      </c>
      <c r="J81">
        <v>8</v>
      </c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>
        <v>0.2</v>
      </c>
      <c r="W81" s="13"/>
      <c r="X81" s="13"/>
      <c r="Y81" s="14"/>
      <c r="Z81" s="14"/>
      <c r="AA81" s="14"/>
      <c r="AB81" s="14"/>
      <c r="AC81" s="13"/>
      <c r="AD81" s="13"/>
      <c r="AE81" s="13"/>
      <c r="AF81" s="12">
        <v>4</v>
      </c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X81" s="8">
        <v>76</v>
      </c>
    </row>
    <row r="82" spans="1:50" ht="13.5" x14ac:dyDescent="0.25">
      <c r="A82" s="13" t="s">
        <v>664</v>
      </c>
      <c r="B82" s="13"/>
      <c r="C82" s="13"/>
      <c r="D82" s="13" t="s">
        <v>349</v>
      </c>
      <c r="E82">
        <v>16</v>
      </c>
      <c r="F82" s="13"/>
      <c r="G82" s="13"/>
      <c r="H82" s="13"/>
      <c r="I82" s="61">
        <v>0</v>
      </c>
      <c r="J82">
        <v>16</v>
      </c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>
        <v>0.2</v>
      </c>
      <c r="W82" s="13"/>
      <c r="X82" s="13"/>
      <c r="Y82" s="14"/>
      <c r="Z82" s="14"/>
      <c r="AA82" s="14"/>
      <c r="AB82" s="14"/>
      <c r="AC82" s="13"/>
      <c r="AD82" s="13"/>
      <c r="AE82" s="13"/>
      <c r="AF82" s="12">
        <v>4</v>
      </c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X82" s="8">
        <v>77</v>
      </c>
    </row>
    <row r="83" spans="1:50" ht="13.5" x14ac:dyDescent="0.25">
      <c r="A83" s="13" t="s">
        <v>665</v>
      </c>
      <c r="B83" s="13"/>
      <c r="C83" s="13"/>
      <c r="D83" s="13" t="s">
        <v>349</v>
      </c>
      <c r="E83">
        <v>16</v>
      </c>
      <c r="F83" s="13"/>
      <c r="G83" s="13"/>
      <c r="H83" s="13"/>
      <c r="I83" s="61">
        <v>0</v>
      </c>
      <c r="J83">
        <v>16</v>
      </c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>
        <v>0.2</v>
      </c>
      <c r="W83" s="13"/>
      <c r="X83" s="13"/>
      <c r="Y83" s="14"/>
      <c r="Z83" s="14"/>
      <c r="AA83" s="14"/>
      <c r="AB83" s="14"/>
      <c r="AC83" s="13"/>
      <c r="AD83" s="13"/>
      <c r="AE83" s="13"/>
      <c r="AF83" s="12">
        <v>4</v>
      </c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X83" s="8">
        <v>78</v>
      </c>
    </row>
    <row r="84" spans="1:50" ht="13.5" x14ac:dyDescent="0.25">
      <c r="A84" s="61" t="s">
        <v>1512</v>
      </c>
      <c r="B84" s="13"/>
      <c r="C84" s="13"/>
      <c r="D84" s="13" t="s">
        <v>349</v>
      </c>
      <c r="E84">
        <v>16</v>
      </c>
      <c r="F84" s="13"/>
      <c r="G84" s="13"/>
      <c r="H84" s="13"/>
      <c r="I84" s="61">
        <v>0</v>
      </c>
      <c r="J84">
        <v>16</v>
      </c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>
        <v>0.2</v>
      </c>
      <c r="W84" s="13"/>
      <c r="X84" s="13"/>
      <c r="Y84" s="14"/>
      <c r="Z84" s="14"/>
      <c r="AA84" s="14"/>
      <c r="AB84" s="14"/>
      <c r="AC84" s="13"/>
      <c r="AD84" s="13"/>
      <c r="AE84" s="13"/>
      <c r="AF84" s="12">
        <v>4</v>
      </c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X84" s="8">
        <v>79</v>
      </c>
    </row>
    <row r="85" spans="1:50" ht="13.5" x14ac:dyDescent="0.25">
      <c r="A85" s="13" t="s">
        <v>547</v>
      </c>
      <c r="B85" s="13"/>
      <c r="C85" s="13"/>
      <c r="D85" s="13" t="s">
        <v>349</v>
      </c>
      <c r="E85">
        <v>56</v>
      </c>
      <c r="F85" s="13"/>
      <c r="G85" s="13"/>
      <c r="H85" s="13"/>
      <c r="I85" s="61">
        <v>0</v>
      </c>
      <c r="J85">
        <v>56</v>
      </c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>
        <v>0.2</v>
      </c>
      <c r="W85" s="13"/>
      <c r="X85" s="13"/>
      <c r="Y85" s="14"/>
      <c r="Z85" s="14"/>
      <c r="AA85" s="14"/>
      <c r="AB85" s="14"/>
      <c r="AC85" s="13"/>
      <c r="AD85" s="13"/>
      <c r="AE85" s="13"/>
      <c r="AF85" s="12">
        <v>4</v>
      </c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X85" s="8">
        <v>80</v>
      </c>
    </row>
    <row r="86" spans="1:50" ht="13.5" x14ac:dyDescent="0.25">
      <c r="A86" s="61" t="s">
        <v>1496</v>
      </c>
      <c r="B86" s="13"/>
      <c r="C86" s="13"/>
      <c r="D86" s="13" t="s">
        <v>5</v>
      </c>
      <c r="E86">
        <v>16</v>
      </c>
      <c r="F86" s="13"/>
      <c r="G86" s="13"/>
      <c r="H86" s="13"/>
      <c r="I86" s="61">
        <v>1</v>
      </c>
      <c r="J86">
        <v>16</v>
      </c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>
        <v>0.2</v>
      </c>
      <c r="W86" s="13"/>
      <c r="X86" s="13"/>
      <c r="Y86" s="14"/>
      <c r="Z86" s="14"/>
      <c r="AA86" s="14"/>
      <c r="AB86" s="14"/>
      <c r="AC86" s="13"/>
      <c r="AD86" s="13"/>
      <c r="AE86" s="13"/>
      <c r="AF86" s="12">
        <v>0</v>
      </c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X86" s="8">
        <v>81</v>
      </c>
    </row>
    <row r="87" spans="1:50" ht="13.5" x14ac:dyDescent="0.25">
      <c r="A87" s="13" t="s">
        <v>666</v>
      </c>
      <c r="B87" s="13"/>
      <c r="C87" s="13"/>
      <c r="D87" s="13" t="s">
        <v>349</v>
      </c>
      <c r="E87">
        <v>48.700418751560377</v>
      </c>
      <c r="F87" s="13"/>
      <c r="G87" s="13"/>
      <c r="H87" s="13"/>
      <c r="I87" s="61">
        <v>0</v>
      </c>
      <c r="J87">
        <v>48.700418751560377</v>
      </c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>
        <v>0.2</v>
      </c>
      <c r="W87" s="13"/>
      <c r="X87" s="13"/>
      <c r="Y87" s="14"/>
      <c r="Z87" s="14"/>
      <c r="AA87" s="14"/>
      <c r="AB87" s="14"/>
      <c r="AC87" s="13"/>
      <c r="AD87" s="13"/>
      <c r="AE87" s="13"/>
      <c r="AF87" s="12">
        <v>4</v>
      </c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X87" s="8">
        <v>82</v>
      </c>
    </row>
    <row r="88" spans="1:50" ht="13.5" x14ac:dyDescent="0.25">
      <c r="A88" s="13" t="s">
        <v>667</v>
      </c>
      <c r="B88" s="13"/>
      <c r="C88" s="13"/>
      <c r="D88" s="13" t="s">
        <v>349</v>
      </c>
      <c r="E88">
        <v>0.8251601962242</v>
      </c>
      <c r="F88" s="13"/>
      <c r="G88" s="13"/>
      <c r="H88" s="13"/>
      <c r="I88" s="61">
        <v>0</v>
      </c>
      <c r="J88">
        <v>0.8251601962242</v>
      </c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>
        <v>0.2</v>
      </c>
      <c r="W88" s="13"/>
      <c r="X88" s="13"/>
      <c r="Y88" s="14"/>
      <c r="Z88" s="14"/>
      <c r="AA88" s="14"/>
      <c r="AB88" s="14"/>
      <c r="AC88" s="13"/>
      <c r="AD88" s="13"/>
      <c r="AE88" s="13"/>
      <c r="AF88" s="12">
        <v>4</v>
      </c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X88" s="8">
        <v>83</v>
      </c>
    </row>
    <row r="89" spans="1:50" ht="13.5" x14ac:dyDescent="0.25">
      <c r="A89" s="13" t="s">
        <v>668</v>
      </c>
      <c r="B89" s="13"/>
      <c r="C89" s="13"/>
      <c r="D89" s="13" t="s">
        <v>349</v>
      </c>
      <c r="E89">
        <v>5911.2366926265722</v>
      </c>
      <c r="F89" s="13"/>
      <c r="G89" s="13"/>
      <c r="H89" s="13"/>
      <c r="I89" s="61">
        <v>0</v>
      </c>
      <c r="J89">
        <v>5911.2366926265722</v>
      </c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>
        <v>0.2</v>
      </c>
      <c r="W89" s="13"/>
      <c r="X89" s="13"/>
      <c r="Y89" s="14"/>
      <c r="Z89" s="14"/>
      <c r="AA89" s="14"/>
      <c r="AB89" s="14"/>
      <c r="AC89" s="13"/>
      <c r="AD89" s="13"/>
      <c r="AE89" s="13"/>
      <c r="AF89" s="12">
        <v>4</v>
      </c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X89" s="8">
        <v>84</v>
      </c>
    </row>
    <row r="90" spans="1:50" ht="13.5" x14ac:dyDescent="0.25">
      <c r="A90" s="13" t="s">
        <v>669</v>
      </c>
      <c r="B90" s="13"/>
      <c r="C90" s="13"/>
      <c r="D90" s="13" t="s">
        <v>349</v>
      </c>
      <c r="E90">
        <v>815.00055367401956</v>
      </c>
      <c r="F90" s="13"/>
      <c r="G90" s="13"/>
      <c r="H90" s="13"/>
      <c r="I90" s="61">
        <v>0</v>
      </c>
      <c r="J90">
        <v>815.00055367401956</v>
      </c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>
        <v>0.2</v>
      </c>
      <c r="W90" s="13"/>
      <c r="X90" s="13"/>
      <c r="Y90" s="14"/>
      <c r="Z90" s="14"/>
      <c r="AA90" s="14"/>
      <c r="AB90" s="14"/>
      <c r="AC90" s="13"/>
      <c r="AD90" s="13"/>
      <c r="AE90" s="13"/>
      <c r="AF90" s="12">
        <v>4</v>
      </c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X90" s="8">
        <v>85</v>
      </c>
    </row>
    <row r="91" spans="1:50" ht="13.5" x14ac:dyDescent="0.25">
      <c r="A91" s="13" t="s">
        <v>670</v>
      </c>
      <c r="B91" s="13"/>
      <c r="C91" s="13"/>
      <c r="D91" s="13" t="s">
        <v>349</v>
      </c>
      <c r="E91">
        <v>46.415375085455061</v>
      </c>
      <c r="F91" s="13"/>
      <c r="G91" s="13"/>
      <c r="H91" s="13"/>
      <c r="I91" s="61">
        <v>0</v>
      </c>
      <c r="J91">
        <v>46.415375085455061</v>
      </c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>
        <v>0.2</v>
      </c>
      <c r="W91" s="13"/>
      <c r="X91" s="13"/>
      <c r="Y91" s="14"/>
      <c r="Z91" s="14"/>
      <c r="AA91" s="14"/>
      <c r="AB91" s="14"/>
      <c r="AC91" s="13"/>
      <c r="AD91" s="13"/>
      <c r="AE91" s="13"/>
      <c r="AF91" s="12">
        <v>4</v>
      </c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X91" s="8">
        <v>86</v>
      </c>
    </row>
    <row r="92" spans="1:50" ht="13.5" x14ac:dyDescent="0.25">
      <c r="A92" s="13" t="s">
        <v>671</v>
      </c>
      <c r="B92" s="13"/>
      <c r="C92" s="13"/>
      <c r="D92" s="13" t="s">
        <v>349</v>
      </c>
      <c r="E92">
        <v>151.5407217669144</v>
      </c>
      <c r="F92" s="13"/>
      <c r="G92" s="13"/>
      <c r="H92" s="13"/>
      <c r="I92" s="61">
        <v>0</v>
      </c>
      <c r="J92">
        <v>151.5407217669144</v>
      </c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>
        <v>0.2</v>
      </c>
      <c r="W92" s="13"/>
      <c r="X92" s="13"/>
      <c r="Y92" s="14"/>
      <c r="Z92" s="14"/>
      <c r="AA92" s="14"/>
      <c r="AB92" s="14"/>
      <c r="AC92" s="13"/>
      <c r="AD92" s="13"/>
      <c r="AE92" s="13"/>
      <c r="AF92" s="12">
        <v>4</v>
      </c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X92" s="8">
        <v>87</v>
      </c>
    </row>
    <row r="93" spans="1:50" ht="13.5" x14ac:dyDescent="0.25">
      <c r="A93" s="61" t="s">
        <v>1513</v>
      </c>
      <c r="B93" s="13"/>
      <c r="C93" s="13"/>
      <c r="D93" s="13" t="s">
        <v>349</v>
      </c>
      <c r="E93">
        <v>45</v>
      </c>
      <c r="F93" s="13"/>
      <c r="G93" s="13"/>
      <c r="H93" s="13"/>
      <c r="I93" s="61">
        <v>0</v>
      </c>
      <c r="J93">
        <v>45</v>
      </c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>
        <v>0.2</v>
      </c>
      <c r="W93" s="13"/>
      <c r="X93" s="13"/>
      <c r="Y93" s="14"/>
      <c r="Z93" s="14"/>
      <c r="AA93" s="14"/>
      <c r="AB93" s="14"/>
      <c r="AC93" s="13"/>
      <c r="AD93" s="13"/>
      <c r="AE93" s="13"/>
      <c r="AF93" s="12">
        <v>0</v>
      </c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X93" s="8">
        <v>88</v>
      </c>
    </row>
    <row r="94" spans="1:50" ht="13.5" x14ac:dyDescent="0.25">
      <c r="A94" s="61" t="s">
        <v>1514</v>
      </c>
      <c r="B94" s="13"/>
      <c r="C94" s="13"/>
      <c r="D94" s="13" t="s">
        <v>349</v>
      </c>
      <c r="E94">
        <v>0.8</v>
      </c>
      <c r="F94" s="13"/>
      <c r="G94" s="13"/>
      <c r="H94" s="13"/>
      <c r="I94" s="61">
        <v>0</v>
      </c>
      <c r="J94">
        <v>0.8</v>
      </c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>
        <v>0.2</v>
      </c>
      <c r="W94" s="13"/>
      <c r="X94" s="13"/>
      <c r="Y94" s="14"/>
      <c r="Z94" s="14"/>
      <c r="AA94" s="14"/>
      <c r="AB94" s="14"/>
      <c r="AC94" s="13"/>
      <c r="AD94" s="13"/>
      <c r="AE94" s="13"/>
      <c r="AF94" s="12">
        <v>0</v>
      </c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X94" s="8">
        <v>89</v>
      </c>
    </row>
    <row r="95" spans="1:50" ht="13.5" x14ac:dyDescent="0.25">
      <c r="A95" s="61" t="s">
        <v>1515</v>
      </c>
      <c r="B95" s="13"/>
      <c r="C95" s="13"/>
      <c r="D95" s="13" t="s">
        <v>349</v>
      </c>
      <c r="E95">
        <v>10000</v>
      </c>
      <c r="F95" s="13"/>
      <c r="G95" s="13"/>
      <c r="H95" s="13"/>
      <c r="I95" s="61">
        <v>0</v>
      </c>
      <c r="J95">
        <v>10000</v>
      </c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>
        <v>0.2</v>
      </c>
      <c r="W95" s="13"/>
      <c r="X95" s="13"/>
      <c r="Y95" s="14"/>
      <c r="Z95" s="14"/>
      <c r="AA95" s="14"/>
      <c r="AB95" s="14"/>
      <c r="AC95" s="13"/>
      <c r="AD95" s="13"/>
      <c r="AE95" s="13"/>
      <c r="AF95" s="12">
        <v>0</v>
      </c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X95" s="8">
        <v>90</v>
      </c>
    </row>
    <row r="96" spans="1:50" ht="13.5" x14ac:dyDescent="0.25">
      <c r="A96" s="61" t="s">
        <v>1516</v>
      </c>
      <c r="B96" s="13"/>
      <c r="C96" s="13"/>
      <c r="D96" s="13" t="s">
        <v>349</v>
      </c>
      <c r="E96">
        <v>572</v>
      </c>
      <c r="F96" s="13"/>
      <c r="G96" s="13"/>
      <c r="H96" s="13"/>
      <c r="I96" s="61">
        <v>0</v>
      </c>
      <c r="J96">
        <v>572</v>
      </c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>
        <v>0.2</v>
      </c>
      <c r="W96" s="13"/>
      <c r="X96" s="13"/>
      <c r="Y96" s="14"/>
      <c r="Z96" s="14"/>
      <c r="AA96" s="14"/>
      <c r="AB96" s="14"/>
      <c r="AC96" s="13"/>
      <c r="AD96" s="13"/>
      <c r="AE96" s="13"/>
      <c r="AF96" s="12">
        <v>0</v>
      </c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X96" s="8">
        <v>91</v>
      </c>
    </row>
    <row r="97" spans="1:50" ht="13.5" x14ac:dyDescent="0.25">
      <c r="A97" s="61" t="s">
        <v>1517</v>
      </c>
      <c r="B97" s="13"/>
      <c r="C97" s="13"/>
      <c r="D97" s="13" t="s">
        <v>349</v>
      </c>
      <c r="E97">
        <v>680</v>
      </c>
      <c r="F97" s="13"/>
      <c r="G97" s="13"/>
      <c r="H97" s="13"/>
      <c r="I97" s="61">
        <v>0</v>
      </c>
      <c r="J97">
        <v>680</v>
      </c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>
        <v>0.2</v>
      </c>
      <c r="W97" s="13"/>
      <c r="X97" s="13"/>
      <c r="Y97" s="14"/>
      <c r="Z97" s="14"/>
      <c r="AA97" s="14"/>
      <c r="AB97" s="14"/>
      <c r="AC97" s="13"/>
      <c r="AD97" s="13"/>
      <c r="AE97" s="13"/>
      <c r="AF97" s="12">
        <v>0</v>
      </c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X97" s="8">
        <v>92</v>
      </c>
    </row>
    <row r="98" spans="1:50" ht="13.5" x14ac:dyDescent="0.25">
      <c r="A98" s="61" t="s">
        <v>1518</v>
      </c>
      <c r="B98" s="13"/>
      <c r="C98" s="13"/>
      <c r="D98" s="13" t="s">
        <v>349</v>
      </c>
      <c r="E98">
        <v>32</v>
      </c>
      <c r="F98" s="13"/>
      <c r="G98" s="13"/>
      <c r="H98" s="13"/>
      <c r="I98" s="61">
        <v>0</v>
      </c>
      <c r="J98">
        <v>32</v>
      </c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>
        <v>0.2</v>
      </c>
      <c r="W98" s="13"/>
      <c r="X98" s="13"/>
      <c r="Y98" s="14"/>
      <c r="Z98" s="14"/>
      <c r="AA98" s="14"/>
      <c r="AB98" s="14"/>
      <c r="AC98" s="13"/>
      <c r="AD98" s="13"/>
      <c r="AE98" s="13"/>
      <c r="AF98" s="12">
        <v>0</v>
      </c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X98" s="8">
        <v>93</v>
      </c>
    </row>
    <row r="99" spans="1:50" ht="13.5" x14ac:dyDescent="0.25">
      <c r="A99" s="61" t="s">
        <v>1519</v>
      </c>
      <c r="B99" s="13"/>
      <c r="C99" s="13"/>
      <c r="D99" s="13" t="s">
        <v>349</v>
      </c>
      <c r="E99">
        <v>161.6</v>
      </c>
      <c r="F99" s="13"/>
      <c r="G99" s="13"/>
      <c r="H99" s="13"/>
      <c r="I99" s="61">
        <v>0</v>
      </c>
      <c r="J99">
        <v>161.6</v>
      </c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>
        <v>0.2</v>
      </c>
      <c r="W99" s="13"/>
      <c r="X99" s="13"/>
      <c r="Y99" s="14"/>
      <c r="Z99" s="14"/>
      <c r="AA99" s="14"/>
      <c r="AB99" s="14"/>
      <c r="AC99" s="13"/>
      <c r="AD99" s="13"/>
      <c r="AE99" s="13"/>
      <c r="AF99" s="12">
        <v>0</v>
      </c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X99" s="8">
        <v>94</v>
      </c>
    </row>
    <row r="100" spans="1:50" ht="13.5" x14ac:dyDescent="0.25">
      <c r="A100" s="60" t="s">
        <v>546</v>
      </c>
      <c r="B100" s="13"/>
      <c r="C100" s="13"/>
      <c r="D100" s="60" t="s">
        <v>5</v>
      </c>
      <c r="E100">
        <v>1</v>
      </c>
      <c r="F100" s="13"/>
      <c r="G100" s="13"/>
      <c r="H100" s="13"/>
      <c r="I100" s="61">
        <v>1</v>
      </c>
      <c r="J100">
        <v>1</v>
      </c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>
        <v>0.2</v>
      </c>
      <c r="W100" s="13"/>
      <c r="X100" s="13"/>
      <c r="Y100" s="14"/>
      <c r="Z100" s="14"/>
      <c r="AA100" s="14"/>
      <c r="AB100" s="14"/>
      <c r="AC100" s="13"/>
      <c r="AD100" s="13"/>
      <c r="AE100" s="13"/>
      <c r="AF100" s="12">
        <v>0</v>
      </c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X100" s="8">
        <v>95</v>
      </c>
    </row>
    <row r="101" spans="1:50" ht="13.5" x14ac:dyDescent="0.25">
      <c r="A101" s="61" t="s">
        <v>1524</v>
      </c>
      <c r="B101" s="13"/>
      <c r="C101" s="13"/>
      <c r="D101" s="13" t="s">
        <v>349</v>
      </c>
      <c r="E101">
        <v>10000</v>
      </c>
      <c r="F101" s="13"/>
      <c r="G101" s="13"/>
      <c r="H101" s="13"/>
      <c r="I101" s="61">
        <v>0</v>
      </c>
      <c r="J101">
        <v>10000</v>
      </c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>
        <v>0.2</v>
      </c>
      <c r="W101" s="13"/>
      <c r="X101" s="13"/>
      <c r="Y101" s="14"/>
      <c r="Z101" s="14"/>
      <c r="AA101" s="14"/>
      <c r="AB101" s="14"/>
      <c r="AC101" s="13"/>
      <c r="AD101" s="13"/>
      <c r="AE101" s="13"/>
      <c r="AF101" s="12">
        <v>4</v>
      </c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X101" s="8">
        <v>96</v>
      </c>
    </row>
    <row r="102" spans="1:50" ht="13.5" x14ac:dyDescent="0.25">
      <c r="A102" s="13" t="s">
        <v>683</v>
      </c>
      <c r="B102" s="13"/>
      <c r="C102" s="13"/>
      <c r="D102" s="13" t="s">
        <v>349</v>
      </c>
      <c r="E102">
        <v>4996.7029550981179</v>
      </c>
      <c r="F102" s="13"/>
      <c r="G102" s="13"/>
      <c r="H102" s="13"/>
      <c r="I102" s="61">
        <v>0</v>
      </c>
      <c r="J102">
        <v>4996.7029550981179</v>
      </c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>
        <v>0.2</v>
      </c>
      <c r="W102" s="13"/>
      <c r="X102" s="13"/>
      <c r="Y102" s="14"/>
      <c r="Z102" s="14"/>
      <c r="AA102" s="14"/>
      <c r="AB102" s="14"/>
      <c r="AC102" s="13"/>
      <c r="AD102" s="13"/>
      <c r="AE102" s="13"/>
      <c r="AF102" s="12">
        <v>4</v>
      </c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X102" s="8">
        <v>97</v>
      </c>
    </row>
    <row r="103" spans="1:50" ht="13.5" x14ac:dyDescent="0.25">
      <c r="A103" s="61" t="s">
        <v>1525</v>
      </c>
      <c r="B103" s="13"/>
      <c r="C103" s="13"/>
      <c r="D103" s="13" t="s">
        <v>349</v>
      </c>
      <c r="E103">
        <v>0</v>
      </c>
      <c r="F103" s="13"/>
      <c r="G103" s="13"/>
      <c r="H103" s="13"/>
      <c r="I103" s="61">
        <v>0</v>
      </c>
      <c r="J103">
        <v>0</v>
      </c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>
        <v>0.2</v>
      </c>
      <c r="W103" s="13"/>
      <c r="X103" s="13"/>
      <c r="Y103" s="14"/>
      <c r="Z103" s="14"/>
      <c r="AA103" s="14"/>
      <c r="AB103" s="14"/>
      <c r="AC103" s="13"/>
      <c r="AD103" s="13"/>
      <c r="AE103" s="13"/>
      <c r="AF103" s="12">
        <v>4</v>
      </c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X103" s="8">
        <v>98</v>
      </c>
    </row>
    <row r="104" spans="1:50" ht="13.5" x14ac:dyDescent="0.25">
      <c r="A104" s="61" t="s">
        <v>1526</v>
      </c>
      <c r="B104" s="13"/>
      <c r="C104" s="13"/>
      <c r="D104" s="13" t="s">
        <v>349</v>
      </c>
      <c r="E104">
        <v>66.666641082135129</v>
      </c>
      <c r="F104" s="13"/>
      <c r="G104" s="13"/>
      <c r="H104" s="13"/>
      <c r="I104" s="61">
        <v>0</v>
      </c>
      <c r="J104">
        <v>66.666641082135129</v>
      </c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>
        <v>0.2</v>
      </c>
      <c r="W104" s="13"/>
      <c r="X104" s="13"/>
      <c r="Y104" s="14"/>
      <c r="Z104" s="14"/>
      <c r="AA104" s="14"/>
      <c r="AB104" s="14"/>
      <c r="AC104" s="13"/>
      <c r="AD104" s="13"/>
      <c r="AE104" s="13"/>
      <c r="AF104" s="12">
        <v>4</v>
      </c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X104" s="8">
        <v>99</v>
      </c>
    </row>
    <row r="105" spans="1:50" ht="13.5" x14ac:dyDescent="0.25">
      <c r="A105" s="61" t="s">
        <v>1527</v>
      </c>
      <c r="B105" s="13"/>
      <c r="C105" s="13"/>
      <c r="D105" s="13" t="s">
        <v>349</v>
      </c>
      <c r="E105">
        <v>99.999982000674976</v>
      </c>
      <c r="F105" s="13"/>
      <c r="G105" s="13"/>
      <c r="H105" s="13"/>
      <c r="I105" s="61">
        <v>0</v>
      </c>
      <c r="J105">
        <v>99.999982000674976</v>
      </c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>
        <v>0.2</v>
      </c>
      <c r="W105" s="13"/>
      <c r="X105" s="13"/>
      <c r="Y105" s="14"/>
      <c r="Z105" s="14"/>
      <c r="AA105" s="14"/>
      <c r="AB105" s="14"/>
      <c r="AC105" s="13"/>
      <c r="AD105" s="13"/>
      <c r="AE105" s="13"/>
      <c r="AF105" s="12">
        <v>4</v>
      </c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X105" s="8">
        <v>100</v>
      </c>
    </row>
    <row r="106" spans="1:50" ht="13.5" x14ac:dyDescent="0.25">
      <c r="A106" s="13" t="s">
        <v>1769</v>
      </c>
      <c r="B106" s="13"/>
      <c r="C106" s="13"/>
      <c r="D106" s="13" t="s">
        <v>349</v>
      </c>
      <c r="E106">
        <v>99.999951934027635</v>
      </c>
      <c r="F106" s="13"/>
      <c r="G106" s="13"/>
      <c r="H106" s="13"/>
      <c r="I106" s="61">
        <v>0</v>
      </c>
      <c r="J106">
        <v>99.999951934027635</v>
      </c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>
        <v>0.2</v>
      </c>
      <c r="W106" s="13"/>
      <c r="X106" s="13"/>
      <c r="Y106" s="14"/>
      <c r="Z106" s="14"/>
      <c r="AA106" s="14"/>
      <c r="AB106" s="14"/>
      <c r="AC106" s="13"/>
      <c r="AD106" s="13"/>
      <c r="AE106" s="13"/>
      <c r="AF106" s="12">
        <v>4</v>
      </c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X106" s="8">
        <v>101</v>
      </c>
    </row>
    <row r="107" spans="1:50" ht="13.5" x14ac:dyDescent="0.25">
      <c r="A107" s="13" t="s">
        <v>684</v>
      </c>
      <c r="B107" s="13"/>
      <c r="C107" s="13"/>
      <c r="D107" s="13" t="s">
        <v>349</v>
      </c>
      <c r="E107">
        <v>28.571411660503003</v>
      </c>
      <c r="F107" s="13"/>
      <c r="G107" s="13"/>
      <c r="H107" s="13"/>
      <c r="I107" s="61">
        <v>0</v>
      </c>
      <c r="J107">
        <v>28.571411660503003</v>
      </c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>
        <v>0.2</v>
      </c>
      <c r="W107" s="13"/>
      <c r="X107" s="13"/>
      <c r="Y107" s="14"/>
      <c r="Z107" s="14"/>
      <c r="AA107" s="14"/>
      <c r="AB107" s="14"/>
      <c r="AC107" s="13"/>
      <c r="AD107" s="13"/>
      <c r="AE107" s="13"/>
      <c r="AF107" s="12">
        <v>4</v>
      </c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X107" s="8">
        <v>102</v>
      </c>
    </row>
    <row r="108" spans="1:50" ht="13.5" x14ac:dyDescent="0.25">
      <c r="A108" s="13" t="s">
        <v>685</v>
      </c>
      <c r="B108" s="13"/>
      <c r="C108" s="13"/>
      <c r="D108" s="13" t="s">
        <v>349</v>
      </c>
      <c r="E108">
        <v>59.04756681908566</v>
      </c>
      <c r="F108" s="13"/>
      <c r="G108" s="13"/>
      <c r="H108" s="13"/>
      <c r="I108" s="61">
        <v>0</v>
      </c>
      <c r="J108">
        <v>59.04756681908566</v>
      </c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>
        <v>0.2</v>
      </c>
      <c r="W108" s="13"/>
      <c r="X108" s="13"/>
      <c r="Y108" s="14"/>
      <c r="Z108" s="14"/>
      <c r="AA108" s="14"/>
      <c r="AB108" s="14"/>
      <c r="AC108" s="13"/>
      <c r="AD108" s="13"/>
      <c r="AE108" s="13"/>
      <c r="AF108" s="12">
        <v>4</v>
      </c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X108" s="8">
        <v>103</v>
      </c>
    </row>
    <row r="109" spans="1:50" ht="13.5" x14ac:dyDescent="0.25">
      <c r="A109" s="13" t="s">
        <v>686</v>
      </c>
      <c r="B109" s="13"/>
      <c r="C109" s="13"/>
      <c r="D109" s="13" t="s">
        <v>349</v>
      </c>
      <c r="E109">
        <v>93.333277401449351</v>
      </c>
      <c r="F109" s="13"/>
      <c r="G109" s="13"/>
      <c r="H109" s="13"/>
      <c r="I109" s="61">
        <v>0</v>
      </c>
      <c r="J109">
        <v>93.333277401449351</v>
      </c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>
        <v>0.2</v>
      </c>
      <c r="W109" s="13"/>
      <c r="X109" s="13"/>
      <c r="Y109" s="14"/>
      <c r="Z109" s="14"/>
      <c r="AA109" s="14"/>
      <c r="AB109" s="14"/>
      <c r="AC109" s="13"/>
      <c r="AD109" s="13"/>
      <c r="AE109" s="13"/>
      <c r="AF109" s="12">
        <v>4</v>
      </c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X109" s="8">
        <v>104</v>
      </c>
    </row>
    <row r="110" spans="1:50" ht="13.5" x14ac:dyDescent="0.25">
      <c r="A110" s="13" t="s">
        <v>1770</v>
      </c>
      <c r="B110" s="13"/>
      <c r="C110" s="13"/>
      <c r="D110" s="13" t="s">
        <v>349</v>
      </c>
      <c r="E110">
        <v>99.999921719134818</v>
      </c>
      <c r="F110" s="13"/>
      <c r="G110" s="13"/>
      <c r="H110" s="13"/>
      <c r="I110" s="61">
        <v>0</v>
      </c>
      <c r="J110">
        <v>99.999921719134818</v>
      </c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>
        <v>0.2</v>
      </c>
      <c r="W110" s="13"/>
      <c r="X110" s="13"/>
      <c r="Y110" s="14"/>
      <c r="Z110" s="14"/>
      <c r="AA110" s="14"/>
      <c r="AB110" s="14"/>
      <c r="AC110" s="13"/>
      <c r="AD110" s="13"/>
      <c r="AE110" s="13"/>
      <c r="AF110" s="12">
        <v>4</v>
      </c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X110" s="8">
        <v>105</v>
      </c>
    </row>
    <row r="111" spans="1:50" ht="13.5" x14ac:dyDescent="0.25">
      <c r="A111" s="13" t="s">
        <v>1306</v>
      </c>
      <c r="B111" s="13"/>
      <c r="C111" s="13"/>
      <c r="D111" s="13" t="s">
        <v>349</v>
      </c>
      <c r="E111">
        <v>8</v>
      </c>
      <c r="F111" s="13"/>
      <c r="G111" s="13"/>
      <c r="H111" s="13"/>
      <c r="I111" s="61">
        <v>0</v>
      </c>
      <c r="J111">
        <v>8</v>
      </c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>
        <v>0.2</v>
      </c>
      <c r="W111" s="13"/>
      <c r="X111" s="13"/>
      <c r="Y111" s="14"/>
      <c r="Z111" s="14"/>
      <c r="AA111" s="14"/>
      <c r="AB111" s="14"/>
      <c r="AC111" s="13"/>
      <c r="AD111" s="13"/>
      <c r="AE111" s="13"/>
      <c r="AF111" s="12">
        <v>4</v>
      </c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X111" s="8">
        <v>106</v>
      </c>
    </row>
    <row r="112" spans="1:50" ht="13.5" x14ac:dyDescent="0.25">
      <c r="A112" s="61" t="s">
        <v>1276</v>
      </c>
      <c r="B112" s="13"/>
      <c r="C112" s="13"/>
      <c r="D112" s="13" t="s">
        <v>349</v>
      </c>
      <c r="E112">
        <v>617</v>
      </c>
      <c r="F112" s="13"/>
      <c r="G112" s="13"/>
      <c r="H112" s="13"/>
      <c r="I112" s="61">
        <v>0</v>
      </c>
      <c r="J112">
        <v>617</v>
      </c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>
        <v>0.2</v>
      </c>
      <c r="W112" s="13"/>
      <c r="X112" s="13"/>
      <c r="Y112" s="14"/>
      <c r="Z112" s="14"/>
      <c r="AA112" s="14"/>
      <c r="AB112" s="14"/>
      <c r="AC112" s="13"/>
      <c r="AD112" s="13"/>
      <c r="AE112" s="13"/>
      <c r="AF112" s="12">
        <v>4</v>
      </c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X112" s="8">
        <v>107</v>
      </c>
    </row>
    <row r="113" spans="1:50" ht="13.5" x14ac:dyDescent="0.25">
      <c r="A113" s="13" t="s">
        <v>1277</v>
      </c>
      <c r="B113" s="13"/>
      <c r="C113" s="13"/>
      <c r="D113" s="13" t="s">
        <v>349</v>
      </c>
      <c r="E113">
        <v>568.9</v>
      </c>
      <c r="F113" s="13"/>
      <c r="G113" s="13"/>
      <c r="H113" s="13"/>
      <c r="I113" s="61">
        <v>0</v>
      </c>
      <c r="J113">
        <v>568.9</v>
      </c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>
        <v>0.2</v>
      </c>
      <c r="W113" s="13"/>
      <c r="X113" s="13"/>
      <c r="Y113" s="14"/>
      <c r="Z113" s="14"/>
      <c r="AA113" s="14"/>
      <c r="AB113" s="14"/>
      <c r="AC113" s="13"/>
      <c r="AD113" s="13"/>
      <c r="AE113" s="13"/>
      <c r="AF113" s="12">
        <v>4</v>
      </c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X113" s="8">
        <v>108</v>
      </c>
    </row>
    <row r="114" spans="1:50" ht="13.5" x14ac:dyDescent="0.25">
      <c r="A114" s="61" t="s">
        <v>1307</v>
      </c>
      <c r="B114" s="13"/>
      <c r="C114" s="13"/>
      <c r="D114" s="13" t="s">
        <v>349</v>
      </c>
      <c r="E114">
        <v>10</v>
      </c>
      <c r="F114" s="13"/>
      <c r="G114" s="13"/>
      <c r="H114" s="13"/>
      <c r="I114" s="61">
        <v>0</v>
      </c>
      <c r="J114">
        <v>10</v>
      </c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>
        <v>0.2</v>
      </c>
      <c r="W114" s="13"/>
      <c r="X114" s="13"/>
      <c r="Y114" s="14"/>
      <c r="Z114" s="14"/>
      <c r="AA114" s="14"/>
      <c r="AB114" s="14"/>
      <c r="AC114" s="13"/>
      <c r="AD114" s="13"/>
      <c r="AE114" s="13"/>
      <c r="AF114" s="12">
        <v>4</v>
      </c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X114" s="8">
        <v>109</v>
      </c>
    </row>
    <row r="115" spans="1:50" ht="13.5" x14ac:dyDescent="0.25">
      <c r="A115" s="13" t="s">
        <v>1308</v>
      </c>
      <c r="B115" s="13"/>
      <c r="C115" s="13"/>
      <c r="D115" s="13" t="s">
        <v>349</v>
      </c>
      <c r="E115">
        <v>7.2</v>
      </c>
      <c r="F115" s="13"/>
      <c r="G115" s="13"/>
      <c r="H115" s="13"/>
      <c r="I115" s="61">
        <v>0</v>
      </c>
      <c r="J115">
        <v>7.2</v>
      </c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>
        <v>0.2</v>
      </c>
      <c r="W115" s="13"/>
      <c r="X115" s="13"/>
      <c r="Y115" s="14"/>
      <c r="Z115" s="14"/>
      <c r="AA115" s="14"/>
      <c r="AB115" s="14"/>
      <c r="AC115" s="13"/>
      <c r="AD115" s="13"/>
      <c r="AE115" s="13"/>
      <c r="AF115" s="12">
        <v>4</v>
      </c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X115" s="8">
        <v>110</v>
      </c>
    </row>
    <row r="116" spans="1:50" ht="13.5" x14ac:dyDescent="0.25">
      <c r="A116" s="13" t="s">
        <v>1309</v>
      </c>
      <c r="B116" s="13"/>
      <c r="C116" s="13"/>
      <c r="D116" s="13" t="s">
        <v>5</v>
      </c>
      <c r="E116">
        <v>1</v>
      </c>
      <c r="F116" s="13"/>
      <c r="G116" s="13"/>
      <c r="H116" s="13"/>
      <c r="I116" s="61">
        <v>0</v>
      </c>
      <c r="J116">
        <v>1</v>
      </c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>
        <v>0.2</v>
      </c>
      <c r="W116" s="13"/>
      <c r="X116" s="13"/>
      <c r="Y116" s="14"/>
      <c r="Z116" s="14"/>
      <c r="AA116" s="14"/>
      <c r="AB116" s="14"/>
      <c r="AC116" s="13"/>
      <c r="AD116" s="13"/>
      <c r="AE116" s="13"/>
      <c r="AF116" s="12">
        <v>4</v>
      </c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X116" s="8">
        <v>111</v>
      </c>
    </row>
    <row r="117" spans="1:50" ht="13.5" x14ac:dyDescent="0.25">
      <c r="A117" s="13" t="s">
        <v>1288</v>
      </c>
      <c r="B117" s="13"/>
      <c r="C117" s="13"/>
      <c r="D117" s="13" t="s">
        <v>349</v>
      </c>
      <c r="E117">
        <v>617</v>
      </c>
      <c r="F117" s="13"/>
      <c r="G117" s="13"/>
      <c r="H117" s="13"/>
      <c r="I117" s="61">
        <v>1</v>
      </c>
      <c r="J117">
        <v>617</v>
      </c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>
        <v>0.2</v>
      </c>
      <c r="W117" s="13"/>
      <c r="X117" s="13"/>
      <c r="Y117" s="14"/>
      <c r="Z117" s="14"/>
      <c r="AA117" s="14"/>
      <c r="AB117" s="14"/>
      <c r="AC117" s="13"/>
      <c r="AD117" s="13"/>
      <c r="AE117" s="13"/>
      <c r="AF117" s="12">
        <v>0</v>
      </c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X117" s="8">
        <v>112</v>
      </c>
    </row>
    <row r="118" spans="1:50" ht="13.5" x14ac:dyDescent="0.25">
      <c r="A118" s="13" t="s">
        <v>1289</v>
      </c>
      <c r="B118" s="13"/>
      <c r="C118" s="13"/>
      <c r="D118" s="13" t="s">
        <v>349</v>
      </c>
      <c r="E118">
        <v>568.9</v>
      </c>
      <c r="F118" s="13"/>
      <c r="G118" s="13"/>
      <c r="H118" s="13"/>
      <c r="I118" s="61">
        <v>1</v>
      </c>
      <c r="J118">
        <v>568.9</v>
      </c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>
        <v>0.2</v>
      </c>
      <c r="W118" s="13"/>
      <c r="X118" s="13"/>
      <c r="Y118" s="14"/>
      <c r="Z118" s="14"/>
      <c r="AA118" s="14"/>
      <c r="AB118" s="14"/>
      <c r="AC118" s="13"/>
      <c r="AD118" s="13"/>
      <c r="AE118" s="13"/>
      <c r="AF118" s="12">
        <v>0</v>
      </c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X118" s="8">
        <v>113</v>
      </c>
    </row>
    <row r="119" spans="1:50" ht="13.5" x14ac:dyDescent="0.25">
      <c r="A119" s="13" t="s">
        <v>1291</v>
      </c>
      <c r="B119" s="13"/>
      <c r="C119" s="13"/>
      <c r="D119" s="13" t="s">
        <v>349</v>
      </c>
      <c r="E119">
        <v>7.2</v>
      </c>
      <c r="F119" s="13"/>
      <c r="G119" s="13"/>
      <c r="H119" s="13"/>
      <c r="I119" s="61">
        <v>0</v>
      </c>
      <c r="J119">
        <v>7.2</v>
      </c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>
        <v>0.2</v>
      </c>
      <c r="W119" s="13"/>
      <c r="X119" s="13"/>
      <c r="Y119" s="14"/>
      <c r="Z119" s="14"/>
      <c r="AA119" s="14"/>
      <c r="AB119" s="14"/>
      <c r="AC119" s="13"/>
      <c r="AD119" s="13"/>
      <c r="AE119" s="13"/>
      <c r="AF119" s="12">
        <v>4</v>
      </c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X119" s="8">
        <v>114</v>
      </c>
    </row>
    <row r="120" spans="1:50" ht="13.5" x14ac:dyDescent="0.25">
      <c r="A120" s="13" t="s">
        <v>1292</v>
      </c>
      <c r="B120" s="13"/>
      <c r="C120" s="13"/>
      <c r="D120" s="13" t="s">
        <v>5</v>
      </c>
      <c r="E120">
        <v>1</v>
      </c>
      <c r="F120" s="13"/>
      <c r="G120" s="13"/>
      <c r="H120" s="13"/>
      <c r="I120" s="61">
        <v>1</v>
      </c>
      <c r="J120">
        <v>1</v>
      </c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>
        <v>0.2</v>
      </c>
      <c r="W120" s="13"/>
      <c r="X120" s="13"/>
      <c r="Y120" s="14"/>
      <c r="Z120" s="14"/>
      <c r="AA120" s="14"/>
      <c r="AB120" s="14"/>
      <c r="AC120" s="13"/>
      <c r="AD120" s="13"/>
      <c r="AE120" s="13"/>
      <c r="AF120" s="12">
        <v>0</v>
      </c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X120" s="8">
        <v>115</v>
      </c>
    </row>
    <row r="121" spans="1:50" ht="13.5" x14ac:dyDescent="0.25">
      <c r="A121" s="13" t="s">
        <v>1320</v>
      </c>
      <c r="B121" s="13"/>
      <c r="C121" s="13"/>
      <c r="D121" s="13" t="s">
        <v>349</v>
      </c>
      <c r="E121">
        <v>0.77018293274171301</v>
      </c>
      <c r="F121" s="13"/>
      <c r="G121" s="13"/>
      <c r="H121" s="13"/>
      <c r="I121" s="61">
        <v>0</v>
      </c>
      <c r="J121">
        <v>0.77018293274171301</v>
      </c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>
        <v>0.2</v>
      </c>
      <c r="W121" s="13"/>
      <c r="X121" s="13"/>
      <c r="Y121" s="14"/>
      <c r="Z121" s="14"/>
      <c r="AA121" s="14"/>
      <c r="AB121" s="14"/>
      <c r="AC121" s="13"/>
      <c r="AD121" s="13"/>
      <c r="AE121" s="13"/>
      <c r="AF121" s="12">
        <v>4</v>
      </c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X121" s="8">
        <v>116</v>
      </c>
    </row>
    <row r="122" spans="1:50" ht="13.5" x14ac:dyDescent="0.25">
      <c r="A122" s="13" t="s">
        <v>1329</v>
      </c>
      <c r="B122" s="13"/>
      <c r="C122" s="13"/>
      <c r="D122" s="13" t="s">
        <v>349</v>
      </c>
      <c r="E122">
        <v>-60.139971134038198</v>
      </c>
      <c r="F122" s="13"/>
      <c r="G122" s="13"/>
      <c r="H122" s="13"/>
      <c r="I122" s="61">
        <v>0</v>
      </c>
      <c r="J122">
        <v>-60.139971134038198</v>
      </c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>
        <v>0.2</v>
      </c>
      <c r="W122" s="13"/>
      <c r="X122" s="13"/>
      <c r="Y122" s="14"/>
      <c r="Z122" s="14"/>
      <c r="AA122" s="14"/>
      <c r="AB122" s="14"/>
      <c r="AC122" s="13"/>
      <c r="AD122" s="13"/>
      <c r="AE122" s="13"/>
      <c r="AF122" s="12">
        <v>4</v>
      </c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X122" s="8">
        <v>117</v>
      </c>
    </row>
    <row r="123" spans="1:50" ht="13.5" x14ac:dyDescent="0.25">
      <c r="A123" s="61" t="s">
        <v>1335</v>
      </c>
      <c r="B123" s="13"/>
      <c r="C123" s="13"/>
      <c r="D123" s="13" t="s">
        <v>349</v>
      </c>
      <c r="E123">
        <v>121.56312637522529</v>
      </c>
      <c r="F123" s="13"/>
      <c r="G123" s="13"/>
      <c r="H123" s="13"/>
      <c r="I123" s="61">
        <v>0</v>
      </c>
      <c r="J123">
        <v>121.56312637522529</v>
      </c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>
        <v>0.2</v>
      </c>
      <c r="W123" s="13"/>
      <c r="X123" s="13"/>
      <c r="Y123" s="14"/>
      <c r="Z123" s="14"/>
      <c r="AA123" s="14"/>
      <c r="AB123" s="14"/>
      <c r="AC123" s="13"/>
      <c r="AD123" s="13"/>
      <c r="AE123" s="13"/>
      <c r="AF123" s="12">
        <v>4</v>
      </c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X123" s="8">
        <v>118</v>
      </c>
    </row>
    <row r="124" spans="1:50" ht="13.5" x14ac:dyDescent="0.25">
      <c r="A124" s="13" t="s">
        <v>1332</v>
      </c>
      <c r="B124" s="13"/>
      <c r="C124" s="13"/>
      <c r="D124" s="13" t="s">
        <v>349</v>
      </c>
      <c r="E124">
        <v>-44.155490948747499</v>
      </c>
      <c r="F124" s="13"/>
      <c r="G124" s="13"/>
      <c r="H124" s="13"/>
      <c r="I124" s="61">
        <v>0</v>
      </c>
      <c r="J124">
        <v>-44.155490948747499</v>
      </c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>
        <v>0.2</v>
      </c>
      <c r="W124" s="13"/>
      <c r="X124" s="13"/>
      <c r="Y124" s="14"/>
      <c r="Z124" s="14"/>
      <c r="AA124" s="14"/>
      <c r="AB124" s="14"/>
      <c r="AC124" s="13"/>
      <c r="AD124" s="13"/>
      <c r="AE124" s="13"/>
      <c r="AF124" s="12">
        <v>4</v>
      </c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X124" s="8">
        <v>119</v>
      </c>
    </row>
    <row r="125" spans="1:50" ht="13.5" x14ac:dyDescent="0.25">
      <c r="A125" s="13" t="s">
        <v>1318</v>
      </c>
      <c r="B125" s="13"/>
      <c r="C125" s="13"/>
      <c r="D125" s="13" t="s">
        <v>349</v>
      </c>
      <c r="E125">
        <v>22.958609726530302</v>
      </c>
      <c r="F125" s="13"/>
      <c r="G125" s="13"/>
      <c r="H125" s="13"/>
      <c r="I125" s="61">
        <v>0</v>
      </c>
      <c r="J125">
        <v>22.958609726530302</v>
      </c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>
        <v>0.2</v>
      </c>
      <c r="W125" s="13"/>
      <c r="X125" s="13"/>
      <c r="Y125" s="14"/>
      <c r="Z125" s="14"/>
      <c r="AA125" s="14"/>
      <c r="AB125" s="14"/>
      <c r="AC125" s="13"/>
      <c r="AD125" s="13"/>
      <c r="AE125" s="13"/>
      <c r="AF125" s="12">
        <v>0</v>
      </c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X125" s="8">
        <v>120</v>
      </c>
    </row>
    <row r="126" spans="1:50" ht="13.5" x14ac:dyDescent="0.25">
      <c r="A126" s="13" t="s">
        <v>1319</v>
      </c>
      <c r="B126" s="13"/>
      <c r="C126" s="13"/>
      <c r="D126" s="13" t="s">
        <v>5</v>
      </c>
      <c r="E126">
        <v>0.2</v>
      </c>
      <c r="F126" s="13"/>
      <c r="G126" s="13"/>
      <c r="H126" s="13"/>
      <c r="I126" s="61">
        <v>0</v>
      </c>
      <c r="J126">
        <v>0.2</v>
      </c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>
        <v>0.2</v>
      </c>
      <c r="W126" s="13"/>
      <c r="X126" s="13"/>
      <c r="Y126" s="14"/>
      <c r="Z126" s="14"/>
      <c r="AA126" s="14"/>
      <c r="AB126" s="14"/>
      <c r="AC126" s="13"/>
      <c r="AD126" s="13"/>
      <c r="AE126" s="13"/>
      <c r="AF126" s="12">
        <v>0</v>
      </c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X126" s="8">
        <v>121</v>
      </c>
    </row>
    <row r="127" spans="1:50" ht="13.5" x14ac:dyDescent="0.25">
      <c r="A127" s="13" t="s">
        <v>1321</v>
      </c>
      <c r="B127" s="13"/>
      <c r="C127" s="13"/>
      <c r="D127" s="13" t="s">
        <v>5</v>
      </c>
      <c r="E127">
        <v>0.75</v>
      </c>
      <c r="F127" s="13"/>
      <c r="G127" s="13"/>
      <c r="H127" s="13"/>
      <c r="I127" s="61">
        <v>0</v>
      </c>
      <c r="J127">
        <v>0.75</v>
      </c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>
        <v>0.2</v>
      </c>
      <c r="W127" s="13"/>
      <c r="X127" s="13"/>
      <c r="Y127" s="14"/>
      <c r="Z127" s="14"/>
      <c r="AA127" s="14"/>
      <c r="AB127" s="14"/>
      <c r="AC127" s="13"/>
      <c r="AD127" s="13"/>
      <c r="AE127" s="13"/>
      <c r="AF127" s="12">
        <v>0</v>
      </c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X127" s="8">
        <v>122</v>
      </c>
    </row>
    <row r="128" spans="1:50" ht="13.5" x14ac:dyDescent="0.25">
      <c r="A128" s="13" t="s">
        <v>1322</v>
      </c>
      <c r="B128" s="13"/>
      <c r="C128" s="13"/>
      <c r="D128" s="13" t="s">
        <v>349</v>
      </c>
      <c r="E128">
        <v>42.486111062023099</v>
      </c>
      <c r="F128" s="13"/>
      <c r="G128" s="13"/>
      <c r="H128" s="13"/>
      <c r="I128" s="61">
        <v>0</v>
      </c>
      <c r="J128">
        <v>42.486111062023099</v>
      </c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>
        <v>0.2</v>
      </c>
      <c r="W128" s="13"/>
      <c r="X128" s="13"/>
      <c r="Y128" s="14"/>
      <c r="Z128" s="14"/>
      <c r="AA128" s="14"/>
      <c r="AB128" s="14"/>
      <c r="AC128" s="13"/>
      <c r="AD128" s="13"/>
      <c r="AE128" s="13"/>
      <c r="AF128" s="12">
        <v>4</v>
      </c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X128" s="8">
        <v>123</v>
      </c>
    </row>
    <row r="129" spans="1:50" ht="13.5" x14ac:dyDescent="0.25">
      <c r="A129" s="13" t="s">
        <v>1323</v>
      </c>
      <c r="B129" s="13"/>
      <c r="C129" s="13"/>
      <c r="D129" s="13" t="s">
        <v>5</v>
      </c>
      <c r="E129">
        <v>100</v>
      </c>
      <c r="F129" s="13"/>
      <c r="G129" s="13"/>
      <c r="H129" s="13"/>
      <c r="I129" s="61">
        <v>0</v>
      </c>
      <c r="J129">
        <v>100</v>
      </c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>
        <v>0.2</v>
      </c>
      <c r="W129" s="13"/>
      <c r="X129" s="13"/>
      <c r="Y129" s="14"/>
      <c r="Z129" s="14"/>
      <c r="AA129" s="14"/>
      <c r="AB129" s="14"/>
      <c r="AC129" s="13"/>
      <c r="AD129" s="13"/>
      <c r="AE129" s="13"/>
      <c r="AF129" s="12">
        <v>0</v>
      </c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X129" s="8">
        <v>124</v>
      </c>
    </row>
    <row r="130" spans="1:50" ht="13.5" x14ac:dyDescent="0.25">
      <c r="A130" s="13" t="s">
        <v>1324</v>
      </c>
      <c r="B130" s="13"/>
      <c r="C130" s="13"/>
      <c r="D130" s="13" t="s">
        <v>5</v>
      </c>
      <c r="E130">
        <v>0.5</v>
      </c>
      <c r="F130" s="13"/>
      <c r="G130" s="13"/>
      <c r="H130" s="13"/>
      <c r="I130" s="61">
        <v>0</v>
      </c>
      <c r="J130">
        <v>0.5</v>
      </c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>
        <v>0.2</v>
      </c>
      <c r="W130" s="13"/>
      <c r="X130" s="13"/>
      <c r="Y130" s="14"/>
      <c r="Z130" s="14"/>
      <c r="AA130" s="14"/>
      <c r="AB130" s="14"/>
      <c r="AC130" s="13"/>
      <c r="AD130" s="13"/>
      <c r="AE130" s="13"/>
      <c r="AF130" s="12">
        <v>0</v>
      </c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X130" s="8">
        <v>125</v>
      </c>
    </row>
    <row r="131" spans="1:50" ht="13.5" x14ac:dyDescent="0.25">
      <c r="A131" s="13" t="s">
        <v>1325</v>
      </c>
      <c r="B131" s="13"/>
      <c r="C131" s="13"/>
      <c r="D131" s="13" t="s">
        <v>349</v>
      </c>
      <c r="E131">
        <v>99.430555553369103</v>
      </c>
      <c r="F131" s="13"/>
      <c r="G131" s="13"/>
      <c r="H131" s="13"/>
      <c r="I131" s="61">
        <v>0</v>
      </c>
      <c r="J131">
        <v>99.430555553369103</v>
      </c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>
        <v>0.2</v>
      </c>
      <c r="W131" s="13"/>
      <c r="X131" s="13"/>
      <c r="Y131" s="14"/>
      <c r="Z131" s="14"/>
      <c r="AA131" s="14"/>
      <c r="AB131" s="14"/>
      <c r="AC131" s="13"/>
      <c r="AD131" s="13"/>
      <c r="AE131" s="13"/>
      <c r="AF131" s="12">
        <v>4</v>
      </c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X131" s="8">
        <v>126</v>
      </c>
    </row>
    <row r="132" spans="1:50" ht="13.5" x14ac:dyDescent="0.25">
      <c r="A132" s="13" t="s">
        <v>1326</v>
      </c>
      <c r="B132" s="13"/>
      <c r="C132" s="13"/>
      <c r="D132" s="13" t="s">
        <v>5</v>
      </c>
      <c r="E132">
        <v>100</v>
      </c>
      <c r="F132" s="13"/>
      <c r="G132" s="13"/>
      <c r="H132" s="13"/>
      <c r="I132" s="61">
        <v>0</v>
      </c>
      <c r="J132">
        <v>100</v>
      </c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>
        <v>0.2</v>
      </c>
      <c r="W132" s="13"/>
      <c r="X132" s="13"/>
      <c r="Y132" s="14"/>
      <c r="Z132" s="14"/>
      <c r="AA132" s="14"/>
      <c r="AB132" s="14"/>
      <c r="AC132" s="13"/>
      <c r="AD132" s="13"/>
      <c r="AE132" s="13"/>
      <c r="AF132" s="12">
        <v>0</v>
      </c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X132" s="8">
        <v>127</v>
      </c>
    </row>
    <row r="133" spans="1:50" ht="13.5" x14ac:dyDescent="0.25">
      <c r="A133" s="13" t="s">
        <v>1327</v>
      </c>
      <c r="B133" s="13"/>
      <c r="C133" s="13"/>
      <c r="D133" s="13" t="s">
        <v>5</v>
      </c>
      <c r="E133">
        <v>0.5</v>
      </c>
      <c r="F133" s="13"/>
      <c r="G133" s="13"/>
      <c r="H133" s="13"/>
      <c r="I133" s="61">
        <v>0</v>
      </c>
      <c r="J133">
        <v>0.5</v>
      </c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>
        <v>0.2</v>
      </c>
      <c r="W133" s="13"/>
      <c r="X133" s="13"/>
      <c r="Y133" s="14"/>
      <c r="Z133" s="14"/>
      <c r="AA133" s="14"/>
      <c r="AB133" s="14"/>
      <c r="AC133" s="13"/>
      <c r="AD133" s="13"/>
      <c r="AE133" s="13"/>
      <c r="AF133" s="12">
        <v>0</v>
      </c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X133" s="8">
        <v>128</v>
      </c>
    </row>
    <row r="134" spans="1:50" ht="13.5" x14ac:dyDescent="0.25">
      <c r="A134" s="13" t="s">
        <v>1328</v>
      </c>
      <c r="B134" s="13"/>
      <c r="C134" s="13"/>
      <c r="D134" s="13" t="s">
        <v>349</v>
      </c>
      <c r="E134">
        <v>-58</v>
      </c>
      <c r="F134" s="13"/>
      <c r="G134" s="13"/>
      <c r="H134" s="13"/>
      <c r="I134" s="61">
        <v>0</v>
      </c>
      <c r="J134">
        <v>-58</v>
      </c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>
        <v>0.2</v>
      </c>
      <c r="W134" s="13"/>
      <c r="X134" s="13"/>
      <c r="Y134" s="14"/>
      <c r="Z134" s="14"/>
      <c r="AA134" s="14"/>
      <c r="AB134" s="14"/>
      <c r="AC134" s="13"/>
      <c r="AD134" s="13"/>
      <c r="AE134" s="13"/>
      <c r="AF134" s="12">
        <v>0</v>
      </c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X134" s="8">
        <v>129</v>
      </c>
    </row>
    <row r="135" spans="1:50" ht="13.5" x14ac:dyDescent="0.25">
      <c r="A135" s="13" t="s">
        <v>1330</v>
      </c>
      <c r="B135" s="13"/>
      <c r="C135" s="13"/>
      <c r="D135" s="13" t="s">
        <v>5</v>
      </c>
      <c r="E135">
        <v>0.5</v>
      </c>
      <c r="F135" s="13"/>
      <c r="G135" s="13"/>
      <c r="H135" s="13"/>
      <c r="I135" s="61">
        <v>0</v>
      </c>
      <c r="J135">
        <v>0.5</v>
      </c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>
        <v>0.2</v>
      </c>
      <c r="W135" s="13"/>
      <c r="X135" s="13"/>
      <c r="Y135" s="14"/>
      <c r="Z135" s="14"/>
      <c r="AA135" s="14"/>
      <c r="AB135" s="14"/>
      <c r="AC135" s="13"/>
      <c r="AD135" s="13"/>
      <c r="AE135" s="13"/>
      <c r="AF135" s="12">
        <v>0</v>
      </c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X135" s="8">
        <v>130</v>
      </c>
    </row>
    <row r="136" spans="1:50" ht="13.5" x14ac:dyDescent="0.25">
      <c r="A136" s="13" t="s">
        <v>1331</v>
      </c>
      <c r="B136" s="13"/>
      <c r="C136" s="13"/>
      <c r="D136" s="13" t="s">
        <v>349</v>
      </c>
      <c r="E136">
        <v>-40</v>
      </c>
      <c r="F136" s="13"/>
      <c r="G136" s="13"/>
      <c r="H136" s="13"/>
      <c r="I136" s="61">
        <v>0</v>
      </c>
      <c r="J136">
        <v>-40</v>
      </c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>
        <v>0.2</v>
      </c>
      <c r="W136" s="13"/>
      <c r="X136" s="13"/>
      <c r="Y136" s="14"/>
      <c r="Z136" s="14"/>
      <c r="AA136" s="14"/>
      <c r="AB136" s="14"/>
      <c r="AC136" s="13"/>
      <c r="AD136" s="13"/>
      <c r="AE136" s="13"/>
      <c r="AF136" s="12">
        <v>0</v>
      </c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X136" s="8">
        <v>131</v>
      </c>
    </row>
    <row r="137" spans="1:50" ht="13.5" x14ac:dyDescent="0.25">
      <c r="A137" s="13" t="s">
        <v>1333</v>
      </c>
      <c r="B137" s="13"/>
      <c r="C137" s="13"/>
      <c r="D137" s="13" t="s">
        <v>5</v>
      </c>
      <c r="E137">
        <v>0.5</v>
      </c>
      <c r="F137" s="13"/>
      <c r="G137" s="13"/>
      <c r="H137" s="13"/>
      <c r="I137" s="61">
        <v>0</v>
      </c>
      <c r="J137">
        <v>0.5</v>
      </c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>
        <v>0.2</v>
      </c>
      <c r="W137" s="13"/>
      <c r="X137" s="13"/>
      <c r="Y137" s="14"/>
      <c r="Z137" s="14"/>
      <c r="AA137" s="14"/>
      <c r="AB137" s="14"/>
      <c r="AC137" s="13"/>
      <c r="AD137" s="13"/>
      <c r="AE137" s="13"/>
      <c r="AF137" s="12">
        <v>0</v>
      </c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X137" s="8">
        <v>132</v>
      </c>
    </row>
    <row r="138" spans="1:50" ht="13.5" x14ac:dyDescent="0.25">
      <c r="A138" s="13" t="s">
        <v>1334</v>
      </c>
      <c r="B138" s="13"/>
      <c r="C138" s="13"/>
      <c r="D138" s="13" t="s">
        <v>349</v>
      </c>
      <c r="E138">
        <v>77</v>
      </c>
      <c r="F138" s="13"/>
      <c r="G138" s="13"/>
      <c r="H138" s="13"/>
      <c r="I138" s="61">
        <v>0</v>
      </c>
      <c r="J138">
        <v>77</v>
      </c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>
        <v>0.2</v>
      </c>
      <c r="W138" s="13"/>
      <c r="X138" s="13"/>
      <c r="Y138" s="14"/>
      <c r="Z138" s="14"/>
      <c r="AA138" s="14"/>
      <c r="AB138" s="14"/>
      <c r="AC138" s="13"/>
      <c r="AD138" s="13"/>
      <c r="AE138" s="13"/>
      <c r="AF138" s="12">
        <v>0</v>
      </c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X138" s="8">
        <v>133</v>
      </c>
    </row>
    <row r="139" spans="1:50" ht="13.5" x14ac:dyDescent="0.25">
      <c r="A139" s="13" t="s">
        <v>1336</v>
      </c>
      <c r="B139" s="13"/>
      <c r="C139" s="13"/>
      <c r="D139" s="13" t="s">
        <v>5</v>
      </c>
      <c r="E139">
        <v>0.5</v>
      </c>
      <c r="F139" s="13"/>
      <c r="G139" s="13"/>
      <c r="H139" s="13"/>
      <c r="I139" s="61">
        <v>0</v>
      </c>
      <c r="J139">
        <v>0.5</v>
      </c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>
        <v>0.2</v>
      </c>
      <c r="W139" s="13"/>
      <c r="X139" s="13"/>
      <c r="Y139" s="14"/>
      <c r="Z139" s="14"/>
      <c r="AA139" s="14"/>
      <c r="AB139" s="14"/>
      <c r="AC139" s="13"/>
      <c r="AD139" s="13"/>
      <c r="AE139" s="13"/>
      <c r="AF139" s="12">
        <v>0</v>
      </c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X139" s="8">
        <v>134</v>
      </c>
    </row>
    <row r="140" spans="1:50" ht="13.5" x14ac:dyDescent="0.25">
      <c r="A140" s="13" t="s">
        <v>1533</v>
      </c>
      <c r="B140" s="13"/>
      <c r="C140" s="13"/>
      <c r="D140" s="13" t="s">
        <v>349</v>
      </c>
      <c r="E140">
        <v>56</v>
      </c>
      <c r="F140" s="13"/>
      <c r="G140" s="13"/>
      <c r="H140" s="13"/>
      <c r="I140" s="61">
        <v>0</v>
      </c>
      <c r="J140">
        <v>56</v>
      </c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>
        <v>0.2</v>
      </c>
      <c r="W140" s="13"/>
      <c r="X140" s="13"/>
      <c r="Y140" s="14"/>
      <c r="Z140" s="14"/>
      <c r="AA140" s="14"/>
      <c r="AB140" s="14"/>
      <c r="AC140" s="13"/>
      <c r="AD140" s="13"/>
      <c r="AE140" s="13"/>
      <c r="AF140" s="12">
        <v>4</v>
      </c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X140" s="8">
        <v>135</v>
      </c>
    </row>
    <row r="141" spans="1:50" ht="13.5" x14ac:dyDescent="0.25">
      <c r="A141" s="61" t="s">
        <v>1505</v>
      </c>
      <c r="B141" s="13"/>
      <c r="C141" s="13"/>
      <c r="D141" s="13" t="s">
        <v>349</v>
      </c>
      <c r="E141">
        <v>617</v>
      </c>
      <c r="F141" s="13"/>
      <c r="G141" s="13"/>
      <c r="H141" s="13"/>
      <c r="I141" s="61">
        <v>0</v>
      </c>
      <c r="J141">
        <v>617</v>
      </c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>
        <v>0.2</v>
      </c>
      <c r="W141" s="13"/>
      <c r="X141" s="13"/>
      <c r="Y141" s="14"/>
      <c r="Z141" s="14"/>
      <c r="AA141" s="14"/>
      <c r="AB141" s="14"/>
      <c r="AC141" s="13"/>
      <c r="AD141" s="13"/>
      <c r="AE141" s="13"/>
      <c r="AF141" s="12">
        <v>4</v>
      </c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X141" s="8">
        <v>136</v>
      </c>
    </row>
    <row r="142" spans="1:50" ht="13.5" x14ac:dyDescent="0.25">
      <c r="A142" s="13" t="s">
        <v>1506</v>
      </c>
      <c r="B142" s="13"/>
      <c r="C142" s="13"/>
      <c r="D142" s="13" t="s">
        <v>349</v>
      </c>
      <c r="E142">
        <v>568.9</v>
      </c>
      <c r="F142" s="13"/>
      <c r="G142" s="13"/>
      <c r="H142" s="13"/>
      <c r="I142" s="61">
        <v>0</v>
      </c>
      <c r="J142">
        <v>568.9</v>
      </c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>
        <v>0.2</v>
      </c>
      <c r="W142" s="13"/>
      <c r="X142" s="13"/>
      <c r="Y142" s="14"/>
      <c r="Z142" s="14"/>
      <c r="AA142" s="14"/>
      <c r="AB142" s="14"/>
      <c r="AC142" s="13"/>
      <c r="AD142" s="13"/>
      <c r="AE142" s="13"/>
      <c r="AF142" s="12">
        <v>4</v>
      </c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X142" s="8">
        <v>137</v>
      </c>
    </row>
    <row r="143" spans="1:50" ht="13.5" x14ac:dyDescent="0.25">
      <c r="A143" s="61" t="s">
        <v>1534</v>
      </c>
      <c r="B143" s="13"/>
      <c r="C143" s="13"/>
      <c r="D143" s="13" t="s">
        <v>349</v>
      </c>
      <c r="E143">
        <v>22.079062487519042</v>
      </c>
      <c r="F143" s="13"/>
      <c r="G143" s="13"/>
      <c r="H143" s="13"/>
      <c r="I143" s="61">
        <v>0</v>
      </c>
      <c r="J143">
        <v>22.079062487519042</v>
      </c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>
        <v>0.2</v>
      </c>
      <c r="W143" s="13"/>
      <c r="X143" s="13"/>
      <c r="Y143" s="14"/>
      <c r="Z143" s="14"/>
      <c r="AA143" s="14"/>
      <c r="AB143" s="14"/>
      <c r="AC143" s="13"/>
      <c r="AD143" s="13"/>
      <c r="AE143" s="13"/>
      <c r="AF143" s="12">
        <v>4</v>
      </c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X143" s="8">
        <v>138</v>
      </c>
    </row>
    <row r="144" spans="1:50" ht="13.5" x14ac:dyDescent="0.25">
      <c r="A144" s="13" t="s">
        <v>1535</v>
      </c>
      <c r="B144" s="13"/>
      <c r="C144" s="13"/>
      <c r="D144" s="13" t="s">
        <v>349</v>
      </c>
      <c r="E144">
        <v>48</v>
      </c>
      <c r="F144" s="13"/>
      <c r="G144" s="13"/>
      <c r="H144" s="13"/>
      <c r="I144" s="61">
        <v>0</v>
      </c>
      <c r="J144">
        <v>48</v>
      </c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>
        <v>0.2</v>
      </c>
      <c r="W144" s="13"/>
      <c r="X144" s="13"/>
      <c r="Y144" s="14"/>
      <c r="Z144" s="14"/>
      <c r="AA144" s="14"/>
      <c r="AB144" s="14"/>
      <c r="AC144" s="13"/>
      <c r="AD144" s="13"/>
      <c r="AE144" s="13"/>
      <c r="AF144" s="12">
        <v>4</v>
      </c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X144" s="8">
        <v>139</v>
      </c>
    </row>
    <row r="145" spans="1:50" ht="13.5" x14ac:dyDescent="0.25">
      <c r="A145" s="13" t="s">
        <v>1536</v>
      </c>
      <c r="B145" s="13"/>
      <c r="C145" s="13"/>
      <c r="D145" s="13" t="s">
        <v>5</v>
      </c>
      <c r="E145">
        <v>10</v>
      </c>
      <c r="F145" s="13"/>
      <c r="G145" s="13"/>
      <c r="H145" s="13"/>
      <c r="I145" s="61">
        <v>0</v>
      </c>
      <c r="J145">
        <v>10</v>
      </c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>
        <v>0.2</v>
      </c>
      <c r="W145" s="13"/>
      <c r="X145" s="13"/>
      <c r="Y145" s="14"/>
      <c r="Z145" s="14"/>
      <c r="AA145" s="14"/>
      <c r="AB145" s="14"/>
      <c r="AC145" s="13"/>
      <c r="AD145" s="13"/>
      <c r="AE145" s="13"/>
      <c r="AF145" s="12">
        <v>4</v>
      </c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X145" s="8">
        <v>140</v>
      </c>
    </row>
    <row r="146" spans="1:50" ht="13.5" x14ac:dyDescent="0.25">
      <c r="A146" s="13" t="s">
        <v>1283</v>
      </c>
      <c r="B146" s="13"/>
      <c r="C146" s="13"/>
      <c r="D146" s="13" t="s">
        <v>349</v>
      </c>
      <c r="E146">
        <v>617</v>
      </c>
      <c r="F146" s="13"/>
      <c r="G146" s="13"/>
      <c r="H146" s="13"/>
      <c r="I146" s="61">
        <v>1</v>
      </c>
      <c r="J146">
        <v>617</v>
      </c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>
        <v>0.2</v>
      </c>
      <c r="W146" s="13"/>
      <c r="X146" s="13"/>
      <c r="Y146" s="14"/>
      <c r="Z146" s="14"/>
      <c r="AA146" s="14"/>
      <c r="AB146" s="14"/>
      <c r="AC146" s="13"/>
      <c r="AD146" s="13"/>
      <c r="AE146" s="13"/>
      <c r="AF146" s="12">
        <v>0</v>
      </c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X146" s="8">
        <v>141</v>
      </c>
    </row>
    <row r="147" spans="1:50" ht="13.5" x14ac:dyDescent="0.25">
      <c r="A147" s="13" t="s">
        <v>1284</v>
      </c>
      <c r="B147" s="13"/>
      <c r="C147" s="13"/>
      <c r="D147" s="13" t="s">
        <v>349</v>
      </c>
      <c r="E147">
        <v>568.9</v>
      </c>
      <c r="F147" s="13"/>
      <c r="G147" s="13"/>
      <c r="H147" s="13"/>
      <c r="I147" s="61">
        <v>1</v>
      </c>
      <c r="J147">
        <v>568.9</v>
      </c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>
        <v>0.2</v>
      </c>
      <c r="W147" s="13"/>
      <c r="X147" s="13"/>
      <c r="Y147" s="14"/>
      <c r="Z147" s="14"/>
      <c r="AA147" s="14"/>
      <c r="AB147" s="14"/>
      <c r="AC147" s="13"/>
      <c r="AD147" s="13"/>
      <c r="AE147" s="13"/>
      <c r="AF147" s="12">
        <v>0</v>
      </c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X147" s="8">
        <v>142</v>
      </c>
    </row>
    <row r="148" spans="1:50" ht="13.5" x14ac:dyDescent="0.25">
      <c r="A148" s="13" t="s">
        <v>1285</v>
      </c>
      <c r="B148" s="13"/>
      <c r="C148" s="13"/>
      <c r="D148" s="13" t="s">
        <v>349</v>
      </c>
      <c r="E148">
        <v>48</v>
      </c>
      <c r="F148" s="13"/>
      <c r="G148" s="13"/>
      <c r="H148" s="13"/>
      <c r="I148" s="61">
        <v>0</v>
      </c>
      <c r="J148">
        <v>48</v>
      </c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>
        <v>0.2</v>
      </c>
      <c r="W148" s="13"/>
      <c r="X148" s="13"/>
      <c r="Y148" s="14"/>
      <c r="Z148" s="14"/>
      <c r="AA148" s="14"/>
      <c r="AB148" s="14"/>
      <c r="AC148" s="13"/>
      <c r="AD148" s="13"/>
      <c r="AE148" s="13"/>
      <c r="AF148" s="12">
        <v>4</v>
      </c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X148" s="8">
        <v>143</v>
      </c>
    </row>
    <row r="149" spans="1:50" ht="13.5" x14ac:dyDescent="0.25">
      <c r="A149" s="13" t="s">
        <v>1286</v>
      </c>
      <c r="B149" s="13"/>
      <c r="C149" s="13"/>
      <c r="D149" s="13" t="s">
        <v>5</v>
      </c>
      <c r="E149">
        <v>10</v>
      </c>
      <c r="F149" s="13"/>
      <c r="G149" s="13"/>
      <c r="H149" s="13"/>
      <c r="I149" s="61">
        <v>1</v>
      </c>
      <c r="J149">
        <v>10</v>
      </c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>
        <v>0.2</v>
      </c>
      <c r="W149" s="13"/>
      <c r="X149" s="13"/>
      <c r="Y149" s="14"/>
      <c r="Z149" s="14"/>
      <c r="AA149" s="14"/>
      <c r="AB149" s="14"/>
      <c r="AC149" s="13"/>
      <c r="AD149" s="13"/>
      <c r="AE149" s="13"/>
      <c r="AF149" s="12">
        <v>0</v>
      </c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X149" s="8">
        <v>144</v>
      </c>
    </row>
    <row r="150" spans="1:50" ht="13.5" x14ac:dyDescent="0.25">
      <c r="A150" s="13" t="s">
        <v>1550</v>
      </c>
      <c r="B150" s="13"/>
      <c r="C150" s="13"/>
      <c r="D150" s="13" t="s">
        <v>349</v>
      </c>
      <c r="E150">
        <v>49.908864919867597</v>
      </c>
      <c r="F150" s="13"/>
      <c r="G150" s="13"/>
      <c r="H150" s="13"/>
      <c r="I150" s="61">
        <v>0</v>
      </c>
      <c r="J150">
        <v>49.908864919867597</v>
      </c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>
        <v>0.2</v>
      </c>
      <c r="W150" s="13"/>
      <c r="X150" s="13"/>
      <c r="Y150" s="14"/>
      <c r="Z150" s="14"/>
      <c r="AA150" s="14"/>
      <c r="AB150" s="14"/>
      <c r="AC150" s="13"/>
      <c r="AD150" s="13"/>
      <c r="AE150" s="13"/>
      <c r="AF150" s="12">
        <v>4</v>
      </c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X150" s="8">
        <v>145</v>
      </c>
    </row>
    <row r="151" spans="1:50" ht="13.5" x14ac:dyDescent="0.25">
      <c r="A151" s="13" t="s">
        <v>1548</v>
      </c>
      <c r="B151" s="13"/>
      <c r="C151" s="13"/>
      <c r="D151" s="13" t="s">
        <v>349</v>
      </c>
      <c r="E151">
        <v>0.80643689559490006</v>
      </c>
      <c r="F151" s="13"/>
      <c r="G151" s="13"/>
      <c r="H151" s="13"/>
      <c r="I151" s="61">
        <v>0</v>
      </c>
      <c r="J151">
        <v>0.80643689559490006</v>
      </c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>
        <v>0.2</v>
      </c>
      <c r="W151" s="13"/>
      <c r="X151" s="13"/>
      <c r="Y151" s="14"/>
      <c r="Z151" s="14"/>
      <c r="AA151" s="14"/>
      <c r="AB151" s="14"/>
      <c r="AC151" s="13"/>
      <c r="AD151" s="13"/>
      <c r="AE151" s="13"/>
      <c r="AF151" s="12">
        <v>4</v>
      </c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X151" s="8">
        <v>146</v>
      </c>
    </row>
    <row r="152" spans="1:50" ht="13.5" x14ac:dyDescent="0.25">
      <c r="A152" s="13" t="s">
        <v>1563</v>
      </c>
      <c r="B152" s="13"/>
      <c r="C152" s="13"/>
      <c r="D152" s="13" t="s">
        <v>349</v>
      </c>
      <c r="E152">
        <v>51.295970558598299</v>
      </c>
      <c r="F152" s="13"/>
      <c r="G152" s="13"/>
      <c r="H152" s="13"/>
      <c r="I152" s="61">
        <v>0</v>
      </c>
      <c r="J152">
        <v>51.295970558598299</v>
      </c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>
        <v>0.2</v>
      </c>
      <c r="W152" s="13"/>
      <c r="X152" s="13"/>
      <c r="Y152" s="14"/>
      <c r="Z152" s="14"/>
      <c r="AA152" s="14"/>
      <c r="AB152" s="14"/>
      <c r="AC152" s="13"/>
      <c r="AD152" s="13"/>
      <c r="AE152" s="13"/>
      <c r="AF152" s="12">
        <v>4</v>
      </c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X152" s="8">
        <v>147</v>
      </c>
    </row>
    <row r="153" spans="1:50" ht="13.5" x14ac:dyDescent="0.25">
      <c r="A153" s="61" t="s">
        <v>1566</v>
      </c>
      <c r="B153" s="13"/>
      <c r="C153" s="13"/>
      <c r="D153" s="13" t="s">
        <v>349</v>
      </c>
      <c r="E153">
        <v>168.37491968623351</v>
      </c>
      <c r="F153" s="13"/>
      <c r="G153" s="13"/>
      <c r="H153" s="13"/>
      <c r="I153" s="61">
        <v>0</v>
      </c>
      <c r="J153">
        <v>168.37491968623351</v>
      </c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>
        <v>0.2</v>
      </c>
      <c r="W153" s="13"/>
      <c r="X153" s="13"/>
      <c r="Y153" s="14"/>
      <c r="Z153" s="14"/>
      <c r="AA153" s="14"/>
      <c r="AB153" s="14"/>
      <c r="AC153" s="13"/>
      <c r="AD153" s="13"/>
      <c r="AE153" s="13"/>
      <c r="AF153" s="12">
        <v>4</v>
      </c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X153" s="8">
        <v>148</v>
      </c>
    </row>
    <row r="154" spans="1:50" ht="13.5" x14ac:dyDescent="0.25">
      <c r="A154" s="13" t="s">
        <v>1546</v>
      </c>
      <c r="B154" s="13"/>
      <c r="C154" s="13"/>
      <c r="D154" s="13" t="s">
        <v>349</v>
      </c>
      <c r="E154">
        <v>24.890109747244502</v>
      </c>
      <c r="F154" s="13"/>
      <c r="G154" s="13"/>
      <c r="H154" s="13"/>
      <c r="I154" s="61">
        <v>0</v>
      </c>
      <c r="J154">
        <v>24.890109747244502</v>
      </c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>
        <v>0.2</v>
      </c>
      <c r="W154" s="13"/>
      <c r="X154" s="13"/>
      <c r="Y154" s="14"/>
      <c r="Z154" s="14"/>
      <c r="AA154" s="14"/>
      <c r="AB154" s="14"/>
      <c r="AC154" s="13"/>
      <c r="AD154" s="13"/>
      <c r="AE154" s="13"/>
      <c r="AF154" s="12">
        <v>0</v>
      </c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X154" s="8">
        <v>149</v>
      </c>
    </row>
    <row r="155" spans="1:50" ht="13.5" x14ac:dyDescent="0.25">
      <c r="A155" s="13" t="s">
        <v>1547</v>
      </c>
      <c r="B155" s="13"/>
      <c r="C155" s="13"/>
      <c r="D155" s="13" t="s">
        <v>5</v>
      </c>
      <c r="E155">
        <v>2</v>
      </c>
      <c r="F155" s="13"/>
      <c r="G155" s="13"/>
      <c r="H155" s="13"/>
      <c r="I155" s="61">
        <v>0</v>
      </c>
      <c r="J155">
        <v>2</v>
      </c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>
        <v>0.2</v>
      </c>
      <c r="W155" s="13"/>
      <c r="X155" s="13"/>
      <c r="Y155" s="14"/>
      <c r="Z155" s="14"/>
      <c r="AA155" s="14"/>
      <c r="AB155" s="14"/>
      <c r="AC155" s="13"/>
      <c r="AD155" s="13"/>
      <c r="AE155" s="13"/>
      <c r="AF155" s="12">
        <v>0</v>
      </c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X155" s="8">
        <v>150</v>
      </c>
    </row>
    <row r="156" spans="1:50" ht="13.5" x14ac:dyDescent="0.25">
      <c r="A156" s="13" t="s">
        <v>1549</v>
      </c>
      <c r="B156" s="13"/>
      <c r="C156" s="13"/>
      <c r="D156" s="13" t="s">
        <v>349</v>
      </c>
      <c r="E156">
        <v>0.75</v>
      </c>
      <c r="F156" s="13"/>
      <c r="G156" s="13"/>
      <c r="H156" s="13"/>
      <c r="I156" s="61">
        <v>0</v>
      </c>
      <c r="J156">
        <v>0.75</v>
      </c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>
        <v>0.2</v>
      </c>
      <c r="W156" s="13"/>
      <c r="X156" s="13"/>
      <c r="Y156" s="14"/>
      <c r="Z156" s="14"/>
      <c r="AA156" s="14"/>
      <c r="AB156" s="14"/>
      <c r="AC156" s="13"/>
      <c r="AD156" s="13"/>
      <c r="AE156" s="13"/>
      <c r="AF156" s="12">
        <v>0</v>
      </c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X156" s="8">
        <v>151</v>
      </c>
    </row>
    <row r="157" spans="1:50" ht="13.5" x14ac:dyDescent="0.25">
      <c r="A157" s="13" t="s">
        <v>1551</v>
      </c>
      <c r="B157" s="13"/>
      <c r="C157" s="13"/>
      <c r="D157" s="13" t="s">
        <v>349</v>
      </c>
      <c r="E157">
        <v>40</v>
      </c>
      <c r="F157" s="13"/>
      <c r="G157" s="13"/>
      <c r="H157" s="13"/>
      <c r="I157" s="61">
        <v>0</v>
      </c>
      <c r="J157">
        <v>40</v>
      </c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>
        <v>0.2</v>
      </c>
      <c r="W157" s="13"/>
      <c r="X157" s="13"/>
      <c r="Y157" s="14"/>
      <c r="Z157" s="14"/>
      <c r="AA157" s="14"/>
      <c r="AB157" s="14"/>
      <c r="AC157" s="13"/>
      <c r="AD157" s="13"/>
      <c r="AE157" s="13"/>
      <c r="AF157" s="12">
        <v>0</v>
      </c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X157" s="8">
        <v>152</v>
      </c>
    </row>
    <row r="158" spans="1:50" ht="13.5" x14ac:dyDescent="0.25">
      <c r="A158" s="13" t="s">
        <v>1552</v>
      </c>
      <c r="B158" s="13"/>
      <c r="C158" s="13"/>
      <c r="D158" s="13" t="s">
        <v>5</v>
      </c>
      <c r="E158">
        <v>0.5</v>
      </c>
      <c r="F158" s="13"/>
      <c r="G158" s="13"/>
      <c r="H158" s="13"/>
      <c r="I158" s="61">
        <v>0</v>
      </c>
      <c r="J158">
        <v>0.5</v>
      </c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>
        <v>0.2</v>
      </c>
      <c r="W158" s="13"/>
      <c r="X158" s="13"/>
      <c r="Y158" s="14"/>
      <c r="Z158" s="14"/>
      <c r="AA158" s="14"/>
      <c r="AB158" s="14"/>
      <c r="AC158" s="13"/>
      <c r="AD158" s="13"/>
      <c r="AE158" s="13"/>
      <c r="AF158" s="12">
        <v>0</v>
      </c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X158" s="8">
        <v>153</v>
      </c>
    </row>
    <row r="159" spans="1:50" ht="13.5" x14ac:dyDescent="0.25">
      <c r="A159" s="13" t="s">
        <v>1553</v>
      </c>
      <c r="B159" s="13"/>
      <c r="C159" s="13"/>
      <c r="D159" s="13" t="s">
        <v>349</v>
      </c>
      <c r="E159">
        <v>13.086298773768265</v>
      </c>
      <c r="F159" s="13"/>
      <c r="G159" s="13"/>
      <c r="H159" s="13"/>
      <c r="I159" s="61">
        <v>0</v>
      </c>
      <c r="J159">
        <v>13.086298773768265</v>
      </c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>
        <v>0.2</v>
      </c>
      <c r="W159" s="13"/>
      <c r="X159" s="13"/>
      <c r="Y159" s="14"/>
      <c r="Z159" s="14"/>
      <c r="AA159" s="14"/>
      <c r="AB159" s="14"/>
      <c r="AC159" s="13"/>
      <c r="AD159" s="13"/>
      <c r="AE159" s="13"/>
      <c r="AF159" s="12">
        <v>4</v>
      </c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X159" s="8">
        <v>154</v>
      </c>
    </row>
    <row r="160" spans="1:50" ht="13.5" x14ac:dyDescent="0.25">
      <c r="A160" s="13" t="s">
        <v>1554</v>
      </c>
      <c r="B160" s="13"/>
      <c r="C160" s="13"/>
      <c r="D160" s="13" t="s">
        <v>5</v>
      </c>
      <c r="E160">
        <v>100</v>
      </c>
      <c r="F160" s="13"/>
      <c r="G160" s="13"/>
      <c r="H160" s="13"/>
      <c r="I160" s="61">
        <v>0</v>
      </c>
      <c r="J160">
        <v>100</v>
      </c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>
        <v>0.2</v>
      </c>
      <c r="W160" s="13"/>
      <c r="X160" s="13"/>
      <c r="Y160" s="14"/>
      <c r="Z160" s="14"/>
      <c r="AA160" s="14"/>
      <c r="AB160" s="14"/>
      <c r="AC160" s="13"/>
      <c r="AD160" s="13"/>
      <c r="AE160" s="13"/>
      <c r="AF160" s="12">
        <v>0</v>
      </c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X160" s="8">
        <v>155</v>
      </c>
    </row>
    <row r="161" spans="1:50" ht="13.5" x14ac:dyDescent="0.25">
      <c r="A161" s="13" t="s">
        <v>1555</v>
      </c>
      <c r="B161" s="13"/>
      <c r="C161" s="13"/>
      <c r="D161" s="13" t="s">
        <v>5</v>
      </c>
      <c r="E161">
        <v>0.5</v>
      </c>
      <c r="F161" s="13"/>
      <c r="G161" s="13"/>
      <c r="H161" s="13"/>
      <c r="I161" s="61">
        <v>0</v>
      </c>
      <c r="J161">
        <v>0.5</v>
      </c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>
        <v>0.2</v>
      </c>
      <c r="W161" s="13"/>
      <c r="X161" s="13"/>
      <c r="Y161" s="14"/>
      <c r="Z161" s="14"/>
      <c r="AA161" s="14"/>
      <c r="AB161" s="14"/>
      <c r="AC161" s="13"/>
      <c r="AD161" s="13"/>
      <c r="AE161" s="13"/>
      <c r="AF161" s="12">
        <v>0</v>
      </c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X161" s="8">
        <v>156</v>
      </c>
    </row>
    <row r="162" spans="1:50" ht="13.5" x14ac:dyDescent="0.25">
      <c r="A162" s="13" t="s">
        <v>1556</v>
      </c>
      <c r="B162" s="13"/>
      <c r="C162" s="13"/>
      <c r="D162" s="13" t="s">
        <v>349</v>
      </c>
      <c r="E162">
        <v>49.911631121591967</v>
      </c>
      <c r="F162" s="13"/>
      <c r="G162" s="13"/>
      <c r="H162" s="13"/>
      <c r="I162" s="61">
        <v>0</v>
      </c>
      <c r="J162">
        <v>49.911631121591967</v>
      </c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>
        <v>0.2</v>
      </c>
      <c r="W162" s="13"/>
      <c r="X162" s="13"/>
      <c r="Y162" s="14"/>
      <c r="Z162" s="14"/>
      <c r="AA162" s="14"/>
      <c r="AB162" s="14"/>
      <c r="AC162" s="13"/>
      <c r="AD162" s="13"/>
      <c r="AE162" s="13"/>
      <c r="AF162" s="12">
        <v>4</v>
      </c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X162" s="8">
        <v>157</v>
      </c>
    </row>
    <row r="163" spans="1:50" ht="13.5" x14ac:dyDescent="0.25">
      <c r="A163" s="13" t="s">
        <v>1557</v>
      </c>
      <c r="B163" s="13"/>
      <c r="C163" s="13"/>
      <c r="D163" s="13" t="s">
        <v>5</v>
      </c>
      <c r="E163">
        <v>100</v>
      </c>
      <c r="F163" s="13"/>
      <c r="G163" s="13"/>
      <c r="H163" s="13"/>
      <c r="I163" s="61">
        <v>0</v>
      </c>
      <c r="J163">
        <v>100</v>
      </c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>
        <v>0.2</v>
      </c>
      <c r="W163" s="13"/>
      <c r="X163" s="13"/>
      <c r="Y163" s="14"/>
      <c r="Z163" s="14"/>
      <c r="AA163" s="14"/>
      <c r="AB163" s="14"/>
      <c r="AC163" s="13"/>
      <c r="AD163" s="13"/>
      <c r="AE163" s="13"/>
      <c r="AF163" s="12">
        <v>0</v>
      </c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X163" s="8">
        <v>158</v>
      </c>
    </row>
    <row r="164" spans="1:50" ht="13.5" x14ac:dyDescent="0.25">
      <c r="A164" s="13" t="s">
        <v>1558</v>
      </c>
      <c r="B164" s="13"/>
      <c r="C164" s="13"/>
      <c r="D164" s="13" t="s">
        <v>5</v>
      </c>
      <c r="E164">
        <v>0.5</v>
      </c>
      <c r="F164" s="13"/>
      <c r="G164" s="13"/>
      <c r="H164" s="13"/>
      <c r="I164" s="61">
        <v>0</v>
      </c>
      <c r="J164">
        <v>0.5</v>
      </c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>
        <v>0.2</v>
      </c>
      <c r="W164" s="13"/>
      <c r="X164" s="13"/>
      <c r="Y164" s="14"/>
      <c r="Z164" s="14"/>
      <c r="AA164" s="14"/>
      <c r="AB164" s="14"/>
      <c r="AC164" s="13"/>
      <c r="AD164" s="13"/>
      <c r="AE164" s="13"/>
      <c r="AF164" s="12">
        <v>0</v>
      </c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X164" s="8">
        <v>159</v>
      </c>
    </row>
    <row r="165" spans="1:50" ht="13.5" x14ac:dyDescent="0.25">
      <c r="A165" s="13" t="s">
        <v>1559</v>
      </c>
      <c r="B165" s="13"/>
      <c r="C165" s="13"/>
      <c r="D165" s="13" t="s">
        <v>349</v>
      </c>
      <c r="E165">
        <v>91.340187183525799</v>
      </c>
      <c r="F165" s="13"/>
      <c r="G165" s="13"/>
      <c r="H165" s="13"/>
      <c r="I165" s="61">
        <v>0</v>
      </c>
      <c r="J165">
        <v>91.340187183525799</v>
      </c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>
        <v>0.2</v>
      </c>
      <c r="W165" s="13"/>
      <c r="X165" s="13"/>
      <c r="Y165" s="14"/>
      <c r="Z165" s="14"/>
      <c r="AA165" s="14"/>
      <c r="AB165" s="14"/>
      <c r="AC165" s="13"/>
      <c r="AD165" s="13"/>
      <c r="AE165" s="13"/>
      <c r="AF165" s="12">
        <v>4</v>
      </c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X165" s="8">
        <v>160</v>
      </c>
    </row>
    <row r="166" spans="1:50" ht="13.5" x14ac:dyDescent="0.25">
      <c r="A166" s="13" t="s">
        <v>1560</v>
      </c>
      <c r="B166" s="13"/>
      <c r="C166" s="13"/>
      <c r="D166" s="13" t="s">
        <v>5</v>
      </c>
      <c r="E166">
        <v>100</v>
      </c>
      <c r="F166" s="13"/>
      <c r="G166" s="13"/>
      <c r="H166" s="13"/>
      <c r="I166" s="61">
        <v>0</v>
      </c>
      <c r="J166">
        <v>100</v>
      </c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>
        <v>0.2</v>
      </c>
      <c r="W166" s="13"/>
      <c r="X166" s="13"/>
      <c r="Y166" s="14"/>
      <c r="Z166" s="14"/>
      <c r="AA166" s="14"/>
      <c r="AB166" s="14"/>
      <c r="AC166" s="13"/>
      <c r="AD166" s="13"/>
      <c r="AE166" s="13"/>
      <c r="AF166" s="12">
        <v>0</v>
      </c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X166" s="8">
        <v>161</v>
      </c>
    </row>
    <row r="167" spans="1:50" ht="13.5" x14ac:dyDescent="0.25">
      <c r="A167" s="13" t="s">
        <v>1561</v>
      </c>
      <c r="B167" s="13"/>
      <c r="C167" s="13"/>
      <c r="D167" s="13" t="s">
        <v>5</v>
      </c>
      <c r="E167">
        <v>0.5</v>
      </c>
      <c r="F167" s="13"/>
      <c r="G167" s="13"/>
      <c r="H167" s="13"/>
      <c r="I167" s="61">
        <v>0</v>
      </c>
      <c r="J167">
        <v>0.5</v>
      </c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>
        <v>0.2</v>
      </c>
      <c r="W167" s="13"/>
      <c r="X167" s="13"/>
      <c r="Y167" s="14"/>
      <c r="Z167" s="14"/>
      <c r="AA167" s="14"/>
      <c r="AB167" s="14"/>
      <c r="AC167" s="13"/>
      <c r="AD167" s="13"/>
      <c r="AE167" s="13"/>
      <c r="AF167" s="12">
        <v>0</v>
      </c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X167" s="8">
        <v>162</v>
      </c>
    </row>
    <row r="168" spans="1:50" ht="13.5" x14ac:dyDescent="0.25">
      <c r="A168" s="13" t="s">
        <v>1772</v>
      </c>
      <c r="B168" s="13"/>
      <c r="C168" s="13"/>
      <c r="D168" s="13" t="s">
        <v>349</v>
      </c>
      <c r="E168">
        <v>99.395644679326253</v>
      </c>
      <c r="F168" s="13"/>
      <c r="G168" s="13"/>
      <c r="H168" s="13"/>
      <c r="I168" s="61">
        <v>0</v>
      </c>
      <c r="J168">
        <v>99.395644679326253</v>
      </c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>
        <v>0.2</v>
      </c>
      <c r="W168" s="13"/>
      <c r="X168" s="13"/>
      <c r="Y168" s="14"/>
      <c r="Z168" s="14"/>
      <c r="AA168" s="14"/>
      <c r="AB168" s="14"/>
      <c r="AC168" s="13"/>
      <c r="AD168" s="13"/>
      <c r="AE168" s="13"/>
      <c r="AF168" s="12">
        <v>4</v>
      </c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X168" s="8">
        <v>163</v>
      </c>
    </row>
    <row r="169" spans="1:50" ht="13.5" x14ac:dyDescent="0.25">
      <c r="A169" s="13" t="s">
        <v>1773</v>
      </c>
      <c r="B169" s="13"/>
      <c r="C169" s="13"/>
      <c r="D169" s="13" t="s">
        <v>5</v>
      </c>
      <c r="E169">
        <v>100</v>
      </c>
      <c r="F169" s="13"/>
      <c r="G169" s="13"/>
      <c r="H169" s="13"/>
      <c r="I169" s="61">
        <v>0</v>
      </c>
      <c r="J169">
        <v>100</v>
      </c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>
        <v>0.2</v>
      </c>
      <c r="W169" s="13"/>
      <c r="X169" s="13"/>
      <c r="Y169" s="14"/>
      <c r="Z169" s="14"/>
      <c r="AA169" s="14"/>
      <c r="AB169" s="14"/>
      <c r="AC169" s="13"/>
      <c r="AD169" s="13"/>
      <c r="AE169" s="13"/>
      <c r="AF169" s="12">
        <v>0</v>
      </c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X169" s="8">
        <v>164</v>
      </c>
    </row>
    <row r="170" spans="1:50" ht="13.5" x14ac:dyDescent="0.25">
      <c r="A170" s="13" t="s">
        <v>1774</v>
      </c>
      <c r="B170" s="13"/>
      <c r="C170" s="13"/>
      <c r="D170" s="13" t="s">
        <v>5</v>
      </c>
      <c r="E170">
        <v>0.5</v>
      </c>
      <c r="F170" s="13"/>
      <c r="G170" s="13"/>
      <c r="H170" s="13"/>
      <c r="I170" s="61">
        <v>0</v>
      </c>
      <c r="J170">
        <v>0.5</v>
      </c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>
        <v>0.2</v>
      </c>
      <c r="W170" s="13"/>
      <c r="X170" s="13"/>
      <c r="Y170" s="14"/>
      <c r="Z170" s="14"/>
      <c r="AA170" s="14"/>
      <c r="AB170" s="14"/>
      <c r="AC170" s="13"/>
      <c r="AD170" s="13"/>
      <c r="AE170" s="13"/>
      <c r="AF170" s="12">
        <v>0</v>
      </c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X170" s="8">
        <v>165</v>
      </c>
    </row>
    <row r="171" spans="1:50" ht="13.5" x14ac:dyDescent="0.25">
      <c r="A171" s="13" t="s">
        <v>1562</v>
      </c>
      <c r="B171" s="13"/>
      <c r="C171" s="13"/>
      <c r="D171" s="13" t="s">
        <v>349</v>
      </c>
      <c r="E171">
        <v>-58</v>
      </c>
      <c r="F171" s="13"/>
      <c r="G171" s="13"/>
      <c r="H171" s="13"/>
      <c r="I171" s="61">
        <v>0</v>
      </c>
      <c r="J171">
        <v>-58</v>
      </c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>
        <v>0.2</v>
      </c>
      <c r="W171" s="13"/>
      <c r="X171" s="13"/>
      <c r="Y171" s="14"/>
      <c r="Z171" s="14"/>
      <c r="AA171" s="14"/>
      <c r="AB171" s="14"/>
      <c r="AC171" s="13"/>
      <c r="AD171" s="13"/>
      <c r="AE171" s="13"/>
      <c r="AF171" s="12">
        <v>0</v>
      </c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X171" s="8">
        <v>166</v>
      </c>
    </row>
    <row r="172" spans="1:50" ht="13.5" x14ac:dyDescent="0.25">
      <c r="A172" s="13" t="s">
        <v>1564</v>
      </c>
      <c r="B172" s="13"/>
      <c r="C172" s="13"/>
      <c r="D172" s="13" t="s">
        <v>5</v>
      </c>
      <c r="E172">
        <v>0.5</v>
      </c>
      <c r="F172" s="13"/>
      <c r="G172" s="13"/>
      <c r="H172" s="13"/>
      <c r="I172" s="61">
        <v>0</v>
      </c>
      <c r="J172">
        <v>0.5</v>
      </c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>
        <v>0.2</v>
      </c>
      <c r="W172" s="13"/>
      <c r="X172" s="13"/>
      <c r="Y172" s="14"/>
      <c r="Z172" s="14"/>
      <c r="AA172" s="14"/>
      <c r="AB172" s="14"/>
      <c r="AC172" s="13"/>
      <c r="AD172" s="13"/>
      <c r="AE172" s="13"/>
      <c r="AF172" s="12">
        <v>0</v>
      </c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X172" s="8">
        <v>167</v>
      </c>
    </row>
    <row r="173" spans="1:50" ht="13.5" x14ac:dyDescent="0.25">
      <c r="A173" s="13" t="s">
        <v>1565</v>
      </c>
      <c r="B173" s="13"/>
      <c r="C173" s="13"/>
      <c r="D173" s="13" t="s">
        <v>349</v>
      </c>
      <c r="E173">
        <v>122</v>
      </c>
      <c r="F173" s="13"/>
      <c r="G173" s="13"/>
      <c r="H173" s="13"/>
      <c r="I173" s="61">
        <v>0</v>
      </c>
      <c r="J173">
        <v>122</v>
      </c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>
        <v>0.2</v>
      </c>
      <c r="W173" s="13"/>
      <c r="X173" s="13"/>
      <c r="Y173" s="14"/>
      <c r="Z173" s="14"/>
      <c r="AA173" s="14"/>
      <c r="AB173" s="14"/>
      <c r="AC173" s="13"/>
      <c r="AD173" s="13"/>
      <c r="AE173" s="13"/>
      <c r="AF173" s="12">
        <v>0</v>
      </c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X173" s="8">
        <v>168</v>
      </c>
    </row>
    <row r="174" spans="1:50" ht="13.5" x14ac:dyDescent="0.25">
      <c r="A174" s="13" t="s">
        <v>1567</v>
      </c>
      <c r="B174" s="13"/>
      <c r="C174" s="13"/>
      <c r="D174" s="13" t="s">
        <v>5</v>
      </c>
      <c r="E174">
        <v>0.5</v>
      </c>
      <c r="F174" s="13"/>
      <c r="G174" s="13"/>
      <c r="H174" s="13"/>
      <c r="I174" s="61">
        <v>0</v>
      </c>
      <c r="J174">
        <v>0.5</v>
      </c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>
        <v>0.2</v>
      </c>
      <c r="W174" s="13"/>
      <c r="X174" s="13"/>
      <c r="Y174" s="14"/>
      <c r="Z174" s="14"/>
      <c r="AA174" s="14"/>
      <c r="AB174" s="14"/>
      <c r="AC174" s="13"/>
      <c r="AD174" s="13"/>
      <c r="AE174" s="13"/>
      <c r="AF174" s="12">
        <v>0</v>
      </c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X174" s="8">
        <v>169</v>
      </c>
    </row>
    <row r="175" spans="1:50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4"/>
      <c r="Z175" s="14"/>
      <c r="AA175" s="14"/>
      <c r="AB175" s="14"/>
      <c r="AC175" s="13"/>
      <c r="AD175" s="13"/>
      <c r="AE175" s="13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</row>
    <row r="176" spans="1:50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4"/>
      <c r="Z176" s="14"/>
      <c r="AA176" s="14"/>
      <c r="AB176" s="14"/>
      <c r="AC176" s="13"/>
      <c r="AD176" s="13"/>
      <c r="AE176" s="13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</row>
    <row r="177" spans="1:4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4"/>
      <c r="Z177" s="14"/>
      <c r="AA177" s="14"/>
      <c r="AB177" s="14"/>
      <c r="AC177" s="13"/>
      <c r="AD177" s="13"/>
      <c r="AE177" s="13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</row>
    <row r="178" spans="1:4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4"/>
      <c r="Z178" s="14"/>
      <c r="AA178" s="14"/>
      <c r="AB178" s="14"/>
      <c r="AC178" s="13"/>
      <c r="AD178" s="13"/>
      <c r="AE178" s="13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</row>
    <row r="179" spans="1:4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4"/>
      <c r="Z179" s="14"/>
      <c r="AA179" s="14"/>
      <c r="AB179" s="14"/>
      <c r="AC179" s="13"/>
      <c r="AD179" s="13"/>
      <c r="AE179" s="13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</row>
    <row r="180" spans="1:4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4"/>
      <c r="Z180" s="14"/>
      <c r="AA180" s="14"/>
      <c r="AB180" s="14"/>
      <c r="AC180" s="13"/>
      <c r="AD180" s="13"/>
      <c r="AE180" s="13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</row>
    <row r="181" spans="1:4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4"/>
      <c r="Z181" s="14"/>
      <c r="AA181" s="14"/>
      <c r="AB181" s="14"/>
      <c r="AC181" s="13"/>
      <c r="AD181" s="13"/>
      <c r="AE181" s="13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</row>
    <row r="182" spans="1:41" customFormat="1" x14ac:dyDescent="0.2"/>
    <row r="183" spans="1:41" customFormat="1" x14ac:dyDescent="0.2"/>
    <row r="184" spans="1:41" customFormat="1" x14ac:dyDescent="0.2"/>
  </sheetData>
  <sheetProtection formatCells="0" formatColumns="0" formatRows="0" insertRows="0" deleteRows="0"/>
  <autoFilter ref="A2:AP165" xr:uid="{00000000-0009-0000-0000-00002B000000}"/>
  <sortState xmlns:xlrd2="http://schemas.microsoft.com/office/spreadsheetml/2017/richdata2" ref="A6:AX174">
    <sortCondition ref="AX6:AX174"/>
  </sortState>
  <conditionalFormatting sqref="AE185:AE64714">
    <cfRule type="cellIs" dxfId="21" priority="23" stopIfTrue="1" operator="equal">
      <formula>"&lt;NONE&gt;"</formula>
    </cfRule>
  </conditionalFormatting>
  <pageMargins left="0.75" right="0.75" top="1" bottom="1" header="0.5" footer="0.5"/>
  <pageSetup paperSize="9" orientation="portrait" horizontalDpi="4294967294" r:id="rId1"/>
  <headerFooter alignWithMargins="0"/>
  <legacy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20"/>
  <dimension ref="A1:AX151"/>
  <sheetViews>
    <sheetView workbookViewId="0">
      <pane xSplit="1" ySplit="5" topLeftCell="B66" activePane="bottomRight" state="frozen"/>
      <selection pane="topRight" activeCell="B1" sqref="B1"/>
      <selection pane="bottomLeft" activeCell="A6" sqref="A6"/>
      <selection pane="bottomRight" activeCell="I35" sqref="I35"/>
    </sheetView>
  </sheetViews>
  <sheetFormatPr defaultColWidth="9.140625" defaultRowHeight="12.75" x14ac:dyDescent="0.2"/>
  <cols>
    <col min="1" max="1" width="26.42578125" style="7" customWidth="1"/>
    <col min="2" max="2" width="14.28515625" style="7" customWidth="1"/>
    <col min="3" max="3" width="12.5703125" style="7" customWidth="1"/>
    <col min="4" max="4" width="15.85546875" style="7" customWidth="1"/>
    <col min="5" max="5" width="14.85546875" style="7" customWidth="1"/>
    <col min="6" max="6" width="15.42578125" style="7" customWidth="1"/>
    <col min="7" max="7" width="16" style="7" customWidth="1"/>
    <col min="8" max="8" width="13.7109375" style="7" customWidth="1"/>
    <col min="9" max="9" width="14.5703125" style="7" customWidth="1"/>
    <col min="10" max="10" width="28.5703125" style="7" customWidth="1"/>
    <col min="11" max="12" width="16.5703125" style="7" customWidth="1"/>
    <col min="13" max="13" width="16" style="7" customWidth="1"/>
    <col min="14" max="15" width="11.7109375" style="7" customWidth="1"/>
    <col min="16" max="16" width="14.5703125" style="7" customWidth="1"/>
    <col min="17" max="17" width="11.7109375" style="7" customWidth="1"/>
    <col min="18" max="18" width="14.5703125" style="7" customWidth="1"/>
    <col min="19" max="19" width="10" style="7" customWidth="1"/>
    <col min="20" max="20" width="16" style="7" customWidth="1"/>
    <col min="21" max="21" width="11.28515625" style="7" customWidth="1"/>
    <col min="22" max="22" width="11.140625" style="7" customWidth="1"/>
    <col min="23" max="23" width="15.28515625" style="7" customWidth="1"/>
    <col min="24" max="24" width="11.28515625" style="7" bestFit="1" customWidth="1"/>
    <col min="25" max="25" width="10.28515625" style="7" bestFit="1" customWidth="1"/>
    <col min="26" max="26" width="10.85546875" style="7" bestFit="1" customWidth="1"/>
    <col min="27" max="34" width="9.140625" style="7"/>
    <col min="35" max="35" width="14.85546875" style="7" customWidth="1"/>
    <col min="36" max="36" width="19.140625" style="7" customWidth="1"/>
    <col min="37" max="37" width="11.42578125" style="7" customWidth="1"/>
    <col min="38" max="16384" width="9.140625" style="7"/>
  </cols>
  <sheetData>
    <row r="1" spans="1:50" s="17" customFormat="1" x14ac:dyDescent="0.25">
      <c r="A1" s="15"/>
      <c r="B1" s="16" t="s">
        <v>44</v>
      </c>
      <c r="C1" s="15"/>
      <c r="D1" s="16" t="s">
        <v>45</v>
      </c>
      <c r="E1" s="16" t="s">
        <v>45</v>
      </c>
      <c r="F1" s="16" t="s">
        <v>45</v>
      </c>
      <c r="G1" s="16" t="s">
        <v>45</v>
      </c>
      <c r="H1" s="16" t="s">
        <v>45</v>
      </c>
      <c r="I1" s="16" t="s">
        <v>45</v>
      </c>
      <c r="J1" s="16" t="s">
        <v>45</v>
      </c>
      <c r="K1" s="16" t="s">
        <v>45</v>
      </c>
      <c r="L1" s="16" t="s">
        <v>45</v>
      </c>
      <c r="M1" s="16" t="s">
        <v>45</v>
      </c>
      <c r="N1" s="16" t="s">
        <v>52</v>
      </c>
      <c r="O1" s="16" t="s">
        <v>52</v>
      </c>
      <c r="P1" s="16" t="s">
        <v>52</v>
      </c>
      <c r="Q1" s="16" t="s">
        <v>52</v>
      </c>
      <c r="R1" s="16" t="s">
        <v>45</v>
      </c>
      <c r="S1" s="16" t="s">
        <v>52</v>
      </c>
      <c r="T1" s="16" t="s">
        <v>52</v>
      </c>
      <c r="U1" s="16" t="s">
        <v>52</v>
      </c>
      <c r="V1" s="16" t="s">
        <v>52</v>
      </c>
      <c r="W1" s="16" t="s">
        <v>52</v>
      </c>
      <c r="X1" s="16" t="s">
        <v>52</v>
      </c>
      <c r="Y1" s="16" t="s">
        <v>52</v>
      </c>
      <c r="Z1" s="16" t="s">
        <v>52</v>
      </c>
      <c r="AA1" s="16" t="s">
        <v>52</v>
      </c>
      <c r="AB1" s="11" t="s">
        <v>52</v>
      </c>
      <c r="AC1" s="12" t="s">
        <v>52</v>
      </c>
      <c r="AD1" s="12" t="s">
        <v>52</v>
      </c>
      <c r="AE1" s="12" t="s">
        <v>45</v>
      </c>
      <c r="AF1" s="18" t="s">
        <v>52</v>
      </c>
      <c r="AG1" s="12" t="s">
        <v>52</v>
      </c>
      <c r="AH1" s="12" t="s">
        <v>52</v>
      </c>
      <c r="AI1" s="12" t="s">
        <v>52</v>
      </c>
      <c r="AJ1" s="18" t="s">
        <v>52</v>
      </c>
      <c r="AK1" s="18" t="s">
        <v>52</v>
      </c>
      <c r="AL1" s="18" t="s">
        <v>52</v>
      </c>
    </row>
    <row r="2" spans="1:50" s="17" customFormat="1" x14ac:dyDescent="0.25">
      <c r="B2" s="17">
        <v>1</v>
      </c>
      <c r="C2" s="17">
        <v>2</v>
      </c>
      <c r="D2" s="17">
        <v>3</v>
      </c>
      <c r="E2" s="17">
        <v>4</v>
      </c>
      <c r="F2" s="17">
        <v>5</v>
      </c>
      <c r="G2" s="17">
        <v>6</v>
      </c>
      <c r="H2" s="17">
        <v>7</v>
      </c>
      <c r="I2" s="17">
        <v>8</v>
      </c>
      <c r="J2" s="17">
        <v>9</v>
      </c>
      <c r="K2" s="17">
        <v>10</v>
      </c>
      <c r="L2" s="17">
        <v>11</v>
      </c>
      <c r="M2" s="17">
        <v>12</v>
      </c>
      <c r="N2" s="17">
        <v>13</v>
      </c>
      <c r="O2" s="17">
        <v>14</v>
      </c>
      <c r="P2" s="17">
        <v>15</v>
      </c>
      <c r="Q2" s="17">
        <v>16</v>
      </c>
      <c r="R2" s="17">
        <v>17</v>
      </c>
      <c r="S2" s="17">
        <v>18</v>
      </c>
      <c r="T2" s="17">
        <v>19</v>
      </c>
      <c r="U2" s="17">
        <v>20</v>
      </c>
      <c r="V2" s="17">
        <v>21</v>
      </c>
      <c r="W2" s="17">
        <v>22</v>
      </c>
      <c r="X2" s="17">
        <v>23</v>
      </c>
      <c r="Y2" s="17">
        <v>24</v>
      </c>
      <c r="Z2" s="17">
        <v>25</v>
      </c>
      <c r="AA2" s="17">
        <v>26</v>
      </c>
      <c r="AB2" s="17">
        <v>27</v>
      </c>
      <c r="AC2" s="8">
        <v>28</v>
      </c>
      <c r="AD2" s="8">
        <v>29</v>
      </c>
      <c r="AE2" s="17">
        <v>30</v>
      </c>
      <c r="AF2" s="17">
        <v>31</v>
      </c>
      <c r="AG2" s="8">
        <v>32</v>
      </c>
      <c r="AH2" s="8">
        <v>33</v>
      </c>
      <c r="AI2" s="8">
        <v>34</v>
      </c>
      <c r="AJ2" s="17">
        <v>35</v>
      </c>
      <c r="AK2" s="17">
        <v>36</v>
      </c>
      <c r="AL2" s="17">
        <v>37</v>
      </c>
    </row>
    <row r="3" spans="1:50" s="17" customFormat="1" x14ac:dyDescent="0.25">
      <c r="H3" s="18" t="s">
        <v>46</v>
      </c>
      <c r="K3" s="18" t="s">
        <v>55</v>
      </c>
      <c r="N3" s="18" t="s">
        <v>56</v>
      </c>
      <c r="AB3" s="8"/>
      <c r="AC3" s="8"/>
      <c r="AD3" s="8"/>
      <c r="AE3" s="17" t="s">
        <v>150</v>
      </c>
      <c r="AF3" s="17" t="s">
        <v>162</v>
      </c>
      <c r="AG3" s="8"/>
      <c r="AH3" s="8"/>
      <c r="AI3" s="8"/>
      <c r="AJ3" s="8" t="s">
        <v>153</v>
      </c>
      <c r="AK3" s="8" t="s">
        <v>152</v>
      </c>
    </row>
    <row r="4" spans="1:50" s="17" customFormat="1" x14ac:dyDescent="0.25">
      <c r="A4" s="17" t="s">
        <v>160</v>
      </c>
      <c r="B4" s="8" t="s">
        <v>158</v>
      </c>
      <c r="C4" s="8" t="s">
        <v>158</v>
      </c>
      <c r="D4" s="8" t="s">
        <v>5</v>
      </c>
      <c r="E4" s="8"/>
      <c r="F4" s="34">
        <v>-1E+30</v>
      </c>
      <c r="G4" s="34">
        <v>1E+30</v>
      </c>
      <c r="H4" s="8">
        <v>0</v>
      </c>
      <c r="I4" s="8">
        <v>0</v>
      </c>
      <c r="J4" s="8">
        <v>0</v>
      </c>
      <c r="K4" s="8" t="s">
        <v>158</v>
      </c>
      <c r="L4" s="8" t="s">
        <v>158</v>
      </c>
      <c r="M4" s="8" t="s">
        <v>158</v>
      </c>
      <c r="N4" s="8">
        <v>0</v>
      </c>
      <c r="O4" s="8">
        <v>0</v>
      </c>
      <c r="P4" s="17" t="s">
        <v>52</v>
      </c>
      <c r="Q4" s="8" t="s">
        <v>158</v>
      </c>
      <c r="R4" s="8" t="s">
        <v>158</v>
      </c>
      <c r="S4" s="8" t="s">
        <v>161</v>
      </c>
      <c r="T4" s="17" t="s">
        <v>52</v>
      </c>
      <c r="U4" s="17">
        <v>0</v>
      </c>
      <c r="V4" s="17">
        <v>0</v>
      </c>
      <c r="W4" s="17">
        <v>10</v>
      </c>
      <c r="X4" s="17">
        <v>0</v>
      </c>
      <c r="Y4" s="17">
        <v>0</v>
      </c>
      <c r="Z4" s="17" t="s">
        <v>159</v>
      </c>
      <c r="AA4" s="17">
        <v>0</v>
      </c>
      <c r="AB4" s="8">
        <v>0</v>
      </c>
      <c r="AC4" s="34">
        <v>-1E+30</v>
      </c>
      <c r="AD4" s="34">
        <v>1E+30</v>
      </c>
      <c r="AE4" s="17" t="s">
        <v>52</v>
      </c>
      <c r="AF4" s="17">
        <v>0</v>
      </c>
      <c r="AG4" s="8">
        <v>0</v>
      </c>
      <c r="AH4" s="8">
        <v>0</v>
      </c>
      <c r="AI4" s="8"/>
      <c r="AJ4" s="8">
        <v>0</v>
      </c>
      <c r="AK4" s="8" t="s">
        <v>158</v>
      </c>
    </row>
    <row r="5" spans="1:50" s="17" customFormat="1" ht="38.25" x14ac:dyDescent="0.25">
      <c r="A5" s="19" t="s">
        <v>6</v>
      </c>
      <c r="B5" s="19" t="s">
        <v>26</v>
      </c>
      <c r="C5" s="19" t="s">
        <v>27</v>
      </c>
      <c r="D5" s="19" t="s">
        <v>23</v>
      </c>
      <c r="E5" s="19" t="s">
        <v>20</v>
      </c>
      <c r="F5" s="19" t="s">
        <v>21</v>
      </c>
      <c r="G5" s="19" t="s">
        <v>22</v>
      </c>
      <c r="H5" s="19" t="s">
        <v>47</v>
      </c>
      <c r="I5" s="19" t="s">
        <v>48</v>
      </c>
      <c r="J5" s="19" t="s">
        <v>1</v>
      </c>
      <c r="K5" s="19" t="s">
        <v>49</v>
      </c>
      <c r="L5" s="19" t="s">
        <v>50</v>
      </c>
      <c r="M5" s="19" t="s">
        <v>51</v>
      </c>
      <c r="N5" s="19" t="s">
        <v>53</v>
      </c>
      <c r="O5" s="19" t="s">
        <v>54</v>
      </c>
      <c r="P5" s="19" t="s">
        <v>16</v>
      </c>
      <c r="Q5" s="19" t="s">
        <v>42</v>
      </c>
      <c r="R5" s="19" t="s">
        <v>41</v>
      </c>
      <c r="S5" s="19" t="s">
        <v>65</v>
      </c>
      <c r="T5" s="19" t="s">
        <v>66</v>
      </c>
      <c r="U5" s="19" t="s">
        <v>69</v>
      </c>
      <c r="V5" s="19" t="s">
        <v>70</v>
      </c>
      <c r="W5" s="19" t="s">
        <v>71</v>
      </c>
      <c r="X5" s="20" t="s">
        <v>40</v>
      </c>
      <c r="Y5" s="19" t="s">
        <v>61</v>
      </c>
      <c r="Z5" s="19" t="s">
        <v>68</v>
      </c>
      <c r="AA5" s="19" t="s">
        <v>82</v>
      </c>
      <c r="AB5" s="13" t="s">
        <v>67</v>
      </c>
      <c r="AC5" s="13" t="s">
        <v>85</v>
      </c>
      <c r="AD5" s="13" t="s">
        <v>86</v>
      </c>
      <c r="AE5" s="13" t="s">
        <v>88</v>
      </c>
      <c r="AF5" s="18" t="s">
        <v>100</v>
      </c>
      <c r="AG5" s="12" t="s">
        <v>106</v>
      </c>
      <c r="AH5" s="12" t="s">
        <v>107</v>
      </c>
      <c r="AI5" s="12" t="s">
        <v>110</v>
      </c>
      <c r="AJ5" s="12" t="s">
        <v>113</v>
      </c>
      <c r="AK5" s="12" t="s">
        <v>114</v>
      </c>
      <c r="AL5" s="18" t="s">
        <v>133</v>
      </c>
    </row>
    <row r="6" spans="1:50" s="17" customFormat="1" ht="13.5" x14ac:dyDescent="0.25">
      <c r="A6" s="19" t="s">
        <v>557</v>
      </c>
      <c r="B6" s="19"/>
      <c r="C6" s="19"/>
      <c r="D6" s="19" t="s">
        <v>349</v>
      </c>
      <c r="E6" s="68">
        <f>'CDU1.GMAP'!$E$6</f>
        <v>-4.1027882647881597E-4</v>
      </c>
      <c r="F6" s="19"/>
      <c r="G6" s="19"/>
      <c r="H6" s="19"/>
      <c r="I6" s="19">
        <v>10</v>
      </c>
      <c r="J6" s="19"/>
      <c r="K6" s="68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>
        <v>1</v>
      </c>
      <c r="X6" s="20"/>
      <c r="Y6" s="19"/>
      <c r="Z6" s="19"/>
      <c r="AA6" s="19"/>
      <c r="AB6" s="13"/>
      <c r="AC6" s="13"/>
      <c r="AD6" s="13"/>
      <c r="AE6" s="13"/>
      <c r="AF6" s="18">
        <v>1</v>
      </c>
      <c r="AG6" s="12"/>
      <c r="AH6" s="12"/>
      <c r="AI6" s="12"/>
      <c r="AJ6" s="12"/>
      <c r="AK6" s="12"/>
      <c r="AL6" s="18"/>
      <c r="AX6" s="17">
        <v>1</v>
      </c>
    </row>
    <row r="7" spans="1:50" s="17" customFormat="1" ht="13.5" x14ac:dyDescent="0.25">
      <c r="A7" s="19" t="s">
        <v>558</v>
      </c>
      <c r="B7" s="19"/>
      <c r="C7" s="19"/>
      <c r="D7" s="19" t="s">
        <v>349</v>
      </c>
      <c r="E7" s="68">
        <f>'CDU1.GMAP'!$E$7</f>
        <v>6.3113592574381983E-7</v>
      </c>
      <c r="F7" s="19"/>
      <c r="G7" s="19"/>
      <c r="H7" s="19"/>
      <c r="I7" s="19">
        <v>10</v>
      </c>
      <c r="J7" s="19"/>
      <c r="K7" s="68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>
        <v>1</v>
      </c>
      <c r="X7" s="20"/>
      <c r="Y7" s="19"/>
      <c r="Z7" s="19"/>
      <c r="AA7" s="19"/>
      <c r="AB7" s="13"/>
      <c r="AC7" s="13"/>
      <c r="AD7" s="13"/>
      <c r="AE7" s="13"/>
      <c r="AF7" s="18">
        <v>1</v>
      </c>
      <c r="AG7" s="12"/>
      <c r="AH7" s="12"/>
      <c r="AI7" s="12"/>
      <c r="AJ7" s="12"/>
      <c r="AK7" s="12"/>
      <c r="AL7" s="18"/>
      <c r="AX7" s="17">
        <v>2</v>
      </c>
    </row>
    <row r="8" spans="1:50" s="17" customFormat="1" ht="13.5" x14ac:dyDescent="0.25">
      <c r="A8" s="19" t="s">
        <v>559</v>
      </c>
      <c r="B8" s="19"/>
      <c r="C8" s="19"/>
      <c r="D8" s="19" t="s">
        <v>349</v>
      </c>
      <c r="E8" s="68">
        <f>'CDU1.GMAP'!$E$8</f>
        <v>6.2981440320797333E-4</v>
      </c>
      <c r="F8" s="19"/>
      <c r="G8" s="19"/>
      <c r="H8" s="19"/>
      <c r="I8" s="19">
        <v>10</v>
      </c>
      <c r="J8" s="19"/>
      <c r="K8" s="68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>
        <v>1</v>
      </c>
      <c r="X8" s="20"/>
      <c r="Y8" s="19"/>
      <c r="Z8" s="19"/>
      <c r="AA8" s="19"/>
      <c r="AB8" s="13"/>
      <c r="AC8" s="13"/>
      <c r="AD8" s="13"/>
      <c r="AE8" s="13"/>
      <c r="AF8" s="18">
        <v>1</v>
      </c>
      <c r="AG8" s="12"/>
      <c r="AH8" s="12"/>
      <c r="AI8" s="12"/>
      <c r="AJ8" s="12"/>
      <c r="AK8" s="12"/>
      <c r="AL8" s="18"/>
      <c r="AX8" s="17">
        <v>3</v>
      </c>
    </row>
    <row r="9" spans="1:50" s="17" customFormat="1" ht="13.5" x14ac:dyDescent="0.25">
      <c r="A9" s="19" t="s">
        <v>560</v>
      </c>
      <c r="B9" s="19"/>
      <c r="C9" s="19"/>
      <c r="D9" s="19" t="s">
        <v>349</v>
      </c>
      <c r="E9" s="68">
        <f>'CDU1.GMAP'!$E$9</f>
        <v>8.3904592516681475E-4</v>
      </c>
      <c r="F9" s="19"/>
      <c r="G9" s="19"/>
      <c r="H9" s="19"/>
      <c r="I9" s="19">
        <v>10</v>
      </c>
      <c r="J9" s="19"/>
      <c r="K9" s="68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>
        <v>1</v>
      </c>
      <c r="X9" s="20"/>
      <c r="Y9" s="19"/>
      <c r="Z9" s="19"/>
      <c r="AA9" s="19"/>
      <c r="AB9" s="13"/>
      <c r="AC9" s="13"/>
      <c r="AD9" s="13"/>
      <c r="AE9" s="13"/>
      <c r="AF9" s="18">
        <v>1</v>
      </c>
      <c r="AG9" s="12"/>
      <c r="AH9" s="12"/>
      <c r="AI9" s="12"/>
      <c r="AJ9" s="12"/>
      <c r="AK9" s="12"/>
      <c r="AL9" s="18"/>
      <c r="AX9" s="17">
        <v>4</v>
      </c>
    </row>
    <row r="10" spans="1:50" s="17" customFormat="1" ht="13.5" x14ac:dyDescent="0.25">
      <c r="A10" s="19" t="s">
        <v>561</v>
      </c>
      <c r="B10" s="19"/>
      <c r="C10" s="19"/>
      <c r="D10" s="19" t="s">
        <v>349</v>
      </c>
      <c r="E10" s="68">
        <f>'CDU1.GMAP'!$E$10</f>
        <v>5.8137363844679157E-4</v>
      </c>
      <c r="F10" s="19"/>
      <c r="G10" s="19"/>
      <c r="H10" s="19"/>
      <c r="I10" s="19">
        <v>10</v>
      </c>
      <c r="J10" s="19"/>
      <c r="K10" s="68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>
        <v>1</v>
      </c>
      <c r="X10" s="20"/>
      <c r="Y10" s="19"/>
      <c r="Z10" s="19"/>
      <c r="AA10" s="19"/>
      <c r="AB10" s="13"/>
      <c r="AC10" s="13"/>
      <c r="AD10" s="13"/>
      <c r="AE10" s="13"/>
      <c r="AF10" s="18">
        <v>1</v>
      </c>
      <c r="AG10" s="12"/>
      <c r="AH10" s="12"/>
      <c r="AI10" s="12"/>
      <c r="AJ10" s="12"/>
      <c r="AK10" s="12"/>
      <c r="AL10" s="18"/>
      <c r="AX10" s="17">
        <v>5</v>
      </c>
    </row>
    <row r="11" spans="1:50" s="17" customFormat="1" ht="13.5" x14ac:dyDescent="0.25">
      <c r="A11" s="19" t="s">
        <v>562</v>
      </c>
      <c r="B11" s="19"/>
      <c r="C11" s="19"/>
      <c r="D11" s="19" t="s">
        <v>349</v>
      </c>
      <c r="E11" s="68">
        <f>'CDU1.GMAP'!$E$11</f>
        <v>3.1557163637785379E-7</v>
      </c>
      <c r="F11" s="19"/>
      <c r="G11" s="19"/>
      <c r="H11" s="19"/>
      <c r="I11" s="19">
        <v>10</v>
      </c>
      <c r="J11" s="19"/>
      <c r="K11" s="68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>
        <v>1</v>
      </c>
      <c r="X11" s="20"/>
      <c r="Y11" s="19"/>
      <c r="Z11" s="19"/>
      <c r="AA11" s="19"/>
      <c r="AB11" s="13"/>
      <c r="AC11" s="13"/>
      <c r="AD11" s="13"/>
      <c r="AE11" s="13"/>
      <c r="AF11" s="18">
        <v>1</v>
      </c>
      <c r="AG11" s="12"/>
      <c r="AH11" s="12"/>
      <c r="AI11" s="12"/>
      <c r="AJ11" s="12"/>
      <c r="AK11" s="12"/>
      <c r="AL11" s="18"/>
      <c r="AX11" s="17">
        <v>6</v>
      </c>
    </row>
    <row r="12" spans="1:50" s="17" customFormat="1" ht="13.5" x14ac:dyDescent="0.25">
      <c r="A12" s="62" t="s">
        <v>563</v>
      </c>
      <c r="B12" s="19"/>
      <c r="C12" s="19"/>
      <c r="D12" s="62" t="s">
        <v>5</v>
      </c>
      <c r="E12" s="68">
        <f>'CDU1.GMAP'!$E$12</f>
        <v>0</v>
      </c>
      <c r="F12" s="19"/>
      <c r="G12" s="19"/>
      <c r="H12" s="19"/>
      <c r="I12" s="62">
        <v>0</v>
      </c>
      <c r="J12" s="19"/>
      <c r="K12" s="68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>
        <v>1</v>
      </c>
      <c r="X12" s="20"/>
      <c r="Y12" s="19"/>
      <c r="Z12" s="19"/>
      <c r="AA12" s="19"/>
      <c r="AB12" s="13"/>
      <c r="AC12" s="13"/>
      <c r="AD12" s="13"/>
      <c r="AE12" s="13"/>
      <c r="AF12" s="18">
        <v>1</v>
      </c>
      <c r="AG12" s="12"/>
      <c r="AH12" s="12"/>
      <c r="AI12" s="12"/>
      <c r="AJ12" s="12"/>
      <c r="AK12" s="12"/>
      <c r="AL12" s="18"/>
      <c r="AX12" s="17">
        <v>7</v>
      </c>
    </row>
    <row r="13" spans="1:50" s="17" customFormat="1" ht="13.5" x14ac:dyDescent="0.25">
      <c r="A13" s="19" t="s">
        <v>521</v>
      </c>
      <c r="B13" s="19"/>
      <c r="C13" s="19"/>
      <c r="D13" s="19" t="s">
        <v>349</v>
      </c>
      <c r="E13" s="68">
        <f>'CDU1.GMAP'!$E$13</f>
        <v>301.93136090088439</v>
      </c>
      <c r="F13" s="19"/>
      <c r="G13" s="19"/>
      <c r="H13" s="19"/>
      <c r="I13" s="19">
        <v>0</v>
      </c>
      <c r="J13" s="68">
        <f>'CDU1.GMAP'!$E$13</f>
        <v>301.93136090088439</v>
      </c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>
        <v>1</v>
      </c>
      <c r="X13" s="20"/>
      <c r="Y13" s="19"/>
      <c r="Z13" s="19"/>
      <c r="AA13" s="19"/>
      <c r="AB13" s="13"/>
      <c r="AC13" s="13"/>
      <c r="AD13" s="13"/>
      <c r="AE13" s="13"/>
      <c r="AF13" s="18">
        <v>0</v>
      </c>
      <c r="AG13" s="12"/>
      <c r="AH13" s="12"/>
      <c r="AI13" s="12"/>
      <c r="AJ13" s="12"/>
      <c r="AK13" s="12"/>
      <c r="AL13" s="18"/>
      <c r="AX13" s="17">
        <v>8</v>
      </c>
    </row>
    <row r="14" spans="1:50" s="17" customFormat="1" ht="13.5" x14ac:dyDescent="0.25">
      <c r="A14" s="19" t="s">
        <v>535</v>
      </c>
      <c r="B14" s="19"/>
      <c r="C14" s="19"/>
      <c r="D14" s="19" t="s">
        <v>349</v>
      </c>
      <c r="E14" s="68">
        <f>'CDU1.GMAP'!$E$14</f>
        <v>0.78687581313163468</v>
      </c>
      <c r="F14" s="19"/>
      <c r="G14" s="19"/>
      <c r="H14" s="19"/>
      <c r="I14" s="19">
        <v>0</v>
      </c>
      <c r="J14" s="68">
        <f>'CDU1.GMAP'!$E$14</f>
        <v>0.78687581313163468</v>
      </c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>
        <v>1</v>
      </c>
      <c r="X14" s="20"/>
      <c r="Y14" s="19"/>
      <c r="Z14" s="19"/>
      <c r="AA14" s="19"/>
      <c r="AB14" s="13"/>
      <c r="AC14" s="13"/>
      <c r="AD14" s="13"/>
      <c r="AE14" s="13"/>
      <c r="AF14" s="18">
        <v>0</v>
      </c>
      <c r="AG14" s="12"/>
      <c r="AH14" s="12"/>
      <c r="AI14" s="12"/>
      <c r="AJ14" s="12"/>
      <c r="AK14" s="12"/>
      <c r="AL14" s="18"/>
      <c r="AX14" s="17">
        <v>9</v>
      </c>
    </row>
    <row r="15" spans="1:50" s="17" customFormat="1" ht="13.5" x14ac:dyDescent="0.25">
      <c r="A15" s="19" t="s">
        <v>538</v>
      </c>
      <c r="B15" s="19"/>
      <c r="C15" s="19"/>
      <c r="D15" s="19" t="s">
        <v>349</v>
      </c>
      <c r="E15" s="68">
        <f>'CDU1.GMAP'!$E$15</f>
        <v>2448.5337861112757</v>
      </c>
      <c r="F15" s="19"/>
      <c r="G15" s="19"/>
      <c r="H15" s="19"/>
      <c r="I15" s="19">
        <v>0</v>
      </c>
      <c r="J15" s="68">
        <f>'CDU1.GMAP'!$E$15</f>
        <v>2448.5337861112757</v>
      </c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>
        <v>1</v>
      </c>
      <c r="X15" s="20"/>
      <c r="Y15" s="19"/>
      <c r="Z15" s="19"/>
      <c r="AA15" s="19"/>
      <c r="AB15" s="13"/>
      <c r="AC15" s="13"/>
      <c r="AD15" s="13"/>
      <c r="AE15" s="13"/>
      <c r="AF15" s="18">
        <v>0</v>
      </c>
      <c r="AG15" s="12"/>
      <c r="AH15" s="12"/>
      <c r="AI15" s="12"/>
      <c r="AJ15" s="12"/>
      <c r="AK15" s="12"/>
      <c r="AL15" s="18"/>
      <c r="AX15" s="17">
        <v>10</v>
      </c>
    </row>
    <row r="16" spans="1:50" s="17" customFormat="1" ht="13.5" x14ac:dyDescent="0.25">
      <c r="A16" s="19" t="s">
        <v>534</v>
      </c>
      <c r="B16" s="19"/>
      <c r="C16" s="19"/>
      <c r="D16" s="19" t="s">
        <v>349</v>
      </c>
      <c r="E16" s="68">
        <f>'CDU1.GMAP'!$E$16</f>
        <v>481.92326502965989</v>
      </c>
      <c r="F16" s="19"/>
      <c r="G16" s="19"/>
      <c r="H16" s="19"/>
      <c r="I16" s="19">
        <v>0</v>
      </c>
      <c r="J16" s="68">
        <f>'CDU1.GMAP'!$E$16</f>
        <v>481.92326502965989</v>
      </c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>
        <v>1</v>
      </c>
      <c r="X16" s="20"/>
      <c r="Y16" s="19"/>
      <c r="Z16" s="19"/>
      <c r="AA16" s="19"/>
      <c r="AB16" s="13"/>
      <c r="AC16" s="13"/>
      <c r="AD16" s="13"/>
      <c r="AE16" s="13"/>
      <c r="AF16" s="18">
        <v>0</v>
      </c>
      <c r="AG16" s="12"/>
      <c r="AH16" s="12"/>
      <c r="AI16" s="12"/>
      <c r="AJ16" s="12"/>
      <c r="AK16" s="12"/>
      <c r="AL16" s="18"/>
      <c r="AX16" s="17">
        <v>11</v>
      </c>
    </row>
    <row r="17" spans="1:50" s="17" customFormat="1" ht="13.5" x14ac:dyDescent="0.25">
      <c r="A17" s="19" t="s">
        <v>536</v>
      </c>
      <c r="B17" s="19"/>
      <c r="C17" s="19"/>
      <c r="D17" s="19" t="s">
        <v>349</v>
      </c>
      <c r="E17" s="68">
        <f>'CDU1.GMAP'!$E$17</f>
        <v>-60.374325444521361</v>
      </c>
      <c r="F17" s="19"/>
      <c r="G17" s="19"/>
      <c r="H17" s="19"/>
      <c r="I17" s="19">
        <v>0</v>
      </c>
      <c r="J17" s="68">
        <f>'CDU1.GMAP'!$E$17</f>
        <v>-60.374325444521361</v>
      </c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>
        <v>1</v>
      </c>
      <c r="X17" s="20"/>
      <c r="Y17" s="19"/>
      <c r="Z17" s="19"/>
      <c r="AA17" s="19"/>
      <c r="AB17" s="13"/>
      <c r="AC17" s="13"/>
      <c r="AD17" s="13"/>
      <c r="AE17" s="13"/>
      <c r="AF17" s="18">
        <v>0</v>
      </c>
      <c r="AG17" s="12"/>
      <c r="AH17" s="12"/>
      <c r="AI17" s="12"/>
      <c r="AJ17" s="12"/>
      <c r="AK17" s="12"/>
      <c r="AL17" s="18"/>
      <c r="AX17" s="17">
        <v>12</v>
      </c>
    </row>
    <row r="18" spans="1:50" s="17" customFormat="1" ht="13.5" x14ac:dyDescent="0.25">
      <c r="A18" s="19" t="s">
        <v>539</v>
      </c>
      <c r="B18" s="19"/>
      <c r="C18" s="19"/>
      <c r="D18" s="19" t="s">
        <v>349</v>
      </c>
      <c r="E18" s="68">
        <f>'CDU1.GMAP'!$E$18</f>
        <v>-44.107280850804877</v>
      </c>
      <c r="F18" s="19"/>
      <c r="G18" s="19"/>
      <c r="H18" s="19"/>
      <c r="I18" s="19">
        <v>0</v>
      </c>
      <c r="J18" s="68">
        <f>'CDU1.GMAP'!$E$18</f>
        <v>-44.107280850804877</v>
      </c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>
        <v>1</v>
      </c>
      <c r="X18" s="20"/>
      <c r="Y18" s="19"/>
      <c r="Z18" s="19"/>
      <c r="AA18" s="19"/>
      <c r="AB18" s="13"/>
      <c r="AC18" s="13"/>
      <c r="AD18" s="13"/>
      <c r="AE18" s="13"/>
      <c r="AF18" s="18">
        <v>0</v>
      </c>
      <c r="AG18" s="12"/>
      <c r="AH18" s="12"/>
      <c r="AI18" s="12"/>
      <c r="AJ18" s="12"/>
      <c r="AK18" s="12"/>
      <c r="AL18" s="18"/>
      <c r="AX18" s="17">
        <v>13</v>
      </c>
    </row>
    <row r="19" spans="1:50" s="17" customFormat="1" ht="13.5" x14ac:dyDescent="0.25">
      <c r="A19" s="19" t="s">
        <v>537</v>
      </c>
      <c r="B19" s="19"/>
      <c r="C19" s="19"/>
      <c r="D19" s="19" t="s">
        <v>349</v>
      </c>
      <c r="E19" s="68">
        <f>'CDU1.GMAP'!$E$19</f>
        <v>107.76190101259661</v>
      </c>
      <c r="F19" s="19"/>
      <c r="G19" s="19"/>
      <c r="H19" s="19"/>
      <c r="I19" s="19">
        <v>0</v>
      </c>
      <c r="J19" s="68">
        <f>'CDU1.GMAP'!$E$19</f>
        <v>107.76190101259661</v>
      </c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>
        <v>1</v>
      </c>
      <c r="X19" s="20"/>
      <c r="Y19" s="19"/>
      <c r="Z19" s="19"/>
      <c r="AA19" s="19"/>
      <c r="AB19" s="13"/>
      <c r="AC19" s="13"/>
      <c r="AD19" s="13"/>
      <c r="AE19" s="13"/>
      <c r="AF19" s="18">
        <v>0</v>
      </c>
      <c r="AG19" s="12"/>
      <c r="AH19" s="12"/>
      <c r="AI19" s="12"/>
      <c r="AJ19" s="12"/>
      <c r="AK19" s="12"/>
      <c r="AL19" s="18"/>
      <c r="AX19" s="17">
        <v>14</v>
      </c>
    </row>
    <row r="20" spans="1:50" s="17" customFormat="1" ht="13.5" x14ac:dyDescent="0.25">
      <c r="A20" s="19" t="s">
        <v>527</v>
      </c>
      <c r="B20" s="19"/>
      <c r="C20" s="19"/>
      <c r="D20" s="19" t="s">
        <v>349</v>
      </c>
      <c r="E20" s="68">
        <f>'CDU1.GMAP'!$E$20</f>
        <v>56.542030832912552</v>
      </c>
      <c r="F20" s="19"/>
      <c r="G20" s="19"/>
      <c r="H20" s="19"/>
      <c r="I20" s="19">
        <v>0</v>
      </c>
      <c r="J20" s="68">
        <f>'CDU1.GMAP'!$E$20</f>
        <v>56.542030832912552</v>
      </c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>
        <v>1</v>
      </c>
      <c r="X20" s="20"/>
      <c r="Y20" s="19"/>
      <c r="Z20" s="19"/>
      <c r="AA20" s="19"/>
      <c r="AB20" s="13"/>
      <c r="AC20" s="13"/>
      <c r="AD20" s="13"/>
      <c r="AE20" s="13"/>
      <c r="AF20" s="18">
        <v>0</v>
      </c>
      <c r="AG20" s="12"/>
      <c r="AH20" s="12"/>
      <c r="AI20" s="12"/>
      <c r="AJ20" s="12"/>
      <c r="AK20" s="12"/>
      <c r="AL20" s="18"/>
      <c r="AX20" s="17">
        <v>15</v>
      </c>
    </row>
    <row r="21" spans="1:50" s="17" customFormat="1" ht="13.5" x14ac:dyDescent="0.25">
      <c r="A21" s="19" t="s">
        <v>523</v>
      </c>
      <c r="B21" s="19"/>
      <c r="C21" s="19"/>
      <c r="D21" s="19" t="s">
        <v>349</v>
      </c>
      <c r="E21" s="68">
        <f>'CDU1.GMAP'!$E$21</f>
        <v>0.83890188080922612</v>
      </c>
      <c r="F21" s="19"/>
      <c r="G21" s="19"/>
      <c r="H21" s="19"/>
      <c r="I21" s="19">
        <v>0</v>
      </c>
      <c r="J21" s="68">
        <f>'CDU1.GMAP'!$E$21</f>
        <v>0.83890188080922612</v>
      </c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>
        <v>1</v>
      </c>
      <c r="X21" s="20"/>
      <c r="Y21" s="19"/>
      <c r="Z21" s="19"/>
      <c r="AA21" s="19"/>
      <c r="AB21" s="13"/>
      <c r="AC21" s="13"/>
      <c r="AD21" s="13"/>
      <c r="AE21" s="13"/>
      <c r="AF21" s="18">
        <v>0</v>
      </c>
      <c r="AG21" s="12"/>
      <c r="AH21" s="12"/>
      <c r="AI21" s="12"/>
      <c r="AJ21" s="12"/>
      <c r="AK21" s="12"/>
      <c r="AL21" s="18"/>
      <c r="AX21" s="17">
        <v>16</v>
      </c>
    </row>
    <row r="22" spans="1:50" s="17" customFormat="1" ht="13.5" x14ac:dyDescent="0.25">
      <c r="A22" s="19" t="s">
        <v>526</v>
      </c>
      <c r="B22" s="19"/>
      <c r="C22" s="19"/>
      <c r="D22" s="19" t="s">
        <v>349</v>
      </c>
      <c r="E22" s="68">
        <f>'CDU1.GMAP'!$E$22</f>
        <v>4000.3444904189337</v>
      </c>
      <c r="F22" s="19"/>
      <c r="G22" s="19"/>
      <c r="H22" s="19"/>
      <c r="I22" s="19">
        <v>0</v>
      </c>
      <c r="J22" s="68">
        <f>'CDU1.GMAP'!$E$22</f>
        <v>4000.3444904189337</v>
      </c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>
        <v>1</v>
      </c>
      <c r="X22" s="20"/>
      <c r="Y22" s="19"/>
      <c r="Z22" s="19"/>
      <c r="AA22" s="19"/>
      <c r="AB22" s="13"/>
      <c r="AC22" s="13"/>
      <c r="AD22" s="13"/>
      <c r="AE22" s="13"/>
      <c r="AF22" s="18">
        <v>0</v>
      </c>
      <c r="AG22" s="12"/>
      <c r="AH22" s="12"/>
      <c r="AI22" s="12"/>
      <c r="AJ22" s="12"/>
      <c r="AK22" s="12"/>
      <c r="AL22" s="18"/>
      <c r="AX22" s="17">
        <v>17</v>
      </c>
    </row>
    <row r="23" spans="1:50" s="17" customFormat="1" ht="13.5" x14ac:dyDescent="0.25">
      <c r="A23" s="19" t="s">
        <v>522</v>
      </c>
      <c r="B23" s="19"/>
      <c r="C23" s="19"/>
      <c r="D23" s="19" t="s">
        <v>349</v>
      </c>
      <c r="E23" s="68">
        <f>'CDU1.GMAP'!$E$23</f>
        <v>661.91278625609937</v>
      </c>
      <c r="F23" s="19"/>
      <c r="G23" s="19"/>
      <c r="H23" s="19"/>
      <c r="I23" s="19">
        <v>0</v>
      </c>
      <c r="J23" s="68">
        <f>'CDU1.GMAP'!$E$23</f>
        <v>661.91278625609937</v>
      </c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>
        <v>1</v>
      </c>
      <c r="X23" s="20"/>
      <c r="Y23" s="19"/>
      <c r="Z23" s="19"/>
      <c r="AA23" s="19"/>
      <c r="AB23" s="13"/>
      <c r="AC23" s="13"/>
      <c r="AD23" s="13"/>
      <c r="AE23" s="13"/>
      <c r="AF23" s="18">
        <v>0</v>
      </c>
      <c r="AG23" s="12"/>
      <c r="AH23" s="12"/>
      <c r="AI23" s="12"/>
      <c r="AJ23" s="12"/>
      <c r="AK23" s="12"/>
      <c r="AL23" s="18"/>
      <c r="AX23" s="17">
        <v>18</v>
      </c>
    </row>
    <row r="24" spans="1:50" s="17" customFormat="1" ht="13.5" x14ac:dyDescent="0.25">
      <c r="A24" s="19" t="s">
        <v>524</v>
      </c>
      <c r="B24" s="19"/>
      <c r="C24" s="19"/>
      <c r="D24" s="19" t="s">
        <v>349</v>
      </c>
      <c r="E24" s="68">
        <f>'CDU1.GMAP'!$E$24</f>
        <v>4.9991767357895505</v>
      </c>
      <c r="F24" s="19"/>
      <c r="G24" s="19"/>
      <c r="H24" s="19"/>
      <c r="I24" s="19">
        <v>0</v>
      </c>
      <c r="J24" s="68">
        <f>'CDU1.GMAP'!$E$24</f>
        <v>4.9991767357895505</v>
      </c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>
        <v>1</v>
      </c>
      <c r="X24" s="20"/>
      <c r="Y24" s="19"/>
      <c r="Z24" s="19"/>
      <c r="AA24" s="19"/>
      <c r="AB24" s="13"/>
      <c r="AC24" s="13"/>
      <c r="AD24" s="13"/>
      <c r="AE24" s="13"/>
      <c r="AF24" s="18">
        <v>0</v>
      </c>
      <c r="AG24" s="12"/>
      <c r="AH24" s="12"/>
      <c r="AI24" s="12"/>
      <c r="AJ24" s="12"/>
      <c r="AK24" s="12"/>
      <c r="AL24" s="18"/>
      <c r="AX24" s="17">
        <v>19</v>
      </c>
    </row>
    <row r="25" spans="1:50" s="17" customFormat="1" ht="13.5" x14ac:dyDescent="0.25">
      <c r="A25" s="19" t="s">
        <v>525</v>
      </c>
      <c r="B25" s="19"/>
      <c r="C25" s="19"/>
      <c r="D25" s="19" t="s">
        <v>349</v>
      </c>
      <c r="E25" s="68">
        <f>'CDU1.GMAP'!$E$25</f>
        <v>217.91980074046342</v>
      </c>
      <c r="F25" s="19"/>
      <c r="G25" s="19"/>
      <c r="H25" s="19"/>
      <c r="I25" s="19">
        <v>0</v>
      </c>
      <c r="J25" s="68">
        <f>'CDU1.GMAP'!$E$25</f>
        <v>217.91980074046342</v>
      </c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>
        <v>1</v>
      </c>
      <c r="X25" s="20"/>
      <c r="Y25" s="19"/>
      <c r="Z25" s="19"/>
      <c r="AA25" s="19"/>
      <c r="AB25" s="13"/>
      <c r="AC25" s="13"/>
      <c r="AD25" s="13"/>
      <c r="AE25" s="13"/>
      <c r="AF25" s="18">
        <v>0</v>
      </c>
      <c r="AG25" s="12"/>
      <c r="AH25" s="12"/>
      <c r="AI25" s="12"/>
      <c r="AJ25" s="12"/>
      <c r="AK25" s="12"/>
      <c r="AL25" s="18"/>
      <c r="AX25" s="17">
        <v>20</v>
      </c>
    </row>
    <row r="26" spans="1:50" s="17" customFormat="1" ht="13.5" x14ac:dyDescent="0.25">
      <c r="A26" s="19" t="s">
        <v>533</v>
      </c>
      <c r="B26" s="19"/>
      <c r="C26" s="19"/>
      <c r="D26" s="19" t="s">
        <v>349</v>
      </c>
      <c r="E26" s="68">
        <f>'CDU1.GMAP'!$E$26</f>
        <v>43.697013528744932</v>
      </c>
      <c r="F26" s="19"/>
      <c r="G26" s="19"/>
      <c r="H26" s="19"/>
      <c r="I26" s="19">
        <v>0</v>
      </c>
      <c r="J26" s="68">
        <f>'CDU1.GMAP'!$E$26</f>
        <v>43.697013528744932</v>
      </c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>
        <v>1</v>
      </c>
      <c r="X26" s="20"/>
      <c r="Y26" s="19"/>
      <c r="Z26" s="19"/>
      <c r="AA26" s="19"/>
      <c r="AB26" s="13"/>
      <c r="AC26" s="13"/>
      <c r="AD26" s="13"/>
      <c r="AE26" s="13"/>
      <c r="AF26" s="18">
        <v>0</v>
      </c>
      <c r="AG26" s="12"/>
      <c r="AH26" s="12"/>
      <c r="AI26" s="12"/>
      <c r="AJ26" s="12"/>
      <c r="AK26" s="12"/>
      <c r="AL26" s="18"/>
      <c r="AX26" s="17">
        <v>21</v>
      </c>
    </row>
    <row r="27" spans="1:50" s="17" customFormat="1" ht="13.5" x14ac:dyDescent="0.25">
      <c r="A27" s="19" t="s">
        <v>529</v>
      </c>
      <c r="B27" s="19"/>
      <c r="C27" s="19"/>
      <c r="D27" s="19" t="s">
        <v>349</v>
      </c>
      <c r="E27" s="68">
        <f>'CDU1.GMAP'!$E$27</f>
        <v>0.88515606924740575</v>
      </c>
      <c r="F27" s="19"/>
      <c r="G27" s="19"/>
      <c r="H27" s="19"/>
      <c r="I27" s="19">
        <v>0</v>
      </c>
      <c r="J27" s="68">
        <f>'CDU1.GMAP'!$E$27</f>
        <v>0.88515606924740575</v>
      </c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>
        <v>1</v>
      </c>
      <c r="X27" s="20"/>
      <c r="Y27" s="19"/>
      <c r="Z27" s="19"/>
      <c r="AA27" s="19"/>
      <c r="AB27" s="13"/>
      <c r="AC27" s="13"/>
      <c r="AD27" s="13"/>
      <c r="AE27" s="13"/>
      <c r="AF27" s="18">
        <v>0</v>
      </c>
      <c r="AG27" s="12"/>
      <c r="AH27" s="12"/>
      <c r="AI27" s="12"/>
      <c r="AJ27" s="12"/>
      <c r="AK27" s="12"/>
      <c r="AL27" s="18"/>
      <c r="AX27" s="17">
        <v>22</v>
      </c>
    </row>
    <row r="28" spans="1:50" s="17" customFormat="1" ht="13.5" x14ac:dyDescent="0.25">
      <c r="A28" s="19" t="s">
        <v>532</v>
      </c>
      <c r="B28" s="19"/>
      <c r="C28" s="19"/>
      <c r="D28" s="19" t="s">
        <v>349</v>
      </c>
      <c r="E28" s="68">
        <f>'CDU1.GMAP'!$E$28</f>
        <v>5555.2328747859747</v>
      </c>
      <c r="F28" s="19"/>
      <c r="G28" s="19"/>
      <c r="H28" s="19"/>
      <c r="I28" s="19">
        <v>0</v>
      </c>
      <c r="J28" s="68">
        <f>'CDU1.GMAP'!$E$28</f>
        <v>5555.2328747859747</v>
      </c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>
        <v>1</v>
      </c>
      <c r="X28" s="20"/>
      <c r="Y28" s="19"/>
      <c r="Z28" s="19"/>
      <c r="AA28" s="19"/>
      <c r="AB28" s="13"/>
      <c r="AC28" s="13"/>
      <c r="AD28" s="13"/>
      <c r="AE28" s="13"/>
      <c r="AF28" s="18">
        <v>0</v>
      </c>
      <c r="AG28" s="12"/>
      <c r="AH28" s="12"/>
      <c r="AI28" s="12"/>
      <c r="AJ28" s="12"/>
      <c r="AK28" s="12"/>
      <c r="AL28" s="18"/>
      <c r="AX28" s="17">
        <v>23</v>
      </c>
    </row>
    <row r="29" spans="1:50" s="17" customFormat="1" ht="13.5" x14ac:dyDescent="0.25">
      <c r="A29" s="19" t="s">
        <v>528</v>
      </c>
      <c r="B29" s="19"/>
      <c r="C29" s="19"/>
      <c r="D29" s="19" t="s">
        <v>349</v>
      </c>
      <c r="E29" s="68">
        <f>'CDU1.GMAP'!$E$29</f>
        <v>841.90524206541954</v>
      </c>
      <c r="F29" s="19"/>
      <c r="G29" s="19"/>
      <c r="H29" s="19"/>
      <c r="I29" s="19">
        <v>0</v>
      </c>
      <c r="J29" s="68">
        <f>'CDU1.GMAP'!$E$29</f>
        <v>841.90524206541954</v>
      </c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>
        <v>1</v>
      </c>
      <c r="X29" s="20"/>
      <c r="Y29" s="19"/>
      <c r="Z29" s="19"/>
      <c r="AA29" s="19"/>
      <c r="AB29" s="13"/>
      <c r="AC29" s="13"/>
      <c r="AD29" s="13"/>
      <c r="AE29" s="13"/>
      <c r="AF29" s="18">
        <v>0</v>
      </c>
      <c r="AG29" s="12"/>
      <c r="AH29" s="12"/>
      <c r="AI29" s="12"/>
      <c r="AJ29" s="12"/>
      <c r="AK29" s="12"/>
      <c r="AL29" s="18"/>
      <c r="AX29" s="17">
        <v>24</v>
      </c>
    </row>
    <row r="30" spans="1:50" s="17" customFormat="1" ht="13.5" x14ac:dyDescent="0.25">
      <c r="A30" s="19" t="s">
        <v>530</v>
      </c>
      <c r="B30" s="19"/>
      <c r="C30" s="19"/>
      <c r="D30" s="19" t="s">
        <v>349</v>
      </c>
      <c r="E30" s="68">
        <f>'CDU1.GMAP'!$E$30</f>
        <v>70.373179121805592</v>
      </c>
      <c r="F30" s="19"/>
      <c r="G30" s="19"/>
      <c r="H30" s="19"/>
      <c r="I30" s="19">
        <v>0</v>
      </c>
      <c r="J30" s="68">
        <f>'CDU1.GMAP'!$E$30</f>
        <v>70.373179121805592</v>
      </c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>
        <v>1</v>
      </c>
      <c r="X30" s="20"/>
      <c r="Y30" s="19"/>
      <c r="Z30" s="19"/>
      <c r="AA30" s="19"/>
      <c r="AB30" s="13"/>
      <c r="AC30" s="13"/>
      <c r="AD30" s="13"/>
      <c r="AE30" s="13"/>
      <c r="AF30" s="18">
        <v>0</v>
      </c>
      <c r="AG30" s="12"/>
      <c r="AH30" s="12"/>
      <c r="AI30" s="12"/>
      <c r="AJ30" s="12"/>
      <c r="AK30" s="12"/>
      <c r="AL30" s="18"/>
      <c r="AX30" s="17">
        <v>25</v>
      </c>
    </row>
    <row r="31" spans="1:50" s="17" customFormat="1" ht="13.5" x14ac:dyDescent="0.25">
      <c r="A31" s="19" t="s">
        <v>531</v>
      </c>
      <c r="B31" s="19"/>
      <c r="C31" s="19"/>
      <c r="D31" s="19" t="s">
        <v>349</v>
      </c>
      <c r="E31" s="68">
        <f>'CDU1.GMAP'!$E$31</f>
        <v>323.62968758858381</v>
      </c>
      <c r="F31" s="19"/>
      <c r="G31" s="19"/>
      <c r="H31" s="19"/>
      <c r="I31" s="19">
        <v>0</v>
      </c>
      <c r="J31" s="68">
        <f>'CDU1.GMAP'!$E$31</f>
        <v>323.62968758858381</v>
      </c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>
        <v>1</v>
      </c>
      <c r="X31" s="20"/>
      <c r="Y31" s="19"/>
      <c r="Z31" s="19"/>
      <c r="AA31" s="19"/>
      <c r="AB31" s="13"/>
      <c r="AC31" s="13"/>
      <c r="AD31" s="13"/>
      <c r="AE31" s="13"/>
      <c r="AF31" s="18">
        <v>0</v>
      </c>
      <c r="AG31" s="12"/>
      <c r="AH31" s="12"/>
      <c r="AI31" s="12"/>
      <c r="AJ31" s="12"/>
      <c r="AK31" s="12"/>
      <c r="AL31" s="18"/>
      <c r="AX31" s="17">
        <v>26</v>
      </c>
    </row>
    <row r="32" spans="1:50" s="17" customFormat="1" ht="13.5" x14ac:dyDescent="0.25">
      <c r="A32" s="19" t="s">
        <v>589</v>
      </c>
      <c r="B32" s="19"/>
      <c r="C32" s="19"/>
      <c r="D32" s="19" t="s">
        <v>349</v>
      </c>
      <c r="E32" s="68">
        <f>'CDU1.GDOT'!$E$6</f>
        <v>6.9898678702884354E-5</v>
      </c>
      <c r="F32" s="19"/>
      <c r="G32" s="19"/>
      <c r="H32" s="19"/>
      <c r="I32" s="19">
        <v>10</v>
      </c>
      <c r="J32" s="19"/>
      <c r="K32" s="68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>
        <v>1</v>
      </c>
      <c r="X32" s="20"/>
      <c r="Y32" s="19"/>
      <c r="Z32" s="19"/>
      <c r="AA32" s="19"/>
      <c r="AB32" s="13"/>
      <c r="AC32" s="13"/>
      <c r="AD32" s="13"/>
      <c r="AE32" s="13"/>
      <c r="AF32" s="18">
        <v>1</v>
      </c>
      <c r="AG32" s="12"/>
      <c r="AH32" s="12"/>
      <c r="AI32" s="12"/>
      <c r="AJ32" s="12"/>
      <c r="AK32" s="12"/>
      <c r="AL32" s="18"/>
      <c r="AX32" s="17">
        <v>27</v>
      </c>
    </row>
    <row r="33" spans="1:50" s="17" customFormat="1" ht="13.5" x14ac:dyDescent="0.25">
      <c r="A33" s="19" t="s">
        <v>590</v>
      </c>
      <c r="B33" s="19"/>
      <c r="C33" s="19"/>
      <c r="D33" s="19" t="s">
        <v>349</v>
      </c>
      <c r="E33" s="68">
        <f>'CDU1.GDOT'!$E$7</f>
        <v>9.3146626426232615E-5</v>
      </c>
      <c r="F33" s="19"/>
      <c r="G33" s="19"/>
      <c r="H33" s="19"/>
      <c r="I33" s="19">
        <v>10</v>
      </c>
      <c r="J33" s="19"/>
      <c r="K33" s="68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>
        <v>1</v>
      </c>
      <c r="X33" s="20"/>
      <c r="Y33" s="19"/>
      <c r="Z33" s="19"/>
      <c r="AA33" s="19"/>
      <c r="AB33" s="13"/>
      <c r="AC33" s="13"/>
      <c r="AD33" s="13"/>
      <c r="AE33" s="13"/>
      <c r="AF33" s="18">
        <v>1</v>
      </c>
      <c r="AG33" s="12"/>
      <c r="AH33" s="12"/>
      <c r="AI33" s="12"/>
      <c r="AJ33" s="12"/>
      <c r="AK33" s="12"/>
      <c r="AL33" s="18"/>
      <c r="AX33" s="17">
        <v>28</v>
      </c>
    </row>
    <row r="34" spans="1:50" s="17" customFormat="1" ht="13.5" x14ac:dyDescent="0.25">
      <c r="A34" s="19" t="s">
        <v>591</v>
      </c>
      <c r="B34" s="19"/>
      <c r="C34" s="19"/>
      <c r="D34" s="19" t="s">
        <v>349</v>
      </c>
      <c r="E34" s="68">
        <f>'CDU1.GDOT'!$E$8</f>
        <v>6.4518862387785703E-5</v>
      </c>
      <c r="F34" s="19"/>
      <c r="G34" s="19"/>
      <c r="H34" s="19"/>
      <c r="I34" s="19">
        <v>10</v>
      </c>
      <c r="J34" s="19"/>
      <c r="K34" s="68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>
        <v>1</v>
      </c>
      <c r="X34" s="20"/>
      <c r="Y34" s="19"/>
      <c r="Z34" s="19"/>
      <c r="AA34" s="19"/>
      <c r="AB34" s="13"/>
      <c r="AC34" s="13"/>
      <c r="AD34" s="13"/>
      <c r="AE34" s="13"/>
      <c r="AF34" s="18">
        <v>1</v>
      </c>
      <c r="AG34" s="12"/>
      <c r="AH34" s="12"/>
      <c r="AI34" s="12"/>
      <c r="AJ34" s="12"/>
      <c r="AK34" s="12"/>
      <c r="AL34" s="18"/>
      <c r="AX34" s="17">
        <v>29</v>
      </c>
    </row>
    <row r="35" spans="1:50" s="17" customFormat="1" ht="13.5" x14ac:dyDescent="0.25">
      <c r="A35" s="62" t="s">
        <v>592</v>
      </c>
      <c r="B35" s="19"/>
      <c r="C35" s="19"/>
      <c r="D35" s="19" t="s">
        <v>5</v>
      </c>
      <c r="E35" s="68">
        <f>'CDU1.GDOT'!$E$9</f>
        <v>-1.2478244968860963E-5</v>
      </c>
      <c r="F35" s="19"/>
      <c r="G35" s="19"/>
      <c r="H35" s="19"/>
      <c r="I35" s="19">
        <v>0</v>
      </c>
      <c r="J35" s="19"/>
      <c r="K35" s="68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>
        <v>1</v>
      </c>
      <c r="X35" s="20"/>
      <c r="Y35" s="19"/>
      <c r="Z35" s="19"/>
      <c r="AA35" s="19"/>
      <c r="AB35" s="13"/>
      <c r="AC35" s="13"/>
      <c r="AD35" s="13"/>
      <c r="AE35" s="13"/>
      <c r="AF35" s="63">
        <v>0</v>
      </c>
      <c r="AG35" s="12"/>
      <c r="AH35" s="12"/>
      <c r="AI35" s="12"/>
      <c r="AJ35" s="12"/>
      <c r="AK35" s="12"/>
      <c r="AL35" s="18"/>
      <c r="AX35" s="17">
        <v>30</v>
      </c>
    </row>
    <row r="36" spans="1:50" s="17" customFormat="1" ht="13.5" x14ac:dyDescent="0.25">
      <c r="A36" s="62" t="s">
        <v>593</v>
      </c>
      <c r="B36" s="19"/>
      <c r="C36" s="19"/>
      <c r="D36" s="19" t="s">
        <v>5</v>
      </c>
      <c r="E36" s="68">
        <f>'CDU1.GDOT'!$E$10</f>
        <v>2.7805228323813935E-3</v>
      </c>
      <c r="F36" s="19"/>
      <c r="G36" s="19"/>
      <c r="H36" s="19"/>
      <c r="I36" s="19">
        <v>0</v>
      </c>
      <c r="J36" s="19"/>
      <c r="K36" s="68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>
        <v>1</v>
      </c>
      <c r="X36" s="20"/>
      <c r="Y36" s="19"/>
      <c r="Z36" s="19"/>
      <c r="AA36" s="19"/>
      <c r="AB36" s="13"/>
      <c r="AC36" s="13"/>
      <c r="AD36" s="13"/>
      <c r="AE36" s="13"/>
      <c r="AF36" s="63">
        <v>0</v>
      </c>
      <c r="AG36" s="12"/>
      <c r="AH36" s="12"/>
      <c r="AI36" s="12"/>
      <c r="AJ36" s="12"/>
      <c r="AK36" s="12"/>
      <c r="AL36" s="18"/>
      <c r="AX36" s="17">
        <v>31</v>
      </c>
    </row>
    <row r="37" spans="1:50" s="17" customFormat="1" ht="13.5" x14ac:dyDescent="0.25">
      <c r="A37" s="62" t="s">
        <v>594</v>
      </c>
      <c r="B37" s="19"/>
      <c r="C37" s="19"/>
      <c r="D37" s="19" t="s">
        <v>5</v>
      </c>
      <c r="E37" s="68">
        <f>'CDU1.GDOT'!$E$11</f>
        <v>2.027304250304951E-4</v>
      </c>
      <c r="F37" s="19"/>
      <c r="G37" s="19"/>
      <c r="H37" s="19"/>
      <c r="I37" s="19">
        <v>0</v>
      </c>
      <c r="J37" s="19"/>
      <c r="K37" s="68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>
        <v>1</v>
      </c>
      <c r="X37" s="20"/>
      <c r="Y37" s="19"/>
      <c r="Z37" s="19"/>
      <c r="AA37" s="19"/>
      <c r="AB37" s="13"/>
      <c r="AC37" s="13"/>
      <c r="AD37" s="13"/>
      <c r="AE37" s="13"/>
      <c r="AF37" s="63">
        <v>0</v>
      </c>
      <c r="AG37" s="12"/>
      <c r="AH37" s="12"/>
      <c r="AI37" s="12"/>
      <c r="AJ37" s="12"/>
      <c r="AK37" s="12"/>
      <c r="AL37" s="18"/>
      <c r="AX37" s="17">
        <v>32</v>
      </c>
    </row>
    <row r="38" spans="1:50" s="17" customFormat="1" ht="13.5" x14ac:dyDescent="0.25">
      <c r="A38" s="19" t="s">
        <v>595</v>
      </c>
      <c r="B38" s="19"/>
      <c r="C38" s="19"/>
      <c r="D38" s="19" t="s">
        <v>349</v>
      </c>
      <c r="E38" s="68" t="e">
        <f ca="1">'CDU1.GDOT'!$E$12</f>
        <v>#NAME?</v>
      </c>
      <c r="F38" s="19"/>
      <c r="G38" s="19"/>
      <c r="H38" s="19"/>
      <c r="I38" s="19">
        <v>10</v>
      </c>
      <c r="J38" s="19"/>
      <c r="K38" s="68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>
        <v>1</v>
      </c>
      <c r="X38" s="20"/>
      <c r="Y38" s="19"/>
      <c r="Z38" s="19"/>
      <c r="AA38" s="19"/>
      <c r="AB38" s="13"/>
      <c r="AC38" s="13"/>
      <c r="AD38" s="13"/>
      <c r="AE38" s="13"/>
      <c r="AF38" s="18">
        <v>1</v>
      </c>
      <c r="AG38" s="12"/>
      <c r="AH38" s="12"/>
      <c r="AI38" s="12"/>
      <c r="AJ38" s="12"/>
      <c r="AK38" s="12"/>
      <c r="AL38" s="18"/>
      <c r="AX38" s="17">
        <v>33</v>
      </c>
    </row>
    <row r="39" spans="1:50" s="17" customFormat="1" ht="13.5" x14ac:dyDescent="0.25">
      <c r="A39" s="19" t="s">
        <v>596</v>
      </c>
      <c r="B39" s="19"/>
      <c r="C39" s="19"/>
      <c r="D39" s="19" t="s">
        <v>349</v>
      </c>
      <c r="E39" s="68" t="e">
        <f ca="1">'CDU1.GDOT'!$E$13</f>
        <v>#NAME?</v>
      </c>
      <c r="F39" s="19"/>
      <c r="G39" s="19"/>
      <c r="H39" s="19"/>
      <c r="I39" s="19">
        <v>10</v>
      </c>
      <c r="J39" s="19"/>
      <c r="K39" s="68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>
        <v>1</v>
      </c>
      <c r="X39" s="20"/>
      <c r="Y39" s="19"/>
      <c r="Z39" s="19"/>
      <c r="AA39" s="19"/>
      <c r="AB39" s="13"/>
      <c r="AC39" s="13"/>
      <c r="AD39" s="13"/>
      <c r="AE39" s="13"/>
      <c r="AF39" s="18">
        <v>1</v>
      </c>
      <c r="AG39" s="12"/>
      <c r="AH39" s="12"/>
      <c r="AI39" s="12"/>
      <c r="AJ39" s="12"/>
      <c r="AK39" s="12"/>
      <c r="AL39" s="18"/>
      <c r="AX39" s="17">
        <v>34</v>
      </c>
    </row>
    <row r="40" spans="1:50" s="17" customFormat="1" ht="13.5" x14ac:dyDescent="0.25">
      <c r="A40" s="19" t="s">
        <v>597</v>
      </c>
      <c r="B40" s="19"/>
      <c r="C40" s="19"/>
      <c r="D40" s="19" t="s">
        <v>349</v>
      </c>
      <c r="E40" s="68" t="e">
        <f ca="1">'CDU1.GDOT'!$E$14</f>
        <v>#NAME?</v>
      </c>
      <c r="F40" s="19"/>
      <c r="G40" s="19"/>
      <c r="H40" s="19"/>
      <c r="I40" s="19">
        <v>10</v>
      </c>
      <c r="J40" s="19"/>
      <c r="K40" s="68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>
        <v>1</v>
      </c>
      <c r="X40" s="20"/>
      <c r="Y40" s="19"/>
      <c r="Z40" s="19"/>
      <c r="AA40" s="19"/>
      <c r="AB40" s="13"/>
      <c r="AC40" s="13"/>
      <c r="AD40" s="13"/>
      <c r="AE40" s="13"/>
      <c r="AF40" s="18">
        <v>1</v>
      </c>
      <c r="AG40" s="12"/>
      <c r="AH40" s="12"/>
      <c r="AI40" s="12"/>
      <c r="AJ40" s="12"/>
      <c r="AK40" s="12"/>
      <c r="AL40" s="18"/>
      <c r="AX40" s="17">
        <v>35</v>
      </c>
    </row>
    <row r="41" spans="1:50" s="17" customFormat="1" ht="13.5" x14ac:dyDescent="0.25">
      <c r="A41" s="19" t="s">
        <v>598</v>
      </c>
      <c r="B41" s="19"/>
      <c r="C41" s="19"/>
      <c r="D41" s="19" t="s">
        <v>349</v>
      </c>
      <c r="E41" s="68" t="e">
        <f ca="1">'CDU1.GDOT'!$E$15</f>
        <v>#NAME?</v>
      </c>
      <c r="F41" s="19"/>
      <c r="G41" s="19"/>
      <c r="H41" s="19"/>
      <c r="I41" s="19">
        <v>10</v>
      </c>
      <c r="J41" s="19"/>
      <c r="K41" s="68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>
        <v>1</v>
      </c>
      <c r="X41" s="20"/>
      <c r="Y41" s="19"/>
      <c r="Z41" s="19"/>
      <c r="AA41" s="19"/>
      <c r="AB41" s="13"/>
      <c r="AC41" s="13"/>
      <c r="AD41" s="13"/>
      <c r="AE41" s="13"/>
      <c r="AF41" s="18">
        <v>1</v>
      </c>
      <c r="AG41" s="12"/>
      <c r="AH41" s="12"/>
      <c r="AI41" s="12"/>
      <c r="AJ41" s="12"/>
      <c r="AK41" s="12"/>
      <c r="AL41" s="18"/>
      <c r="AX41" s="17">
        <v>36</v>
      </c>
    </row>
    <row r="42" spans="1:50" s="17" customFormat="1" ht="13.5" x14ac:dyDescent="0.25">
      <c r="A42" s="19" t="s">
        <v>599</v>
      </c>
      <c r="B42" s="19"/>
      <c r="C42" s="19"/>
      <c r="D42" s="19" t="s">
        <v>349</v>
      </c>
      <c r="E42" s="68" t="e">
        <f ca="1">'CDU1.GDOT'!$E$16</f>
        <v>#NAME?</v>
      </c>
      <c r="F42" s="19"/>
      <c r="G42" s="19"/>
      <c r="H42" s="19"/>
      <c r="I42" s="19">
        <v>10</v>
      </c>
      <c r="J42" s="19"/>
      <c r="K42" s="68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>
        <v>1</v>
      </c>
      <c r="X42" s="20"/>
      <c r="Y42" s="19"/>
      <c r="Z42" s="19"/>
      <c r="AA42" s="19"/>
      <c r="AB42" s="13"/>
      <c r="AC42" s="13"/>
      <c r="AD42" s="13"/>
      <c r="AE42" s="13"/>
      <c r="AF42" s="18">
        <v>1</v>
      </c>
      <c r="AG42" s="12"/>
      <c r="AH42" s="12"/>
      <c r="AI42" s="12"/>
      <c r="AJ42" s="12"/>
      <c r="AK42" s="12"/>
      <c r="AL42" s="18"/>
      <c r="AX42" s="17">
        <v>37</v>
      </c>
    </row>
    <row r="43" spans="1:50" s="17" customFormat="1" ht="13.5" x14ac:dyDescent="0.25">
      <c r="A43" s="19" t="s">
        <v>1761</v>
      </c>
      <c r="B43" s="19"/>
      <c r="C43" s="19"/>
      <c r="D43" s="19" t="s">
        <v>349</v>
      </c>
      <c r="E43" s="72" t="e">
        <f ca="1">'CDU1.GDOT'!$E$17</f>
        <v>#NAME?</v>
      </c>
      <c r="F43" s="19"/>
      <c r="G43" s="19"/>
      <c r="H43" s="19"/>
      <c r="I43" s="19">
        <v>10</v>
      </c>
      <c r="J43" s="19"/>
      <c r="K43" s="72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20"/>
      <c r="Y43" s="19"/>
      <c r="Z43" s="19"/>
      <c r="AA43" s="19"/>
      <c r="AB43" s="13"/>
      <c r="AC43" s="13"/>
      <c r="AD43" s="13"/>
      <c r="AE43" s="13"/>
      <c r="AF43" s="18">
        <v>1</v>
      </c>
      <c r="AG43" s="12"/>
      <c r="AH43" s="12"/>
      <c r="AI43" s="12"/>
      <c r="AJ43" s="12"/>
      <c r="AK43" s="12"/>
      <c r="AL43" s="18"/>
      <c r="AX43" s="17">
        <v>38</v>
      </c>
    </row>
    <row r="44" spans="1:50" s="17" customFormat="1" ht="13.5" x14ac:dyDescent="0.25">
      <c r="A44" s="19" t="s">
        <v>600</v>
      </c>
      <c r="B44" s="19"/>
      <c r="C44" s="19"/>
      <c r="D44" s="19" t="s">
        <v>349</v>
      </c>
      <c r="E44" s="68" t="e">
        <f ca="1">'CDU1.GDOT'!$E$18</f>
        <v>#NAME?</v>
      </c>
      <c r="F44" s="19"/>
      <c r="G44" s="19"/>
      <c r="H44" s="19"/>
      <c r="I44" s="19">
        <v>10</v>
      </c>
      <c r="J44" s="19"/>
      <c r="K44" s="68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>
        <v>1</v>
      </c>
      <c r="X44" s="20"/>
      <c r="Y44" s="19"/>
      <c r="Z44" s="19"/>
      <c r="AA44" s="19"/>
      <c r="AB44" s="13"/>
      <c r="AC44" s="13"/>
      <c r="AD44" s="13"/>
      <c r="AE44" s="13"/>
      <c r="AF44" s="18">
        <v>1</v>
      </c>
      <c r="AG44" s="12"/>
      <c r="AH44" s="12"/>
      <c r="AI44" s="12"/>
      <c r="AJ44" s="12"/>
      <c r="AK44" s="12"/>
      <c r="AL44" s="18"/>
      <c r="AX44" s="17">
        <v>39</v>
      </c>
    </row>
    <row r="45" spans="1:50" s="17" customFormat="1" ht="13.5" x14ac:dyDescent="0.25">
      <c r="A45" s="19" t="s">
        <v>601</v>
      </c>
      <c r="B45" s="19"/>
      <c r="C45" s="19"/>
      <c r="D45" s="19" t="s">
        <v>349</v>
      </c>
      <c r="E45" s="68" t="e">
        <f ca="1">'CDU1.GDOT'!$E$19</f>
        <v>#NAME?</v>
      </c>
      <c r="F45" s="19"/>
      <c r="G45" s="19"/>
      <c r="H45" s="19"/>
      <c r="I45" s="19">
        <v>10</v>
      </c>
      <c r="J45" s="19"/>
      <c r="K45" s="68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>
        <v>1</v>
      </c>
      <c r="X45" s="20"/>
      <c r="Y45" s="19"/>
      <c r="Z45" s="19"/>
      <c r="AA45" s="19"/>
      <c r="AB45" s="13"/>
      <c r="AC45" s="13"/>
      <c r="AD45" s="13"/>
      <c r="AE45" s="13"/>
      <c r="AF45" s="18">
        <v>1</v>
      </c>
      <c r="AG45" s="12"/>
      <c r="AH45" s="12"/>
      <c r="AI45" s="12"/>
      <c r="AJ45" s="12"/>
      <c r="AK45" s="12"/>
      <c r="AL45" s="18"/>
      <c r="AX45" s="17">
        <v>40</v>
      </c>
    </row>
    <row r="46" spans="1:50" s="17" customFormat="1" ht="13.5" x14ac:dyDescent="0.25">
      <c r="A46" s="19" t="s">
        <v>602</v>
      </c>
      <c r="B46" s="19"/>
      <c r="C46" s="19"/>
      <c r="D46" s="19" t="s">
        <v>349</v>
      </c>
      <c r="E46" s="68" t="e">
        <f ca="1">'CDU1.GDOT'!$E$20</f>
        <v>#NAME?</v>
      </c>
      <c r="F46" s="19"/>
      <c r="G46" s="19"/>
      <c r="H46" s="19"/>
      <c r="I46" s="19">
        <v>10</v>
      </c>
      <c r="J46" s="19"/>
      <c r="K46" s="68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>
        <v>1</v>
      </c>
      <c r="X46" s="20"/>
      <c r="Y46" s="19"/>
      <c r="Z46" s="19"/>
      <c r="AA46" s="19"/>
      <c r="AB46" s="13"/>
      <c r="AC46" s="13"/>
      <c r="AD46" s="13"/>
      <c r="AE46" s="13"/>
      <c r="AF46" s="18">
        <v>1</v>
      </c>
      <c r="AG46" s="12"/>
      <c r="AH46" s="12"/>
      <c r="AI46" s="12"/>
      <c r="AJ46" s="12"/>
      <c r="AK46" s="12"/>
      <c r="AL46" s="18"/>
      <c r="AX46" s="17">
        <v>41</v>
      </c>
    </row>
    <row r="47" spans="1:50" s="17" customFormat="1" ht="13.5" x14ac:dyDescent="0.25">
      <c r="A47" s="19" t="s">
        <v>1762</v>
      </c>
      <c r="B47" s="19"/>
      <c r="C47" s="19"/>
      <c r="D47" s="19" t="s">
        <v>349</v>
      </c>
      <c r="E47" s="72" t="e">
        <f ca="1">'CDU1.GDOT'!$E$21</f>
        <v>#NAME?</v>
      </c>
      <c r="F47" s="19"/>
      <c r="G47" s="19"/>
      <c r="H47" s="19"/>
      <c r="I47" s="19">
        <v>10</v>
      </c>
      <c r="J47" s="19"/>
      <c r="K47" s="72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  <c r="Y47" s="19"/>
      <c r="Z47" s="19"/>
      <c r="AA47" s="19"/>
      <c r="AB47" s="13"/>
      <c r="AC47" s="13"/>
      <c r="AD47" s="13"/>
      <c r="AE47" s="13"/>
      <c r="AF47" s="18">
        <v>1</v>
      </c>
      <c r="AG47" s="12"/>
      <c r="AH47" s="12"/>
      <c r="AI47" s="12"/>
      <c r="AJ47" s="12"/>
      <c r="AK47" s="12"/>
      <c r="AL47" s="18"/>
      <c r="AX47" s="17">
        <v>42</v>
      </c>
    </row>
    <row r="48" spans="1:50" s="17" customFormat="1" ht="13.5" x14ac:dyDescent="0.25">
      <c r="A48" s="19" t="s">
        <v>603</v>
      </c>
      <c r="B48" s="19"/>
      <c r="C48" s="19"/>
      <c r="D48" s="19" t="s">
        <v>349</v>
      </c>
      <c r="E48" s="77" t="e">
        <f ca="1">'CDU1.GDOT'!$E$22</f>
        <v>#NAME?</v>
      </c>
      <c r="F48" s="19"/>
      <c r="G48" s="19"/>
      <c r="H48" s="19"/>
      <c r="I48" s="19">
        <v>10</v>
      </c>
      <c r="J48" s="19"/>
      <c r="K48" s="77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>
        <v>1</v>
      </c>
      <c r="X48" s="20"/>
      <c r="Y48" s="19"/>
      <c r="Z48" s="19"/>
      <c r="AA48" s="19"/>
      <c r="AB48" s="13"/>
      <c r="AC48" s="13"/>
      <c r="AD48" s="13"/>
      <c r="AE48" s="13"/>
      <c r="AF48" s="18">
        <v>1</v>
      </c>
      <c r="AG48" s="12"/>
      <c r="AH48" s="12"/>
      <c r="AI48" s="12"/>
      <c r="AJ48" s="12"/>
      <c r="AK48" s="12"/>
      <c r="AL48" s="18"/>
      <c r="AX48" s="17">
        <v>43</v>
      </c>
    </row>
    <row r="49" spans="1:50" s="17" customFormat="1" ht="13.5" x14ac:dyDescent="0.25">
      <c r="A49" s="19" t="s">
        <v>604</v>
      </c>
      <c r="B49" s="19"/>
      <c r="C49" s="19"/>
      <c r="D49" s="19" t="s">
        <v>349</v>
      </c>
      <c r="E49" s="77" t="e">
        <f ca="1">'CDU1.GDOT'!$E$23</f>
        <v>#NAME?</v>
      </c>
      <c r="F49" s="19"/>
      <c r="G49" s="19"/>
      <c r="H49" s="19"/>
      <c r="I49" s="19">
        <v>10</v>
      </c>
      <c r="J49" s="19"/>
      <c r="K49" s="77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>
        <v>1</v>
      </c>
      <c r="X49" s="20"/>
      <c r="Y49" s="19"/>
      <c r="Z49" s="19"/>
      <c r="AA49" s="19"/>
      <c r="AB49" s="13"/>
      <c r="AC49" s="13"/>
      <c r="AD49" s="13"/>
      <c r="AE49" s="13"/>
      <c r="AF49" s="18">
        <v>1</v>
      </c>
      <c r="AG49" s="12"/>
      <c r="AH49" s="12"/>
      <c r="AI49" s="12"/>
      <c r="AJ49" s="12"/>
      <c r="AK49" s="12"/>
      <c r="AL49" s="18"/>
      <c r="AX49" s="17">
        <v>44</v>
      </c>
    </row>
    <row r="50" spans="1:50" s="17" customFormat="1" ht="13.5" x14ac:dyDescent="0.25">
      <c r="A50" s="19" t="s">
        <v>605</v>
      </c>
      <c r="B50" s="19"/>
      <c r="C50" s="19"/>
      <c r="D50" s="19" t="s">
        <v>349</v>
      </c>
      <c r="E50" s="77" t="e">
        <f ca="1">'CDU1.GDOT'!$E$24</f>
        <v>#NAME?</v>
      </c>
      <c r="F50" s="19"/>
      <c r="G50" s="19"/>
      <c r="H50" s="19"/>
      <c r="I50" s="19">
        <v>10</v>
      </c>
      <c r="J50" s="19"/>
      <c r="K50" s="77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>
        <v>1</v>
      </c>
      <c r="X50" s="20"/>
      <c r="Y50" s="19"/>
      <c r="Z50" s="19"/>
      <c r="AA50" s="19"/>
      <c r="AB50" s="13"/>
      <c r="AC50" s="13"/>
      <c r="AD50" s="13"/>
      <c r="AE50" s="13"/>
      <c r="AF50" s="18">
        <v>1</v>
      </c>
      <c r="AG50" s="12"/>
      <c r="AH50" s="12"/>
      <c r="AI50" s="12"/>
      <c r="AJ50" s="12"/>
      <c r="AK50" s="12"/>
      <c r="AL50" s="18"/>
      <c r="AX50" s="17">
        <v>45</v>
      </c>
    </row>
    <row r="51" spans="1:50" s="17" customFormat="1" ht="13.5" x14ac:dyDescent="0.25">
      <c r="A51" s="19" t="s">
        <v>606</v>
      </c>
      <c r="B51" s="19"/>
      <c r="C51" s="19"/>
      <c r="D51" s="19" t="s">
        <v>349</v>
      </c>
      <c r="E51" s="68" t="e">
        <f ca="1">'CDU1.GDOT'!$E$25</f>
        <v>#NAME?</v>
      </c>
      <c r="F51" s="19"/>
      <c r="G51" s="19"/>
      <c r="H51" s="19"/>
      <c r="I51" s="19">
        <v>10</v>
      </c>
      <c r="J51" s="19"/>
      <c r="K51" s="68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>
        <v>1</v>
      </c>
      <c r="X51" s="20"/>
      <c r="Y51" s="19"/>
      <c r="Z51" s="19"/>
      <c r="AA51" s="19"/>
      <c r="AB51" s="13"/>
      <c r="AC51" s="13"/>
      <c r="AD51" s="13"/>
      <c r="AE51" s="13"/>
      <c r="AF51" s="18">
        <v>1</v>
      </c>
      <c r="AG51" s="12"/>
      <c r="AH51" s="12"/>
      <c r="AI51" s="12"/>
      <c r="AJ51" s="12"/>
      <c r="AK51" s="12"/>
      <c r="AL51" s="18"/>
      <c r="AX51" s="17">
        <v>46</v>
      </c>
    </row>
    <row r="52" spans="1:50" s="17" customFormat="1" ht="13.5" x14ac:dyDescent="0.25">
      <c r="A52" s="19" t="s">
        <v>607</v>
      </c>
      <c r="B52" s="19"/>
      <c r="C52" s="19"/>
      <c r="D52" s="19" t="s">
        <v>349</v>
      </c>
      <c r="E52" s="68" t="e">
        <f ca="1">'CDU1.GDOT'!$E$26</f>
        <v>#NAME?</v>
      </c>
      <c r="F52" s="19"/>
      <c r="G52" s="19"/>
      <c r="H52" s="19"/>
      <c r="I52" s="19">
        <v>10</v>
      </c>
      <c r="J52" s="19"/>
      <c r="K52" s="68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>
        <v>1</v>
      </c>
      <c r="X52" s="20"/>
      <c r="Y52" s="19"/>
      <c r="Z52" s="19"/>
      <c r="AA52" s="19"/>
      <c r="AB52" s="13"/>
      <c r="AC52" s="13"/>
      <c r="AD52" s="13"/>
      <c r="AE52" s="13"/>
      <c r="AF52" s="18">
        <v>1</v>
      </c>
      <c r="AG52" s="12"/>
      <c r="AH52" s="12"/>
      <c r="AI52" s="12"/>
      <c r="AJ52" s="12"/>
      <c r="AK52" s="12"/>
      <c r="AL52" s="18"/>
      <c r="AX52" s="17">
        <v>47</v>
      </c>
    </row>
    <row r="53" spans="1:50" s="17" customFormat="1" ht="13.5" x14ac:dyDescent="0.25">
      <c r="A53" s="19" t="s">
        <v>608</v>
      </c>
      <c r="B53" s="19"/>
      <c r="C53" s="19"/>
      <c r="D53" s="19" t="s">
        <v>349</v>
      </c>
      <c r="E53" s="68" t="e">
        <f ca="1">'CDU1.GDOT'!$E$27</f>
        <v>#NAME?</v>
      </c>
      <c r="F53" s="19"/>
      <c r="G53" s="19"/>
      <c r="H53" s="19"/>
      <c r="I53" s="19">
        <v>10</v>
      </c>
      <c r="J53" s="19"/>
      <c r="K53" s="68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>
        <v>1</v>
      </c>
      <c r="X53" s="20"/>
      <c r="Y53" s="19"/>
      <c r="Z53" s="19"/>
      <c r="AA53" s="19"/>
      <c r="AB53" s="13"/>
      <c r="AC53" s="13"/>
      <c r="AD53" s="13"/>
      <c r="AE53" s="13"/>
      <c r="AF53" s="18">
        <v>1</v>
      </c>
      <c r="AG53" s="12"/>
      <c r="AH53" s="12"/>
      <c r="AI53" s="12"/>
      <c r="AJ53" s="12"/>
      <c r="AK53" s="12"/>
      <c r="AL53" s="18"/>
      <c r="AX53" s="17">
        <v>48</v>
      </c>
    </row>
    <row r="54" spans="1:50" s="17" customFormat="1" ht="13.5" x14ac:dyDescent="0.25">
      <c r="A54" s="19" t="s">
        <v>609</v>
      </c>
      <c r="B54" s="19"/>
      <c r="C54" s="19"/>
      <c r="D54" s="19" t="s">
        <v>349</v>
      </c>
      <c r="E54" s="68" t="e">
        <f ca="1">'CDU1.GDOT'!$E$28</f>
        <v>#NAME?</v>
      </c>
      <c r="F54" s="19"/>
      <c r="G54" s="19"/>
      <c r="H54" s="19"/>
      <c r="I54" s="19">
        <v>10</v>
      </c>
      <c r="J54" s="19"/>
      <c r="K54" s="68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>
        <v>1</v>
      </c>
      <c r="X54" s="20"/>
      <c r="Y54" s="19"/>
      <c r="Z54" s="19"/>
      <c r="AA54" s="19"/>
      <c r="AB54" s="13"/>
      <c r="AC54" s="13"/>
      <c r="AD54" s="13"/>
      <c r="AE54" s="13"/>
      <c r="AF54" s="18">
        <v>1</v>
      </c>
      <c r="AG54" s="12"/>
      <c r="AH54" s="12"/>
      <c r="AI54" s="12"/>
      <c r="AJ54" s="12"/>
      <c r="AK54" s="12"/>
      <c r="AL54" s="18"/>
      <c r="AX54" s="17">
        <v>49</v>
      </c>
    </row>
    <row r="55" spans="1:50" s="17" customFormat="1" ht="13.5" x14ac:dyDescent="0.25">
      <c r="A55" s="19" t="s">
        <v>610</v>
      </c>
      <c r="B55" s="19"/>
      <c r="C55" s="19"/>
      <c r="D55" s="19" t="s">
        <v>349</v>
      </c>
      <c r="E55" s="68" t="e">
        <f ca="1">'CDU1.GDOT'!$E$29</f>
        <v>#NAME?</v>
      </c>
      <c r="F55" s="19"/>
      <c r="G55" s="19"/>
      <c r="H55" s="19"/>
      <c r="I55" s="19">
        <v>10</v>
      </c>
      <c r="J55" s="19"/>
      <c r="K55" s="68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>
        <v>1</v>
      </c>
      <c r="X55" s="20"/>
      <c r="Y55" s="19"/>
      <c r="Z55" s="19"/>
      <c r="AA55" s="19"/>
      <c r="AB55" s="13"/>
      <c r="AC55" s="13"/>
      <c r="AD55" s="13"/>
      <c r="AE55" s="13"/>
      <c r="AF55" s="18">
        <v>1</v>
      </c>
      <c r="AG55" s="12"/>
      <c r="AH55" s="12"/>
      <c r="AI55" s="12"/>
      <c r="AJ55" s="12"/>
      <c r="AK55" s="12"/>
      <c r="AL55" s="18"/>
      <c r="AX55" s="17">
        <v>50</v>
      </c>
    </row>
    <row r="56" spans="1:50" s="17" customFormat="1" ht="13.5" x14ac:dyDescent="0.25">
      <c r="A56" s="19" t="s">
        <v>611</v>
      </c>
      <c r="B56" s="19"/>
      <c r="C56" s="19"/>
      <c r="D56" s="19" t="s">
        <v>349</v>
      </c>
      <c r="E56" s="68" t="e">
        <f ca="1">'CDU1.GDOT'!$E$30</f>
        <v>#NAME?</v>
      </c>
      <c r="F56" s="19"/>
      <c r="G56" s="19"/>
      <c r="H56" s="19"/>
      <c r="I56" s="19">
        <v>10</v>
      </c>
      <c r="J56" s="19"/>
      <c r="K56" s="68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>
        <v>1</v>
      </c>
      <c r="X56" s="20"/>
      <c r="Y56" s="19"/>
      <c r="Z56" s="19"/>
      <c r="AA56" s="19"/>
      <c r="AB56" s="13"/>
      <c r="AC56" s="13"/>
      <c r="AD56" s="13"/>
      <c r="AE56" s="13"/>
      <c r="AF56" s="18">
        <v>1</v>
      </c>
      <c r="AG56" s="12"/>
      <c r="AH56" s="12"/>
      <c r="AI56" s="12"/>
      <c r="AJ56" s="12"/>
      <c r="AK56" s="12"/>
      <c r="AL56" s="18"/>
      <c r="AX56" s="17">
        <v>51</v>
      </c>
    </row>
    <row r="57" spans="1:50" s="17" customFormat="1" ht="13.5" x14ac:dyDescent="0.25">
      <c r="A57" s="19" t="s">
        <v>612</v>
      </c>
      <c r="B57" s="19"/>
      <c r="C57" s="19"/>
      <c r="D57" s="19" t="s">
        <v>349</v>
      </c>
      <c r="E57" s="68">
        <f>'CDU1.GDOT'!$E$31</f>
        <v>-1.313888833465171E-5</v>
      </c>
      <c r="F57" s="19"/>
      <c r="G57" s="19"/>
      <c r="H57" s="19"/>
      <c r="I57" s="19">
        <v>10</v>
      </c>
      <c r="J57" s="19"/>
      <c r="K57" s="68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>
        <v>1</v>
      </c>
      <c r="X57" s="20"/>
      <c r="Y57" s="19"/>
      <c r="Z57" s="19"/>
      <c r="AA57" s="19"/>
      <c r="AB57" s="13"/>
      <c r="AC57" s="13"/>
      <c r="AD57" s="13"/>
      <c r="AE57" s="13"/>
      <c r="AF57" s="18">
        <v>1</v>
      </c>
      <c r="AG57" s="12"/>
      <c r="AH57" s="12"/>
      <c r="AI57" s="12"/>
      <c r="AJ57" s="12"/>
      <c r="AK57" s="12"/>
      <c r="AL57" s="18"/>
      <c r="AX57" s="17">
        <v>52</v>
      </c>
    </row>
    <row r="58" spans="1:50" s="17" customFormat="1" ht="13.5" x14ac:dyDescent="0.25">
      <c r="A58" s="19" t="s">
        <v>613</v>
      </c>
      <c r="B58" s="19"/>
      <c r="C58" s="19"/>
      <c r="D58" s="19" t="s">
        <v>349</v>
      </c>
      <c r="E58" s="68">
        <f>'CDU1.GDOT'!$E$32</f>
        <v>-5.6249518820550293E-6</v>
      </c>
      <c r="F58" s="19"/>
      <c r="G58" s="19"/>
      <c r="H58" s="19"/>
      <c r="I58" s="19">
        <v>10</v>
      </c>
      <c r="J58" s="19"/>
      <c r="K58" s="68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>
        <v>1</v>
      </c>
      <c r="X58" s="20"/>
      <c r="Y58" s="19"/>
      <c r="Z58" s="19"/>
      <c r="AA58" s="19"/>
      <c r="AB58" s="13"/>
      <c r="AC58" s="13"/>
      <c r="AD58" s="13"/>
      <c r="AE58" s="13"/>
      <c r="AF58" s="18">
        <v>1</v>
      </c>
      <c r="AG58" s="12"/>
      <c r="AH58" s="12"/>
      <c r="AI58" s="12"/>
      <c r="AJ58" s="12"/>
      <c r="AK58" s="12"/>
      <c r="AL58" s="18"/>
      <c r="AX58" s="17">
        <v>53</v>
      </c>
    </row>
    <row r="59" spans="1:50" s="17" customFormat="1" ht="13.5" x14ac:dyDescent="0.25">
      <c r="A59" s="19" t="s">
        <v>614</v>
      </c>
      <c r="B59" s="19"/>
      <c r="C59" s="19"/>
      <c r="D59" s="19" t="s">
        <v>349</v>
      </c>
      <c r="E59" s="68">
        <f>'CDU1.GDOT'!$E$33</f>
        <v>1.091755348170409E-5</v>
      </c>
      <c r="F59" s="19"/>
      <c r="G59" s="19"/>
      <c r="H59" s="19"/>
      <c r="I59" s="19">
        <v>10</v>
      </c>
      <c r="J59" s="19"/>
      <c r="K59" s="68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>
        <v>1</v>
      </c>
      <c r="X59" s="20"/>
      <c r="Y59" s="19"/>
      <c r="Z59" s="19"/>
      <c r="AA59" s="19"/>
      <c r="AB59" s="13"/>
      <c r="AC59" s="13"/>
      <c r="AD59" s="13"/>
      <c r="AE59" s="13"/>
      <c r="AF59" s="18">
        <v>1</v>
      </c>
      <c r="AG59" s="12"/>
      <c r="AH59" s="12"/>
      <c r="AI59" s="12"/>
      <c r="AJ59" s="12"/>
      <c r="AK59" s="12"/>
      <c r="AL59" s="18"/>
      <c r="AX59" s="17">
        <v>54</v>
      </c>
    </row>
    <row r="60" spans="1:50" s="17" customFormat="1" ht="13.5" x14ac:dyDescent="0.25">
      <c r="A60" s="19" t="s">
        <v>615</v>
      </c>
      <c r="B60" s="19"/>
      <c r="C60" s="19"/>
      <c r="D60" s="19" t="s">
        <v>349</v>
      </c>
      <c r="E60" s="68">
        <f>'CDU1.GDOT'!$E$34</f>
        <v>5.8474620345805306E-6</v>
      </c>
      <c r="F60" s="19"/>
      <c r="G60" s="19"/>
      <c r="H60" s="19"/>
      <c r="I60" s="19">
        <v>10</v>
      </c>
      <c r="J60" s="19"/>
      <c r="K60" s="68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>
        <v>1</v>
      </c>
      <c r="X60" s="20"/>
      <c r="Y60" s="19"/>
      <c r="Z60" s="19"/>
      <c r="AA60" s="19"/>
      <c r="AB60" s="13"/>
      <c r="AC60" s="13"/>
      <c r="AD60" s="13"/>
      <c r="AE60" s="13"/>
      <c r="AF60" s="18">
        <v>1</v>
      </c>
      <c r="AG60" s="12"/>
      <c r="AH60" s="12"/>
      <c r="AI60" s="12"/>
      <c r="AJ60" s="12"/>
      <c r="AK60" s="12"/>
      <c r="AL60" s="18"/>
      <c r="AX60" s="17">
        <v>55</v>
      </c>
    </row>
    <row r="61" spans="1:50" s="17" customFormat="1" ht="13.5" x14ac:dyDescent="0.25">
      <c r="A61" s="19" t="s">
        <v>616</v>
      </c>
      <c r="B61" s="19"/>
      <c r="C61" s="19"/>
      <c r="D61" s="19" t="s">
        <v>349</v>
      </c>
      <c r="E61" s="68">
        <f>'CDU1.GDOT'!$E$35</f>
        <v>1.334987064183224E-5</v>
      </c>
      <c r="F61" s="19"/>
      <c r="G61" s="19"/>
      <c r="H61" s="19"/>
      <c r="I61" s="19">
        <v>10</v>
      </c>
      <c r="J61" s="19"/>
      <c r="K61" s="68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>
        <v>1</v>
      </c>
      <c r="X61" s="20"/>
      <c r="Y61" s="19"/>
      <c r="Z61" s="19"/>
      <c r="AA61" s="19"/>
      <c r="AB61" s="13"/>
      <c r="AC61" s="13"/>
      <c r="AD61" s="13"/>
      <c r="AE61" s="13"/>
      <c r="AF61" s="18">
        <v>1</v>
      </c>
      <c r="AG61" s="12"/>
      <c r="AH61" s="12"/>
      <c r="AI61" s="12"/>
      <c r="AJ61" s="12"/>
      <c r="AK61" s="12"/>
      <c r="AL61" s="18"/>
      <c r="AX61" s="17">
        <v>56</v>
      </c>
    </row>
    <row r="62" spans="1:50" s="17" customFormat="1" ht="13.5" x14ac:dyDescent="0.25">
      <c r="A62" s="19" t="s">
        <v>617</v>
      </c>
      <c r="B62" s="19"/>
      <c r="C62" s="19"/>
      <c r="D62" s="19" t="s">
        <v>349</v>
      </c>
      <c r="E62" s="68" t="e">
        <f ca="1">'CDU1.GDOT'!$E$36</f>
        <v>#NAME?</v>
      </c>
      <c r="F62" s="19"/>
      <c r="G62" s="19"/>
      <c r="H62" s="19"/>
      <c r="I62" s="19">
        <v>10</v>
      </c>
      <c r="J62" s="19"/>
      <c r="K62" s="68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>
        <v>1</v>
      </c>
      <c r="X62" s="20"/>
      <c r="Y62" s="19"/>
      <c r="Z62" s="19"/>
      <c r="AA62" s="19"/>
      <c r="AB62" s="13"/>
      <c r="AC62" s="13"/>
      <c r="AD62" s="13"/>
      <c r="AE62" s="13"/>
      <c r="AF62" s="18">
        <v>1</v>
      </c>
      <c r="AG62" s="12"/>
      <c r="AH62" s="12"/>
      <c r="AI62" s="12"/>
      <c r="AJ62" s="12"/>
      <c r="AK62" s="12"/>
      <c r="AL62" s="18"/>
      <c r="AX62" s="17">
        <v>57</v>
      </c>
    </row>
    <row r="63" spans="1:50" s="17" customFormat="1" ht="13.5" x14ac:dyDescent="0.25">
      <c r="A63" s="19" t="s">
        <v>618</v>
      </c>
      <c r="B63" s="19"/>
      <c r="C63" s="19"/>
      <c r="D63" s="19" t="s">
        <v>349</v>
      </c>
      <c r="E63" s="68" t="e">
        <f ca="1">'CDU1.GDOT'!$E$37</f>
        <v>#NAME?</v>
      </c>
      <c r="F63" s="19"/>
      <c r="G63" s="19"/>
      <c r="H63" s="19"/>
      <c r="I63" s="19">
        <v>10</v>
      </c>
      <c r="J63" s="19"/>
      <c r="K63" s="68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>
        <v>1</v>
      </c>
      <c r="X63" s="20"/>
      <c r="Y63" s="19"/>
      <c r="Z63" s="19"/>
      <c r="AA63" s="19"/>
      <c r="AB63" s="13"/>
      <c r="AC63" s="13"/>
      <c r="AD63" s="13"/>
      <c r="AE63" s="13"/>
      <c r="AF63" s="18">
        <v>1</v>
      </c>
      <c r="AG63" s="12"/>
      <c r="AH63" s="12"/>
      <c r="AI63" s="12"/>
      <c r="AJ63" s="12"/>
      <c r="AK63" s="12"/>
      <c r="AL63" s="18"/>
      <c r="AX63" s="17">
        <v>58</v>
      </c>
    </row>
    <row r="64" spans="1:50" s="17" customFormat="1" ht="13.5" x14ac:dyDescent="0.25">
      <c r="A64" s="19" t="s">
        <v>619</v>
      </c>
      <c r="B64" s="19"/>
      <c r="C64" s="19"/>
      <c r="D64" s="19" t="s">
        <v>349</v>
      </c>
      <c r="E64" s="68" t="e">
        <f ca="1">'CDU1.GDOT'!$E$38</f>
        <v>#NAME?</v>
      </c>
      <c r="F64" s="19"/>
      <c r="G64" s="19"/>
      <c r="H64" s="19"/>
      <c r="I64" s="19">
        <v>10</v>
      </c>
      <c r="J64" s="19"/>
      <c r="K64" s="68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>
        <v>1</v>
      </c>
      <c r="X64" s="20"/>
      <c r="Y64" s="19"/>
      <c r="Z64" s="19"/>
      <c r="AA64" s="19"/>
      <c r="AB64" s="13"/>
      <c r="AC64" s="13"/>
      <c r="AD64" s="13"/>
      <c r="AE64" s="13"/>
      <c r="AF64" s="18">
        <v>1</v>
      </c>
      <c r="AG64" s="12"/>
      <c r="AH64" s="12"/>
      <c r="AI64" s="12"/>
      <c r="AJ64" s="12"/>
      <c r="AK64" s="12"/>
      <c r="AL64" s="18"/>
      <c r="AX64" s="17">
        <v>59</v>
      </c>
    </row>
    <row r="65" spans="1:50" s="17" customFormat="1" ht="13.5" x14ac:dyDescent="0.25">
      <c r="A65" s="19" t="s">
        <v>620</v>
      </c>
      <c r="B65" s="19"/>
      <c r="C65" s="19"/>
      <c r="D65" s="19" t="s">
        <v>349</v>
      </c>
      <c r="E65" s="68" t="e">
        <f ca="1">'CDU1.GDOT'!$E$39</f>
        <v>#NAME?</v>
      </c>
      <c r="F65" s="19"/>
      <c r="G65" s="19"/>
      <c r="H65" s="19"/>
      <c r="I65" s="19">
        <v>10</v>
      </c>
      <c r="J65" s="19"/>
      <c r="K65" s="68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>
        <v>1</v>
      </c>
      <c r="X65" s="20"/>
      <c r="Y65" s="19"/>
      <c r="Z65" s="19"/>
      <c r="AA65" s="19"/>
      <c r="AB65" s="13"/>
      <c r="AC65" s="13"/>
      <c r="AD65" s="13"/>
      <c r="AE65" s="13"/>
      <c r="AF65" s="18">
        <v>1</v>
      </c>
      <c r="AG65" s="12"/>
      <c r="AH65" s="12"/>
      <c r="AI65" s="12"/>
      <c r="AJ65" s="12"/>
      <c r="AK65" s="12"/>
      <c r="AL65" s="18"/>
      <c r="AX65" s="17">
        <v>60</v>
      </c>
    </row>
    <row r="66" spans="1:50" s="17" customFormat="1" ht="13.5" x14ac:dyDescent="0.25">
      <c r="A66" s="62" t="s">
        <v>621</v>
      </c>
      <c r="B66" s="19"/>
      <c r="C66" s="19"/>
      <c r="D66" s="62" t="s">
        <v>5</v>
      </c>
      <c r="E66" s="68">
        <f>'CDU1.GDOT'!$E$40</f>
        <v>0</v>
      </c>
      <c r="F66" s="19"/>
      <c r="G66" s="19"/>
      <c r="H66" s="19"/>
      <c r="I66" s="62">
        <v>0</v>
      </c>
      <c r="J66" s="19"/>
      <c r="K66" s="68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>
        <v>1</v>
      </c>
      <c r="X66" s="20"/>
      <c r="Y66" s="19"/>
      <c r="Z66" s="19"/>
      <c r="AA66" s="19"/>
      <c r="AB66" s="13"/>
      <c r="AC66" s="13"/>
      <c r="AD66" s="13"/>
      <c r="AE66" s="13"/>
      <c r="AF66" s="18">
        <v>1</v>
      </c>
      <c r="AG66" s="12"/>
      <c r="AH66" s="12"/>
      <c r="AI66" s="12"/>
      <c r="AJ66" s="12"/>
      <c r="AK66" s="12"/>
      <c r="AL66" s="18"/>
      <c r="AX66" s="17">
        <v>61</v>
      </c>
    </row>
    <row r="67" spans="1:50" s="17" customFormat="1" ht="13.5" x14ac:dyDescent="0.25">
      <c r="A67" s="19" t="s">
        <v>622</v>
      </c>
      <c r="B67" s="19"/>
      <c r="C67" s="19"/>
      <c r="D67" s="19" t="s">
        <v>349</v>
      </c>
      <c r="E67" s="68">
        <f>'CDU1.GDOT'!$E$41</f>
        <v>-6.31150811614134E-7</v>
      </c>
      <c r="F67" s="19"/>
      <c r="G67" s="19"/>
      <c r="H67" s="19"/>
      <c r="I67" s="19">
        <v>10</v>
      </c>
      <c r="J67" s="19"/>
      <c r="K67" s="68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>
        <v>1</v>
      </c>
      <c r="X67" s="20"/>
      <c r="Y67" s="19"/>
      <c r="Z67" s="19"/>
      <c r="AA67" s="19"/>
      <c r="AB67" s="13"/>
      <c r="AC67" s="13"/>
      <c r="AD67" s="13"/>
      <c r="AE67" s="13"/>
      <c r="AF67" s="18">
        <v>1</v>
      </c>
      <c r="AG67" s="12"/>
      <c r="AH67" s="12"/>
      <c r="AI67" s="12"/>
      <c r="AJ67" s="12"/>
      <c r="AK67" s="12"/>
      <c r="AL67" s="18"/>
      <c r="AX67" s="17">
        <v>62</v>
      </c>
    </row>
    <row r="68" spans="1:50" s="17" customFormat="1" ht="13.5" x14ac:dyDescent="0.25">
      <c r="A68" s="19" t="s">
        <v>556</v>
      </c>
      <c r="B68" s="19"/>
      <c r="C68" s="19"/>
      <c r="D68" s="19" t="s">
        <v>349</v>
      </c>
      <c r="E68" s="68">
        <f>HFB.CMAP!G10</f>
        <v>0</v>
      </c>
      <c r="F68" s="19"/>
      <c r="G68" s="19"/>
      <c r="H68" s="19"/>
      <c r="I68" s="19">
        <v>10</v>
      </c>
      <c r="J68" s="19"/>
      <c r="K68" s="68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>
        <v>1</v>
      </c>
      <c r="X68" s="20"/>
      <c r="Y68" s="19"/>
      <c r="Z68" s="19"/>
      <c r="AA68" s="19"/>
      <c r="AB68" s="13"/>
      <c r="AC68" s="13"/>
      <c r="AD68" s="13"/>
      <c r="AE68" s="13"/>
      <c r="AF68" s="18">
        <v>1</v>
      </c>
      <c r="AG68" s="12"/>
      <c r="AH68" s="12"/>
      <c r="AI68" s="12"/>
      <c r="AJ68" s="12"/>
      <c r="AK68" s="12"/>
      <c r="AL68" s="18"/>
      <c r="AX68" s="17">
        <v>63</v>
      </c>
    </row>
    <row r="69" spans="1:50" s="17" customFormat="1" ht="13.5" x14ac:dyDescent="0.25">
      <c r="A69" s="19" t="s">
        <v>658</v>
      </c>
      <c r="B69" s="19"/>
      <c r="C69" s="19"/>
      <c r="D69" s="19" t="s">
        <v>349</v>
      </c>
      <c r="E69" s="68">
        <f>HFB.GMAP!$E$6</f>
        <v>-1.209746475439033E-5</v>
      </c>
      <c r="F69" s="19"/>
      <c r="G69" s="19"/>
      <c r="H69" s="19"/>
      <c r="I69" s="19">
        <v>10</v>
      </c>
      <c r="J69" s="19"/>
      <c r="K69" s="68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>
        <v>1</v>
      </c>
      <c r="X69" s="20"/>
      <c r="Y69" s="19"/>
      <c r="Z69" s="19"/>
      <c r="AA69" s="19"/>
      <c r="AB69" s="13"/>
      <c r="AC69" s="13"/>
      <c r="AD69" s="13"/>
      <c r="AE69" s="13"/>
      <c r="AF69" s="18">
        <v>1</v>
      </c>
      <c r="AG69" s="12"/>
      <c r="AH69" s="12"/>
      <c r="AI69" s="12"/>
      <c r="AJ69" s="12"/>
      <c r="AK69" s="12"/>
      <c r="AL69" s="18"/>
      <c r="AX69" s="17">
        <v>64</v>
      </c>
    </row>
    <row r="70" spans="1:50" s="17" customFormat="1" ht="13.5" x14ac:dyDescent="0.25">
      <c r="A70" s="19" t="s">
        <v>659</v>
      </c>
      <c r="B70" s="19"/>
      <c r="C70" s="19"/>
      <c r="D70" s="19" t="s">
        <v>349</v>
      </c>
      <c r="E70" s="68">
        <f>HFB.GMAP!$E$7</f>
        <v>3.0305433107891133E-4</v>
      </c>
      <c r="F70" s="19"/>
      <c r="G70" s="19"/>
      <c r="H70" s="19"/>
      <c r="I70" s="19">
        <v>10</v>
      </c>
      <c r="J70" s="19"/>
      <c r="K70" s="68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>
        <v>1</v>
      </c>
      <c r="X70" s="20"/>
      <c r="Y70" s="19"/>
      <c r="Z70" s="19"/>
      <c r="AA70" s="19"/>
      <c r="AB70" s="13"/>
      <c r="AC70" s="13"/>
      <c r="AD70" s="13"/>
      <c r="AE70" s="13"/>
      <c r="AF70" s="18">
        <v>1</v>
      </c>
      <c r="AG70" s="12"/>
      <c r="AH70" s="12"/>
      <c r="AI70" s="12"/>
      <c r="AJ70" s="12"/>
      <c r="AK70" s="12"/>
      <c r="AL70" s="18"/>
      <c r="AX70" s="17">
        <v>65</v>
      </c>
    </row>
    <row r="71" spans="1:50" s="17" customFormat="1" ht="13.5" x14ac:dyDescent="0.25">
      <c r="A71" s="19" t="s">
        <v>660</v>
      </c>
      <c r="B71" s="19"/>
      <c r="C71" s="19"/>
      <c r="D71" s="19" t="s">
        <v>349</v>
      </c>
      <c r="E71" s="68">
        <f>HFB.GMAP!$E$8</f>
        <v>2.3368314624505615E-4</v>
      </c>
      <c r="F71" s="19"/>
      <c r="G71" s="19"/>
      <c r="H71" s="19"/>
      <c r="I71" s="19">
        <v>10</v>
      </c>
      <c r="J71" s="19"/>
      <c r="K71" s="68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>
        <v>1</v>
      </c>
      <c r="X71" s="20"/>
      <c r="Y71" s="19"/>
      <c r="Z71" s="19"/>
      <c r="AA71" s="19"/>
      <c r="AB71" s="13"/>
      <c r="AC71" s="13"/>
      <c r="AD71" s="13"/>
      <c r="AE71" s="13"/>
      <c r="AF71" s="18">
        <v>1</v>
      </c>
      <c r="AG71" s="12"/>
      <c r="AH71" s="12"/>
      <c r="AI71" s="12"/>
      <c r="AJ71" s="12"/>
      <c r="AK71" s="12"/>
      <c r="AL71" s="18"/>
      <c r="AX71" s="17">
        <v>66</v>
      </c>
    </row>
    <row r="72" spans="1:50" s="17" customFormat="1" ht="13.5" x14ac:dyDescent="0.25">
      <c r="A72" s="19" t="s">
        <v>661</v>
      </c>
      <c r="B72" s="19"/>
      <c r="C72" s="19"/>
      <c r="D72" s="19" t="s">
        <v>349</v>
      </c>
      <c r="E72" s="68">
        <f>HFB.GMAP!$E$9</f>
        <v>-3.020472329300361E-4</v>
      </c>
      <c r="F72" s="19"/>
      <c r="G72" s="19"/>
      <c r="H72" s="19"/>
      <c r="I72" s="19">
        <v>10</v>
      </c>
      <c r="J72" s="19"/>
      <c r="K72" s="68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>
        <v>1</v>
      </c>
      <c r="X72" s="20"/>
      <c r="Y72" s="19"/>
      <c r="Z72" s="19"/>
      <c r="AA72" s="19"/>
      <c r="AB72" s="13"/>
      <c r="AC72" s="13"/>
      <c r="AD72" s="13"/>
      <c r="AE72" s="13"/>
      <c r="AF72" s="18">
        <v>1</v>
      </c>
      <c r="AG72" s="12"/>
      <c r="AH72" s="12"/>
      <c r="AI72" s="12"/>
      <c r="AJ72" s="12"/>
      <c r="AK72" s="12"/>
      <c r="AL72" s="18"/>
      <c r="AX72" s="17">
        <v>67</v>
      </c>
    </row>
    <row r="73" spans="1:50" s="17" customFormat="1" ht="13.5" x14ac:dyDescent="0.25">
      <c r="A73" s="19" t="s">
        <v>1511</v>
      </c>
      <c r="B73" s="19"/>
      <c r="C73" s="19"/>
      <c r="D73" s="19" t="s">
        <v>349</v>
      </c>
      <c r="E73" s="68">
        <f>HFB.GMAP!$E$10</f>
        <v>-3.2301094826436838E-5</v>
      </c>
      <c r="F73" s="19"/>
      <c r="G73" s="19"/>
      <c r="H73" s="19"/>
      <c r="I73" s="19">
        <v>10</v>
      </c>
      <c r="J73" s="19"/>
      <c r="K73" s="68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>
        <v>1</v>
      </c>
      <c r="X73" s="20"/>
      <c r="Y73" s="19"/>
      <c r="Z73" s="19"/>
      <c r="AA73" s="19"/>
      <c r="AB73" s="13"/>
      <c r="AC73" s="13"/>
      <c r="AD73" s="13"/>
      <c r="AE73" s="13"/>
      <c r="AF73" s="18">
        <v>1</v>
      </c>
      <c r="AG73" s="12"/>
      <c r="AH73" s="12"/>
      <c r="AI73" s="12"/>
      <c r="AJ73" s="12"/>
      <c r="AK73" s="12"/>
      <c r="AL73" s="18"/>
      <c r="AX73" s="17">
        <v>68</v>
      </c>
    </row>
    <row r="74" spans="1:50" s="17" customFormat="1" ht="13.5" x14ac:dyDescent="0.25">
      <c r="A74" s="19" t="s">
        <v>553</v>
      </c>
      <c r="B74" s="19"/>
      <c r="C74" s="19"/>
      <c r="D74" s="19" t="s">
        <v>349</v>
      </c>
      <c r="E74" s="68">
        <f>HFB.GMAP!$E$11</f>
        <v>48.707373976246025</v>
      </c>
      <c r="F74" s="19"/>
      <c r="G74" s="19"/>
      <c r="H74" s="19"/>
      <c r="I74" s="19">
        <v>0</v>
      </c>
      <c r="J74" s="68">
        <f>HFB.GMAP!$E$11</f>
        <v>48.707373976246025</v>
      </c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>
        <v>1</v>
      </c>
      <c r="X74" s="20"/>
      <c r="Y74" s="19"/>
      <c r="Z74" s="19"/>
      <c r="AA74" s="19"/>
      <c r="AB74" s="13"/>
      <c r="AC74" s="13"/>
      <c r="AD74" s="13"/>
      <c r="AE74" s="13"/>
      <c r="AF74" s="18">
        <v>0</v>
      </c>
      <c r="AG74" s="12"/>
      <c r="AH74" s="12"/>
      <c r="AI74" s="12"/>
      <c r="AJ74" s="12"/>
      <c r="AK74" s="12"/>
      <c r="AL74" s="18"/>
      <c r="AX74" s="17">
        <v>69</v>
      </c>
    </row>
    <row r="75" spans="1:50" s="17" customFormat="1" ht="13.5" x14ac:dyDescent="0.25">
      <c r="A75" s="19" t="s">
        <v>549</v>
      </c>
      <c r="B75" s="19"/>
      <c r="C75" s="19"/>
      <c r="D75" s="19" t="s">
        <v>349</v>
      </c>
      <c r="E75" s="68">
        <f>HFB.GMAP!$E$12</f>
        <v>0.83331594270501674</v>
      </c>
      <c r="F75" s="19"/>
      <c r="G75" s="19"/>
      <c r="H75" s="19"/>
      <c r="I75" s="19">
        <v>0</v>
      </c>
      <c r="J75" s="68">
        <f>HFB.GMAP!$E$12</f>
        <v>0.83331594270501674</v>
      </c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>
        <v>1</v>
      </c>
      <c r="X75" s="20"/>
      <c r="Y75" s="19"/>
      <c r="Z75" s="19"/>
      <c r="AA75" s="19"/>
      <c r="AB75" s="13"/>
      <c r="AC75" s="13"/>
      <c r="AD75" s="13"/>
      <c r="AE75" s="13"/>
      <c r="AF75" s="18">
        <v>0</v>
      </c>
      <c r="AG75" s="12"/>
      <c r="AH75" s="12"/>
      <c r="AI75" s="12"/>
      <c r="AJ75" s="12"/>
      <c r="AK75" s="12"/>
      <c r="AL75" s="18"/>
      <c r="AX75" s="17">
        <v>70</v>
      </c>
    </row>
    <row r="76" spans="1:50" s="17" customFormat="1" ht="13.5" x14ac:dyDescent="0.25">
      <c r="A76" s="19" t="s">
        <v>552</v>
      </c>
      <c r="B76" s="19"/>
      <c r="C76" s="19"/>
      <c r="D76" s="19" t="s">
        <v>349</v>
      </c>
      <c r="E76" s="68">
        <f>HFB.GMAP!$E$13</f>
        <v>5906.5222525248519</v>
      </c>
      <c r="F76" s="19"/>
      <c r="G76" s="19"/>
      <c r="H76" s="19"/>
      <c r="I76" s="19">
        <v>0</v>
      </c>
      <c r="J76" s="68">
        <f>HFB.GMAP!$E$13</f>
        <v>5906.5222525248519</v>
      </c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>
        <v>1</v>
      </c>
      <c r="X76" s="20"/>
      <c r="Y76" s="19"/>
      <c r="Z76" s="19"/>
      <c r="AA76" s="19"/>
      <c r="AB76" s="13"/>
      <c r="AC76" s="13"/>
      <c r="AD76" s="13"/>
      <c r="AE76" s="13"/>
      <c r="AF76" s="18">
        <v>0</v>
      </c>
      <c r="AG76" s="12"/>
      <c r="AH76" s="12"/>
      <c r="AI76" s="12"/>
      <c r="AJ76" s="12"/>
      <c r="AK76" s="12"/>
      <c r="AL76" s="18"/>
      <c r="AX76" s="17">
        <v>71</v>
      </c>
    </row>
    <row r="77" spans="1:50" s="17" customFormat="1" ht="13.5" x14ac:dyDescent="0.25">
      <c r="A77" s="19" t="s">
        <v>548</v>
      </c>
      <c r="B77" s="19"/>
      <c r="C77" s="19"/>
      <c r="D77" s="19" t="s">
        <v>349</v>
      </c>
      <c r="E77" s="68">
        <f>HFB.GMAP!$E$14</f>
        <v>814.97119009252447</v>
      </c>
      <c r="F77" s="19"/>
      <c r="G77" s="19"/>
      <c r="H77" s="19"/>
      <c r="I77" s="19">
        <v>0</v>
      </c>
      <c r="J77" s="68">
        <f>HFB.GMAP!$E$14</f>
        <v>814.97119009252447</v>
      </c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>
        <v>1</v>
      </c>
      <c r="X77" s="20"/>
      <c r="Y77" s="19"/>
      <c r="Z77" s="19"/>
      <c r="AA77" s="19"/>
      <c r="AB77" s="13"/>
      <c r="AC77" s="13"/>
      <c r="AD77" s="13"/>
      <c r="AE77" s="13"/>
      <c r="AF77" s="18">
        <v>0</v>
      </c>
      <c r="AG77" s="12"/>
      <c r="AH77" s="12"/>
      <c r="AI77" s="12"/>
      <c r="AJ77" s="12"/>
      <c r="AK77" s="12"/>
      <c r="AL77" s="18"/>
      <c r="AX77" s="17">
        <v>72</v>
      </c>
    </row>
    <row r="78" spans="1:50" s="17" customFormat="1" ht="13.5" x14ac:dyDescent="0.25">
      <c r="A78" s="19" t="s">
        <v>550</v>
      </c>
      <c r="B78" s="19"/>
      <c r="C78" s="19"/>
      <c r="D78" s="19" t="s">
        <v>349</v>
      </c>
      <c r="E78" s="68">
        <f>HFB.GMAP!$E$15</f>
        <v>46.417472948368165</v>
      </c>
      <c r="F78" s="19"/>
      <c r="G78" s="19"/>
      <c r="H78" s="19"/>
      <c r="I78" s="19">
        <v>0</v>
      </c>
      <c r="J78" s="68">
        <f>HFB.GMAP!$E$15</f>
        <v>46.417472948368165</v>
      </c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>
        <v>1</v>
      </c>
      <c r="X78" s="20"/>
      <c r="Y78" s="19"/>
      <c r="Z78" s="19"/>
      <c r="AA78" s="19"/>
      <c r="AB78" s="13"/>
      <c r="AC78" s="13"/>
      <c r="AD78" s="13"/>
      <c r="AE78" s="13"/>
      <c r="AF78" s="18">
        <v>0</v>
      </c>
      <c r="AG78" s="12"/>
      <c r="AH78" s="12"/>
      <c r="AI78" s="12"/>
      <c r="AJ78" s="12"/>
      <c r="AK78" s="12"/>
      <c r="AL78" s="18"/>
      <c r="AX78" s="17">
        <v>73</v>
      </c>
    </row>
    <row r="79" spans="1:50" s="17" customFormat="1" ht="13.5" x14ac:dyDescent="0.25">
      <c r="A79" s="19" t="s">
        <v>551</v>
      </c>
      <c r="B79" s="19"/>
      <c r="C79" s="19"/>
      <c r="D79" s="19" t="s">
        <v>349</v>
      </c>
      <c r="E79" s="68">
        <f>HFB.GMAP!$E$16</f>
        <v>151.5331194774931</v>
      </c>
      <c r="F79" s="19"/>
      <c r="G79" s="19"/>
      <c r="H79" s="19"/>
      <c r="I79" s="19">
        <v>0</v>
      </c>
      <c r="J79" s="68">
        <f>HFB.GMAP!$E$16</f>
        <v>151.5331194774931</v>
      </c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>
        <v>1</v>
      </c>
      <c r="X79" s="20"/>
      <c r="Y79" s="19"/>
      <c r="Z79" s="19"/>
      <c r="AA79" s="19"/>
      <c r="AB79" s="13"/>
      <c r="AC79" s="13"/>
      <c r="AD79" s="13"/>
      <c r="AE79" s="13"/>
      <c r="AF79" s="18">
        <v>0</v>
      </c>
      <c r="AG79" s="12"/>
      <c r="AH79" s="12"/>
      <c r="AI79" s="12"/>
      <c r="AJ79" s="12"/>
      <c r="AK79" s="12"/>
      <c r="AL79" s="18"/>
      <c r="AX79" s="17">
        <v>74</v>
      </c>
    </row>
    <row r="80" spans="1:50" s="17" customFormat="1" ht="13.5" x14ac:dyDescent="0.25">
      <c r="A80" s="19" t="s">
        <v>1503</v>
      </c>
      <c r="B80" s="19"/>
      <c r="C80" s="19"/>
      <c r="D80" s="19" t="s">
        <v>349</v>
      </c>
      <c r="E80" s="68">
        <f>HFB.GMAP!$E$17</f>
        <v>45.000000417205491</v>
      </c>
      <c r="F80" s="19"/>
      <c r="G80" s="19"/>
      <c r="H80" s="19"/>
      <c r="I80" s="19">
        <v>10</v>
      </c>
      <c r="J80" s="68">
        <f>HFB.GMAP!$E$17</f>
        <v>45.000000417205491</v>
      </c>
      <c r="K80" s="68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>
        <v>1</v>
      </c>
      <c r="X80" s="20"/>
      <c r="Y80" s="19"/>
      <c r="Z80" s="19"/>
      <c r="AA80" s="19"/>
      <c r="AB80" s="13"/>
      <c r="AC80" s="13"/>
      <c r="AD80" s="13"/>
      <c r="AE80" s="13"/>
      <c r="AF80" s="18">
        <v>0</v>
      </c>
      <c r="AG80" s="12"/>
      <c r="AH80" s="12"/>
      <c r="AI80" s="12"/>
      <c r="AJ80" s="12"/>
      <c r="AK80" s="12"/>
      <c r="AL80" s="18"/>
      <c r="AX80" s="17">
        <v>75</v>
      </c>
    </row>
    <row r="81" spans="1:50" s="17" customFormat="1" ht="13.5" x14ac:dyDescent="0.25">
      <c r="A81" s="19" t="s">
        <v>1497</v>
      </c>
      <c r="B81" s="19"/>
      <c r="C81" s="19"/>
      <c r="D81" s="19" t="s">
        <v>349</v>
      </c>
      <c r="E81" s="68">
        <f>HFB.GMAP!$E$18</f>
        <v>0.79911882830025649</v>
      </c>
      <c r="F81" s="19"/>
      <c r="G81" s="19"/>
      <c r="H81" s="19"/>
      <c r="I81" s="19">
        <v>10</v>
      </c>
      <c r="J81" s="68">
        <f>HFB.GMAP!$E$18</f>
        <v>0.79911882830025649</v>
      </c>
      <c r="K81" s="68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>
        <v>1</v>
      </c>
      <c r="X81" s="20"/>
      <c r="Y81" s="19"/>
      <c r="Z81" s="19"/>
      <c r="AA81" s="19"/>
      <c r="AB81" s="13"/>
      <c r="AC81" s="13"/>
      <c r="AD81" s="13"/>
      <c r="AE81" s="13"/>
      <c r="AF81" s="18">
        <v>0</v>
      </c>
      <c r="AG81" s="12"/>
      <c r="AH81" s="12"/>
      <c r="AI81" s="12"/>
      <c r="AJ81" s="12"/>
      <c r="AK81" s="12"/>
      <c r="AL81" s="18"/>
      <c r="AX81" s="17">
        <v>76</v>
      </c>
    </row>
    <row r="82" spans="1:50" s="17" customFormat="1" ht="13.5" x14ac:dyDescent="0.25">
      <c r="A82" s="19" t="s">
        <v>1501</v>
      </c>
      <c r="B82" s="19"/>
      <c r="C82" s="19"/>
      <c r="D82" s="19" t="s">
        <v>349</v>
      </c>
      <c r="E82" s="68">
        <f>HFB.GMAP!$E$19</f>
        <v>10000.000005201506</v>
      </c>
      <c r="F82" s="19"/>
      <c r="G82" s="19"/>
      <c r="H82" s="19"/>
      <c r="I82" s="19">
        <v>10</v>
      </c>
      <c r="J82" s="68">
        <f>HFB.GMAP!$E$19</f>
        <v>10000.000005201506</v>
      </c>
      <c r="K82" s="68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>
        <v>1</v>
      </c>
      <c r="X82" s="20"/>
      <c r="Y82" s="19"/>
      <c r="Z82" s="19"/>
      <c r="AA82" s="19"/>
      <c r="AB82" s="13"/>
      <c r="AC82" s="13"/>
      <c r="AD82" s="13"/>
      <c r="AE82" s="13"/>
      <c r="AF82" s="18">
        <v>0</v>
      </c>
      <c r="AG82" s="12"/>
      <c r="AH82" s="12"/>
      <c r="AI82" s="12"/>
      <c r="AJ82" s="12"/>
      <c r="AK82" s="12"/>
      <c r="AL82" s="18"/>
      <c r="AX82" s="17">
        <v>77</v>
      </c>
    </row>
    <row r="83" spans="1:50" s="17" customFormat="1" ht="13.5" x14ac:dyDescent="0.25">
      <c r="A83" s="19" t="s">
        <v>1498</v>
      </c>
      <c r="B83" s="19"/>
      <c r="C83" s="19"/>
      <c r="D83" s="19" t="s">
        <v>349</v>
      </c>
      <c r="E83" s="68">
        <f>HFB.GMAP!$E$20</f>
        <v>571.99999947174274</v>
      </c>
      <c r="F83" s="19"/>
      <c r="G83" s="19"/>
      <c r="H83" s="19"/>
      <c r="I83" s="19">
        <v>10</v>
      </c>
      <c r="J83" s="68">
        <f>HFB.GMAP!$E$20</f>
        <v>571.99999947174274</v>
      </c>
      <c r="K83" s="68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>
        <v>1</v>
      </c>
      <c r="X83" s="20"/>
      <c r="Y83" s="19"/>
      <c r="Z83" s="19"/>
      <c r="AA83" s="19"/>
      <c r="AB83" s="13"/>
      <c r="AC83" s="13"/>
      <c r="AD83" s="13"/>
      <c r="AE83" s="13"/>
      <c r="AF83" s="18">
        <v>0</v>
      </c>
      <c r="AG83" s="12"/>
      <c r="AH83" s="12"/>
      <c r="AI83" s="12"/>
      <c r="AJ83" s="12"/>
      <c r="AK83" s="12"/>
      <c r="AL83" s="18"/>
      <c r="AX83" s="17">
        <v>78</v>
      </c>
    </row>
    <row r="84" spans="1:50" s="17" customFormat="1" ht="13.5" x14ac:dyDescent="0.25">
      <c r="A84" s="19" t="s">
        <v>1499</v>
      </c>
      <c r="B84" s="19"/>
      <c r="C84" s="19"/>
      <c r="D84" s="19" t="s">
        <v>349</v>
      </c>
      <c r="E84" s="68">
        <f>HFB.GMAP!$E$21</f>
        <v>679.99999908533357</v>
      </c>
      <c r="F84" s="19"/>
      <c r="G84" s="19"/>
      <c r="H84" s="19"/>
      <c r="I84" s="19">
        <v>10</v>
      </c>
      <c r="J84" s="68">
        <f>HFB.GMAP!$E$21</f>
        <v>679.99999908533357</v>
      </c>
      <c r="K84" s="68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>
        <v>1</v>
      </c>
      <c r="X84" s="20"/>
      <c r="Y84" s="19"/>
      <c r="Z84" s="19"/>
      <c r="AA84" s="19"/>
      <c r="AB84" s="13"/>
      <c r="AC84" s="13"/>
      <c r="AD84" s="13"/>
      <c r="AE84" s="13"/>
      <c r="AF84" s="18">
        <v>0</v>
      </c>
      <c r="AG84" s="12"/>
      <c r="AH84" s="12"/>
      <c r="AI84" s="12"/>
      <c r="AJ84" s="12"/>
      <c r="AK84" s="12"/>
      <c r="AL84" s="18"/>
      <c r="AX84" s="17">
        <v>79</v>
      </c>
    </row>
    <row r="85" spans="1:50" s="17" customFormat="1" ht="13.5" x14ac:dyDescent="0.25">
      <c r="A85" s="19" t="s">
        <v>1500</v>
      </c>
      <c r="B85" s="19"/>
      <c r="C85" s="19"/>
      <c r="D85" s="19" t="s">
        <v>349</v>
      </c>
      <c r="E85" s="68">
        <f>HFB.GMAP!$E$22</f>
        <v>31.999999718462142</v>
      </c>
      <c r="F85" s="19"/>
      <c r="G85" s="19"/>
      <c r="H85" s="19"/>
      <c r="I85" s="19">
        <v>10</v>
      </c>
      <c r="J85" s="68">
        <f>HFB.GMAP!$E$22</f>
        <v>31.999999718462142</v>
      </c>
      <c r="K85" s="68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>
        <v>1</v>
      </c>
      <c r="X85" s="20"/>
      <c r="Y85" s="19"/>
      <c r="Z85" s="19"/>
      <c r="AA85" s="19"/>
      <c r="AB85" s="13"/>
      <c r="AC85" s="13"/>
      <c r="AD85" s="13"/>
      <c r="AE85" s="13"/>
      <c r="AF85" s="18">
        <v>0</v>
      </c>
      <c r="AG85" s="12"/>
      <c r="AH85" s="12"/>
      <c r="AI85" s="12"/>
      <c r="AJ85" s="12"/>
      <c r="AK85" s="12"/>
      <c r="AL85" s="18"/>
      <c r="AX85" s="17">
        <v>80</v>
      </c>
    </row>
    <row r="86" spans="1:50" s="17" customFormat="1" ht="13.5" x14ac:dyDescent="0.25">
      <c r="A86" s="19" t="s">
        <v>1502</v>
      </c>
      <c r="B86" s="19"/>
      <c r="C86" s="19"/>
      <c r="D86" s="19" t="s">
        <v>349</v>
      </c>
      <c r="E86" s="68">
        <f>HFB.GMAP!$E$23</f>
        <v>161.59999793764459</v>
      </c>
      <c r="F86" s="19"/>
      <c r="G86" s="19"/>
      <c r="H86" s="19"/>
      <c r="I86" s="19">
        <v>10</v>
      </c>
      <c r="J86" s="68">
        <f>HFB.GMAP!$E$23</f>
        <v>161.59999793764459</v>
      </c>
      <c r="K86" s="68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>
        <v>1</v>
      </c>
      <c r="X86" s="20"/>
      <c r="Y86" s="19"/>
      <c r="Z86" s="19"/>
      <c r="AA86" s="19"/>
      <c r="AB86" s="13"/>
      <c r="AC86" s="13"/>
      <c r="AD86" s="13"/>
      <c r="AE86" s="13"/>
      <c r="AF86" s="18">
        <v>0</v>
      </c>
      <c r="AG86" s="12"/>
      <c r="AH86" s="12"/>
      <c r="AI86" s="12"/>
      <c r="AJ86" s="12"/>
      <c r="AK86" s="12"/>
      <c r="AL86" s="18"/>
      <c r="AX86" s="17">
        <v>81</v>
      </c>
    </row>
    <row r="87" spans="1:50" s="17" customFormat="1" ht="13.5" x14ac:dyDescent="0.25">
      <c r="A87" s="19" t="s">
        <v>672</v>
      </c>
      <c r="B87" s="19"/>
      <c r="C87" s="19"/>
      <c r="D87" s="19" t="s">
        <v>349</v>
      </c>
      <c r="E87" s="68">
        <f>HFB.GDOT!$E$6</f>
        <v>-3.9555914099764777E-11</v>
      </c>
      <c r="F87" s="19"/>
      <c r="G87" s="19"/>
      <c r="H87" s="19"/>
      <c r="I87" s="19">
        <v>10</v>
      </c>
      <c r="J87" s="19"/>
      <c r="K87" s="68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>
        <v>1</v>
      </c>
      <c r="X87" s="20"/>
      <c r="Y87" s="19"/>
      <c r="Z87" s="19"/>
      <c r="AA87" s="19"/>
      <c r="AB87" s="13"/>
      <c r="AC87" s="13"/>
      <c r="AD87" s="13"/>
      <c r="AE87" s="13"/>
      <c r="AF87" s="18">
        <v>1</v>
      </c>
      <c r="AG87" s="12"/>
      <c r="AH87" s="12"/>
      <c r="AI87" s="12"/>
      <c r="AJ87" s="12"/>
      <c r="AK87" s="12"/>
      <c r="AL87" s="18"/>
      <c r="AX87" s="17">
        <v>82</v>
      </c>
    </row>
    <row r="88" spans="1:50" s="17" customFormat="1" ht="13.5" x14ac:dyDescent="0.25">
      <c r="A88" s="19" t="s">
        <v>673</v>
      </c>
      <c r="B88" s="19"/>
      <c r="C88" s="19"/>
      <c r="D88" s="19" t="s">
        <v>349</v>
      </c>
      <c r="E88" s="68">
        <f>HFB.GDOT!$E$7</f>
        <v>-6.5402127802371979E-7</v>
      </c>
      <c r="F88" s="19"/>
      <c r="G88" s="19"/>
      <c r="H88" s="19"/>
      <c r="I88" s="19">
        <v>10</v>
      </c>
      <c r="J88" s="19"/>
      <c r="K88" s="68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>
        <v>1</v>
      </c>
      <c r="X88" s="20"/>
      <c r="Y88" s="19"/>
      <c r="Z88" s="19"/>
      <c r="AA88" s="19"/>
      <c r="AB88" s="13"/>
      <c r="AC88" s="13"/>
      <c r="AD88" s="13"/>
      <c r="AE88" s="13"/>
      <c r="AF88" s="18">
        <v>1</v>
      </c>
      <c r="AG88" s="12"/>
      <c r="AH88" s="12"/>
      <c r="AI88" s="12"/>
      <c r="AJ88" s="12"/>
      <c r="AK88" s="12"/>
      <c r="AL88" s="18"/>
      <c r="AX88" s="17">
        <v>83</v>
      </c>
    </row>
    <row r="89" spans="1:50" s="17" customFormat="1" ht="13.5" x14ac:dyDescent="0.25">
      <c r="A89" s="19" t="s">
        <v>674</v>
      </c>
      <c r="B89" s="19"/>
      <c r="C89" s="19"/>
      <c r="D89" s="19" t="s">
        <v>349</v>
      </c>
      <c r="E89" s="68">
        <f>HFB.GDOT!$E$8</f>
        <v>1.9950675778090954E-7</v>
      </c>
      <c r="F89" s="19"/>
      <c r="G89" s="19"/>
      <c r="H89" s="19"/>
      <c r="I89" s="19">
        <v>10</v>
      </c>
      <c r="J89" s="19"/>
      <c r="K89" s="68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>
        <v>1</v>
      </c>
      <c r="X89" s="20"/>
      <c r="Y89" s="19"/>
      <c r="Z89" s="19"/>
      <c r="AA89" s="19"/>
      <c r="AB89" s="13"/>
      <c r="AC89" s="13"/>
      <c r="AD89" s="13"/>
      <c r="AE89" s="13"/>
      <c r="AF89" s="18">
        <v>1</v>
      </c>
      <c r="AG89" s="12"/>
      <c r="AH89" s="12"/>
      <c r="AI89" s="12"/>
      <c r="AJ89" s="12"/>
      <c r="AK89" s="12"/>
      <c r="AL89" s="18"/>
      <c r="AX89" s="17">
        <v>84</v>
      </c>
    </row>
    <row r="90" spans="1:50" s="17" customFormat="1" ht="13.5" x14ac:dyDescent="0.25">
      <c r="A90" s="19" t="s">
        <v>675</v>
      </c>
      <c r="B90" s="19"/>
      <c r="C90" s="19"/>
      <c r="D90" s="19" t="s">
        <v>349</v>
      </c>
      <c r="E90" s="68">
        <f>HFB.GDOT!$E$9</f>
        <v>-1.5102909856068436E-7</v>
      </c>
      <c r="F90" s="19"/>
      <c r="G90" s="19"/>
      <c r="H90" s="19"/>
      <c r="I90" s="19">
        <v>10</v>
      </c>
      <c r="J90" s="19"/>
      <c r="K90" s="68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>
        <v>1</v>
      </c>
      <c r="X90" s="20"/>
      <c r="Y90" s="19"/>
      <c r="Z90" s="19"/>
      <c r="AA90" s="19"/>
      <c r="AB90" s="13"/>
      <c r="AC90" s="13"/>
      <c r="AD90" s="13"/>
      <c r="AE90" s="13"/>
      <c r="AF90" s="18">
        <v>1</v>
      </c>
      <c r="AG90" s="12"/>
      <c r="AH90" s="12"/>
      <c r="AI90" s="12"/>
      <c r="AJ90" s="12"/>
      <c r="AK90" s="12"/>
      <c r="AL90" s="18"/>
      <c r="AX90" s="17">
        <v>85</v>
      </c>
    </row>
    <row r="91" spans="1:50" s="17" customFormat="1" ht="13.5" x14ac:dyDescent="0.25">
      <c r="A91" s="19" t="s">
        <v>676</v>
      </c>
      <c r="B91" s="19"/>
      <c r="C91" s="19"/>
      <c r="D91" s="19" t="s">
        <v>349</v>
      </c>
      <c r="E91" s="68">
        <f>HFB.GDOT!$E$10</f>
        <v>-9.5216364570660517E-8</v>
      </c>
      <c r="F91" s="19"/>
      <c r="G91" s="19"/>
      <c r="H91" s="19"/>
      <c r="I91" s="19">
        <v>10</v>
      </c>
      <c r="J91" s="19"/>
      <c r="K91" s="68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>
        <v>1</v>
      </c>
      <c r="X91" s="20"/>
      <c r="Y91" s="19"/>
      <c r="Z91" s="19"/>
      <c r="AA91" s="19"/>
      <c r="AB91" s="13"/>
      <c r="AC91" s="13"/>
      <c r="AD91" s="13"/>
      <c r="AE91" s="13"/>
      <c r="AF91" s="18">
        <v>1</v>
      </c>
      <c r="AG91" s="12"/>
      <c r="AH91" s="12"/>
      <c r="AI91" s="12"/>
      <c r="AJ91" s="12"/>
      <c r="AK91" s="12"/>
      <c r="AL91" s="18"/>
      <c r="AX91" s="17">
        <v>86</v>
      </c>
    </row>
    <row r="92" spans="1:50" s="17" customFormat="1" ht="13.5" x14ac:dyDescent="0.25">
      <c r="A92" s="19" t="s">
        <v>677</v>
      </c>
      <c r="B92" s="19"/>
      <c r="C92" s="19"/>
      <c r="D92" s="19" t="s">
        <v>349</v>
      </c>
      <c r="E92" s="68">
        <f>HFB.GDOT!$E$11</f>
        <v>-3.3988180803135037E-7</v>
      </c>
      <c r="F92" s="19"/>
      <c r="G92" s="19"/>
      <c r="H92" s="19"/>
      <c r="I92" s="19">
        <v>10</v>
      </c>
      <c r="J92" s="19"/>
      <c r="K92" s="68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>
        <v>1</v>
      </c>
      <c r="X92" s="20"/>
      <c r="Y92" s="19"/>
      <c r="Z92" s="19"/>
      <c r="AA92" s="19"/>
      <c r="AB92" s="13"/>
      <c r="AC92" s="13"/>
      <c r="AD92" s="13"/>
      <c r="AE92" s="13"/>
      <c r="AF92" s="18">
        <v>1</v>
      </c>
      <c r="AG92" s="12"/>
      <c r="AH92" s="12"/>
      <c r="AI92" s="12"/>
      <c r="AJ92" s="12"/>
      <c r="AK92" s="12"/>
      <c r="AL92" s="18"/>
      <c r="AX92" s="17">
        <v>87</v>
      </c>
    </row>
    <row r="93" spans="1:50" s="17" customFormat="1" ht="13.5" x14ac:dyDescent="0.25">
      <c r="A93" s="19" t="s">
        <v>1767</v>
      </c>
      <c r="B93" s="19"/>
      <c r="C93" s="19"/>
      <c r="D93" s="19" t="s">
        <v>349</v>
      </c>
      <c r="E93" s="72">
        <f>HFB.GDOT!$E$12</f>
        <v>-1.0673556971596554E-7</v>
      </c>
      <c r="F93" s="19"/>
      <c r="G93" s="19"/>
      <c r="H93" s="19"/>
      <c r="I93" s="19">
        <v>10</v>
      </c>
      <c r="J93" s="19"/>
      <c r="K93" s="72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20"/>
      <c r="Y93" s="19"/>
      <c r="Z93" s="19"/>
      <c r="AA93" s="19"/>
      <c r="AB93" s="13"/>
      <c r="AC93" s="13"/>
      <c r="AD93" s="13"/>
      <c r="AE93" s="13"/>
      <c r="AF93" s="18">
        <v>1</v>
      </c>
      <c r="AG93" s="12"/>
      <c r="AH93" s="12"/>
      <c r="AI93" s="12"/>
      <c r="AJ93" s="12"/>
      <c r="AK93" s="12"/>
      <c r="AL93" s="18"/>
      <c r="AX93" s="17">
        <v>88</v>
      </c>
    </row>
    <row r="94" spans="1:50" s="17" customFormat="1" ht="13.5" x14ac:dyDescent="0.25">
      <c r="A94" s="19" t="s">
        <v>678</v>
      </c>
      <c r="B94" s="19"/>
      <c r="C94" s="19"/>
      <c r="D94" s="19" t="s">
        <v>349</v>
      </c>
      <c r="E94" s="68" t="e">
        <f ca="1">HFB.GDOT!$E$13</f>
        <v>#NAME?</v>
      </c>
      <c r="F94" s="19"/>
      <c r="G94" s="19"/>
      <c r="H94" s="19"/>
      <c r="I94" s="19">
        <v>10</v>
      </c>
      <c r="J94" s="19"/>
      <c r="K94" s="68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>
        <v>1</v>
      </c>
      <c r="X94" s="20"/>
      <c r="Y94" s="19"/>
      <c r="Z94" s="19"/>
      <c r="AA94" s="19"/>
      <c r="AB94" s="13"/>
      <c r="AC94" s="13"/>
      <c r="AD94" s="13"/>
      <c r="AE94" s="13"/>
      <c r="AF94" s="18">
        <v>1</v>
      </c>
      <c r="AG94" s="12"/>
      <c r="AH94" s="12"/>
      <c r="AI94" s="12"/>
      <c r="AJ94" s="12"/>
      <c r="AK94" s="12"/>
      <c r="AL94" s="18"/>
      <c r="AX94" s="17">
        <v>89</v>
      </c>
    </row>
    <row r="95" spans="1:50" s="17" customFormat="1" ht="13.5" x14ac:dyDescent="0.25">
      <c r="A95" s="19" t="s">
        <v>679</v>
      </c>
      <c r="B95" s="19"/>
      <c r="C95" s="19"/>
      <c r="D95" s="19" t="s">
        <v>349</v>
      </c>
      <c r="E95" s="68" t="e">
        <f ca="1">HFB.GDOT!$E$14</f>
        <v>#NAME?</v>
      </c>
      <c r="F95" s="19"/>
      <c r="G95" s="19"/>
      <c r="H95" s="19"/>
      <c r="I95" s="19">
        <v>10</v>
      </c>
      <c r="J95" s="19"/>
      <c r="K95" s="68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>
        <v>1</v>
      </c>
      <c r="X95" s="20"/>
      <c r="Y95" s="19"/>
      <c r="Z95" s="19"/>
      <c r="AA95" s="19"/>
      <c r="AB95" s="13"/>
      <c r="AC95" s="13"/>
      <c r="AD95" s="13"/>
      <c r="AE95" s="13"/>
      <c r="AF95" s="18">
        <v>1</v>
      </c>
      <c r="AG95" s="12"/>
      <c r="AH95" s="12"/>
      <c r="AI95" s="12"/>
      <c r="AJ95" s="12"/>
      <c r="AK95" s="12"/>
      <c r="AL95" s="18"/>
      <c r="AX95" s="17">
        <v>90</v>
      </c>
    </row>
    <row r="96" spans="1:50" s="17" customFormat="1" ht="13.5" x14ac:dyDescent="0.25">
      <c r="A96" s="19" t="s">
        <v>680</v>
      </c>
      <c r="B96" s="19"/>
      <c r="C96" s="19"/>
      <c r="D96" s="19" t="s">
        <v>349</v>
      </c>
      <c r="E96" s="68" t="e">
        <f ca="1">HFB.GDOT!$E$15</f>
        <v>#NAME?</v>
      </c>
      <c r="F96" s="19"/>
      <c r="G96" s="19"/>
      <c r="H96" s="19"/>
      <c r="I96" s="19">
        <v>10</v>
      </c>
      <c r="J96" s="19"/>
      <c r="K96" s="68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>
        <v>1</v>
      </c>
      <c r="X96" s="20"/>
      <c r="Y96" s="19"/>
      <c r="Z96" s="19"/>
      <c r="AA96" s="19"/>
      <c r="AB96" s="13"/>
      <c r="AC96" s="13"/>
      <c r="AD96" s="13"/>
      <c r="AE96" s="13"/>
      <c r="AF96" s="18">
        <v>1</v>
      </c>
      <c r="AG96" s="12"/>
      <c r="AH96" s="12"/>
      <c r="AI96" s="12"/>
      <c r="AJ96" s="12"/>
      <c r="AK96" s="12"/>
      <c r="AL96" s="18"/>
      <c r="AX96" s="17">
        <v>91</v>
      </c>
    </row>
    <row r="97" spans="1:50" s="17" customFormat="1" ht="13.5" x14ac:dyDescent="0.25">
      <c r="A97" s="19" t="s">
        <v>681</v>
      </c>
      <c r="B97" s="19"/>
      <c r="C97" s="19"/>
      <c r="D97" s="19" t="s">
        <v>349</v>
      </c>
      <c r="E97" s="68">
        <f>HFB.GDOT!$E$16</f>
        <v>-2.5704594008857384E-8</v>
      </c>
      <c r="F97" s="19"/>
      <c r="G97" s="19"/>
      <c r="H97" s="19"/>
      <c r="I97" s="19">
        <v>10</v>
      </c>
      <c r="J97" s="19"/>
      <c r="K97" s="68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>
        <v>1</v>
      </c>
      <c r="X97" s="20"/>
      <c r="Y97" s="19"/>
      <c r="Z97" s="19"/>
      <c r="AA97" s="19"/>
      <c r="AB97" s="13"/>
      <c r="AC97" s="13"/>
      <c r="AD97" s="13"/>
      <c r="AE97" s="13"/>
      <c r="AF97" s="18">
        <v>1</v>
      </c>
      <c r="AG97" s="12"/>
      <c r="AH97" s="12"/>
      <c r="AI97" s="12"/>
      <c r="AJ97" s="12"/>
      <c r="AK97" s="12"/>
      <c r="AL97" s="18"/>
      <c r="AX97" s="17">
        <v>92</v>
      </c>
    </row>
    <row r="98" spans="1:50" s="17" customFormat="1" ht="13.5" x14ac:dyDescent="0.25">
      <c r="A98" s="19" t="s">
        <v>682</v>
      </c>
      <c r="B98" s="19"/>
      <c r="C98" s="19"/>
      <c r="D98" s="19" t="s">
        <v>349</v>
      </c>
      <c r="E98" s="68">
        <f>HFB.GDOT!$E$17</f>
        <v>-4.3642560754619808E-5</v>
      </c>
      <c r="F98" s="19"/>
      <c r="G98" s="19"/>
      <c r="H98" s="19"/>
      <c r="I98" s="19">
        <v>10</v>
      </c>
      <c r="J98" s="19"/>
      <c r="K98" s="68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>
        <v>1</v>
      </c>
      <c r="X98" s="20"/>
      <c r="Y98" s="19"/>
      <c r="Z98" s="19"/>
      <c r="AA98" s="19"/>
      <c r="AB98" s="13"/>
      <c r="AC98" s="13"/>
      <c r="AD98" s="13"/>
      <c r="AE98" s="13"/>
      <c r="AF98" s="18">
        <v>1</v>
      </c>
      <c r="AG98" s="12"/>
      <c r="AH98" s="12"/>
      <c r="AI98" s="12"/>
      <c r="AJ98" s="12"/>
      <c r="AK98" s="12"/>
      <c r="AL98" s="18"/>
      <c r="AX98" s="17">
        <v>93</v>
      </c>
    </row>
    <row r="99" spans="1:50" s="17" customFormat="1" ht="13.5" x14ac:dyDescent="0.25">
      <c r="A99" s="19" t="s">
        <v>1520</v>
      </c>
      <c r="B99" s="19"/>
      <c r="C99" s="19"/>
      <c r="D99" s="19" t="s">
        <v>349</v>
      </c>
      <c r="E99" s="68" t="e">
        <f ca="1">HFB.GDOT!$E$18</f>
        <v>#NAME?</v>
      </c>
      <c r="F99" s="19"/>
      <c r="G99" s="19"/>
      <c r="H99" s="19"/>
      <c r="I99" s="19">
        <v>10</v>
      </c>
      <c r="J99" s="19"/>
      <c r="K99" s="68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>
        <v>1</v>
      </c>
      <c r="X99" s="20"/>
      <c r="Y99" s="19"/>
      <c r="Z99" s="19"/>
      <c r="AA99" s="19"/>
      <c r="AB99" s="13"/>
      <c r="AC99" s="13"/>
      <c r="AD99" s="13"/>
      <c r="AE99" s="13"/>
      <c r="AF99" s="18">
        <v>1</v>
      </c>
      <c r="AG99" s="12"/>
      <c r="AH99" s="12"/>
      <c r="AI99" s="12"/>
      <c r="AJ99" s="12"/>
      <c r="AK99" s="12"/>
      <c r="AL99" s="18"/>
      <c r="AX99" s="17">
        <v>94</v>
      </c>
    </row>
    <row r="100" spans="1:50" s="17" customFormat="1" ht="13.5" x14ac:dyDescent="0.25">
      <c r="A100" s="19" t="s">
        <v>1521</v>
      </c>
      <c r="B100" s="19"/>
      <c r="C100" s="19"/>
      <c r="D100" s="19" t="s">
        <v>349</v>
      </c>
      <c r="E100" s="68" t="e">
        <f ca="1">HFB.GDOT!$E$19</f>
        <v>#NAME?</v>
      </c>
      <c r="F100" s="19"/>
      <c r="G100" s="19"/>
      <c r="H100" s="19"/>
      <c r="I100" s="19">
        <v>10</v>
      </c>
      <c r="J100" s="19"/>
      <c r="K100" s="68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>
        <v>1</v>
      </c>
      <c r="X100" s="20"/>
      <c r="Y100" s="19"/>
      <c r="Z100" s="19"/>
      <c r="AA100" s="19"/>
      <c r="AB100" s="13"/>
      <c r="AC100" s="13"/>
      <c r="AD100" s="13"/>
      <c r="AE100" s="13"/>
      <c r="AF100" s="18">
        <v>1</v>
      </c>
      <c r="AG100" s="12"/>
      <c r="AH100" s="12"/>
      <c r="AI100" s="12"/>
      <c r="AJ100" s="12"/>
      <c r="AK100" s="12"/>
      <c r="AL100" s="18"/>
      <c r="AX100" s="17">
        <v>95</v>
      </c>
    </row>
    <row r="101" spans="1:50" s="17" customFormat="1" ht="13.5" x14ac:dyDescent="0.25">
      <c r="A101" s="19" t="s">
        <v>1522</v>
      </c>
      <c r="B101" s="19"/>
      <c r="C101" s="19"/>
      <c r="D101" s="19" t="s">
        <v>349</v>
      </c>
      <c r="E101" s="68" t="e">
        <f ca="1">HFB.GDOT!$E$20</f>
        <v>#NAME?</v>
      </c>
      <c r="F101" s="19"/>
      <c r="G101" s="19"/>
      <c r="H101" s="19"/>
      <c r="I101" s="19">
        <v>10</v>
      </c>
      <c r="J101" s="19"/>
      <c r="K101" s="68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>
        <v>1</v>
      </c>
      <c r="X101" s="20"/>
      <c r="Y101" s="19"/>
      <c r="Z101" s="19"/>
      <c r="AA101" s="19"/>
      <c r="AB101" s="13"/>
      <c r="AC101" s="13"/>
      <c r="AD101" s="13"/>
      <c r="AE101" s="13"/>
      <c r="AF101" s="18">
        <v>1</v>
      </c>
      <c r="AG101" s="12"/>
      <c r="AH101" s="12"/>
      <c r="AI101" s="12"/>
      <c r="AJ101" s="12"/>
      <c r="AK101" s="12"/>
      <c r="AL101" s="18"/>
      <c r="AX101" s="17">
        <v>96</v>
      </c>
    </row>
    <row r="102" spans="1:50" s="17" customFormat="1" ht="13.5" x14ac:dyDescent="0.25">
      <c r="A102" s="19" t="s">
        <v>1768</v>
      </c>
      <c r="B102" s="19"/>
      <c r="C102" s="19"/>
      <c r="D102" s="19" t="s">
        <v>349</v>
      </c>
      <c r="E102" s="72" t="e">
        <f ca="1">HFB.GDOT!$E$21</f>
        <v>#NAME?</v>
      </c>
      <c r="F102" s="19"/>
      <c r="G102" s="19"/>
      <c r="H102" s="19"/>
      <c r="I102" s="19">
        <v>10</v>
      </c>
      <c r="J102" s="19"/>
      <c r="K102" s="72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20"/>
      <c r="Y102" s="19"/>
      <c r="Z102" s="19"/>
      <c r="AA102" s="19"/>
      <c r="AB102" s="13"/>
      <c r="AC102" s="13"/>
      <c r="AD102" s="13"/>
      <c r="AE102" s="13"/>
      <c r="AF102" s="18">
        <v>1</v>
      </c>
      <c r="AG102" s="12"/>
      <c r="AH102" s="12"/>
      <c r="AI102" s="12"/>
      <c r="AJ102" s="12"/>
      <c r="AK102" s="12"/>
      <c r="AL102" s="18"/>
      <c r="AX102" s="17">
        <v>97</v>
      </c>
    </row>
    <row r="103" spans="1:50" s="17" customFormat="1" ht="13.5" x14ac:dyDescent="0.25">
      <c r="A103" s="19" t="s">
        <v>1523</v>
      </c>
      <c r="B103" s="19"/>
      <c r="C103" s="19"/>
      <c r="D103" s="19" t="s">
        <v>349</v>
      </c>
      <c r="E103" s="68">
        <f>HFB.GDOT!$E$22</f>
        <v>-2.2693711798638105E-8</v>
      </c>
      <c r="F103" s="19"/>
      <c r="G103" s="19"/>
      <c r="H103" s="19"/>
      <c r="I103" s="19">
        <v>10</v>
      </c>
      <c r="J103" s="19"/>
      <c r="K103" s="68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>
        <v>1</v>
      </c>
      <c r="X103" s="20"/>
      <c r="Y103" s="19"/>
      <c r="Z103" s="19"/>
      <c r="AA103" s="19"/>
      <c r="AB103" s="13"/>
      <c r="AC103" s="13"/>
      <c r="AD103" s="13"/>
      <c r="AE103" s="13"/>
      <c r="AF103" s="18">
        <v>1</v>
      </c>
      <c r="AG103" s="12"/>
      <c r="AH103" s="12"/>
      <c r="AI103" s="12"/>
      <c r="AJ103" s="12"/>
      <c r="AK103" s="12"/>
      <c r="AL103" s="18"/>
      <c r="AX103" s="17">
        <v>98</v>
      </c>
    </row>
    <row r="104" spans="1:50" s="17" customFormat="1" ht="13.5" x14ac:dyDescent="0.25">
      <c r="A104" s="19" t="s">
        <v>1301</v>
      </c>
      <c r="B104" s="19"/>
      <c r="C104" s="19"/>
      <c r="D104" s="19" t="s">
        <v>349</v>
      </c>
      <c r="E104" s="68">
        <f>KERHT.GMAP!$E$6</f>
        <v>4.5292836148291826E-10</v>
      </c>
      <c r="F104" s="19"/>
      <c r="G104" s="19"/>
      <c r="H104" s="19"/>
      <c r="I104" s="19">
        <v>10</v>
      </c>
      <c r="J104" s="19"/>
      <c r="K104" s="68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>
        <v>1</v>
      </c>
      <c r="X104" s="20"/>
      <c r="Y104" s="19"/>
      <c r="Z104" s="19"/>
      <c r="AA104" s="19"/>
      <c r="AB104" s="13"/>
      <c r="AC104" s="13"/>
      <c r="AD104" s="13"/>
      <c r="AE104" s="13"/>
      <c r="AF104" s="18">
        <v>1</v>
      </c>
      <c r="AG104" s="12"/>
      <c r="AH104" s="12"/>
      <c r="AI104" s="12"/>
      <c r="AJ104" s="12"/>
      <c r="AK104" s="12"/>
      <c r="AL104" s="18"/>
      <c r="AX104" s="17">
        <v>99</v>
      </c>
    </row>
    <row r="105" spans="1:50" s="17" customFormat="1" ht="13.5" x14ac:dyDescent="0.25">
      <c r="A105" s="19" t="s">
        <v>1302</v>
      </c>
      <c r="B105" s="19"/>
      <c r="C105" s="19"/>
      <c r="D105" s="19" t="s">
        <v>349</v>
      </c>
      <c r="E105" s="68">
        <f>KERHT.GMAP!$E$7</f>
        <v>6.0988440964138135E-9</v>
      </c>
      <c r="F105" s="19"/>
      <c r="G105" s="19"/>
      <c r="H105" s="19"/>
      <c r="I105" s="19">
        <v>10</v>
      </c>
      <c r="J105" s="19"/>
      <c r="K105" s="68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>
        <v>1</v>
      </c>
      <c r="X105" s="20"/>
      <c r="Y105" s="19"/>
      <c r="Z105" s="19"/>
      <c r="AA105" s="19"/>
      <c r="AB105" s="13"/>
      <c r="AC105" s="13"/>
      <c r="AD105" s="13"/>
      <c r="AE105" s="13"/>
      <c r="AF105" s="18">
        <v>1</v>
      </c>
      <c r="AG105" s="12"/>
      <c r="AH105" s="12"/>
      <c r="AI105" s="12"/>
      <c r="AJ105" s="12"/>
      <c r="AK105" s="12"/>
      <c r="AL105" s="18"/>
      <c r="AX105" s="17">
        <v>100</v>
      </c>
    </row>
    <row r="106" spans="1:50" s="17" customFormat="1" ht="13.5" x14ac:dyDescent="0.25">
      <c r="A106" s="19" t="s">
        <v>1303</v>
      </c>
      <c r="B106" s="19"/>
      <c r="C106" s="19"/>
      <c r="D106" s="19" t="s">
        <v>349</v>
      </c>
      <c r="E106" s="68">
        <f>KERHT.GMAP!$E$8</f>
        <v>2.0576432797625444E-6</v>
      </c>
      <c r="F106" s="19"/>
      <c r="G106" s="19"/>
      <c r="H106" s="19"/>
      <c r="I106" s="19">
        <v>10</v>
      </c>
      <c r="J106" s="19"/>
      <c r="K106" s="68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>
        <v>1</v>
      </c>
      <c r="X106" s="20"/>
      <c r="Y106" s="19"/>
      <c r="Z106" s="19"/>
      <c r="AA106" s="19"/>
      <c r="AB106" s="13"/>
      <c r="AC106" s="13"/>
      <c r="AD106" s="13"/>
      <c r="AE106" s="13"/>
      <c r="AF106" s="18">
        <v>1</v>
      </c>
      <c r="AG106" s="12"/>
      <c r="AH106" s="12"/>
      <c r="AI106" s="12"/>
      <c r="AJ106" s="12"/>
      <c r="AK106" s="12"/>
      <c r="AL106" s="18"/>
      <c r="AX106" s="17">
        <v>101</v>
      </c>
    </row>
    <row r="107" spans="1:50" s="17" customFormat="1" ht="13.5" x14ac:dyDescent="0.25">
      <c r="A107" s="19" t="s">
        <v>1304</v>
      </c>
      <c r="B107" s="19"/>
      <c r="C107" s="19"/>
      <c r="D107" s="19" t="s">
        <v>349</v>
      </c>
      <c r="E107" s="68">
        <f>KERHT.GMAP!$E$9</f>
        <v>0</v>
      </c>
      <c r="F107" s="19"/>
      <c r="G107" s="19"/>
      <c r="H107" s="19"/>
      <c r="I107" s="19">
        <v>10</v>
      </c>
      <c r="J107" s="19"/>
      <c r="K107" s="68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>
        <v>1</v>
      </c>
      <c r="X107" s="20"/>
      <c r="Y107" s="19"/>
      <c r="Z107" s="19"/>
      <c r="AA107" s="19"/>
      <c r="AB107" s="13"/>
      <c r="AC107" s="13"/>
      <c r="AD107" s="13"/>
      <c r="AE107" s="13"/>
      <c r="AF107" s="18">
        <v>1</v>
      </c>
      <c r="AG107" s="12"/>
      <c r="AH107" s="12"/>
      <c r="AI107" s="12"/>
      <c r="AJ107" s="12"/>
      <c r="AK107" s="12"/>
      <c r="AL107" s="18"/>
      <c r="AX107" s="17">
        <v>102</v>
      </c>
    </row>
    <row r="108" spans="1:50" s="17" customFormat="1" ht="13.5" x14ac:dyDescent="0.25">
      <c r="A108" s="19" t="s">
        <v>1305</v>
      </c>
      <c r="B108" s="19"/>
      <c r="C108" s="19"/>
      <c r="D108" s="19" t="s">
        <v>349</v>
      </c>
      <c r="E108" s="68">
        <f>KERHT.GMAP!$E$10</f>
        <v>-1.7533628670740597E-5</v>
      </c>
      <c r="F108" s="19"/>
      <c r="G108" s="19"/>
      <c r="H108" s="19"/>
      <c r="I108" s="19">
        <v>10</v>
      </c>
      <c r="J108" s="19"/>
      <c r="K108" s="68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>
        <v>1</v>
      </c>
      <c r="X108" s="20"/>
      <c r="Y108" s="19"/>
      <c r="Z108" s="19"/>
      <c r="AA108" s="19"/>
      <c r="AB108" s="13"/>
      <c r="AC108" s="13"/>
      <c r="AD108" s="13"/>
      <c r="AE108" s="13"/>
      <c r="AF108" s="18">
        <v>1</v>
      </c>
      <c r="AG108" s="12"/>
      <c r="AH108" s="12"/>
      <c r="AI108" s="12"/>
      <c r="AJ108" s="12"/>
      <c r="AK108" s="12"/>
      <c r="AL108" s="18"/>
      <c r="AX108" s="17">
        <v>103</v>
      </c>
    </row>
    <row r="109" spans="1:50" s="17" customFormat="1" ht="13.5" x14ac:dyDescent="0.25">
      <c r="A109" s="19" t="s">
        <v>1290</v>
      </c>
      <c r="B109" s="19"/>
      <c r="C109" s="19"/>
      <c r="D109" s="19" t="s">
        <v>349</v>
      </c>
      <c r="E109" s="68">
        <f>KERHT.GMAP!$E$11</f>
        <v>10.00000004679231</v>
      </c>
      <c r="F109" s="19"/>
      <c r="G109" s="19"/>
      <c r="H109" s="19"/>
      <c r="I109" s="19">
        <v>0</v>
      </c>
      <c r="J109" s="68">
        <f>KERHT.GMAP!$E$11</f>
        <v>10.00000004679231</v>
      </c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>
        <v>1</v>
      </c>
      <c r="X109" s="20"/>
      <c r="Y109" s="19"/>
      <c r="Z109" s="19"/>
      <c r="AA109" s="19"/>
      <c r="AB109" s="13"/>
      <c r="AC109" s="13"/>
      <c r="AD109" s="13"/>
      <c r="AE109" s="13"/>
      <c r="AF109" s="18">
        <v>0</v>
      </c>
      <c r="AG109" s="12"/>
      <c r="AH109" s="12"/>
      <c r="AI109" s="12"/>
      <c r="AJ109" s="12"/>
      <c r="AK109" s="12"/>
      <c r="AL109" s="18"/>
      <c r="AX109" s="17">
        <v>104</v>
      </c>
    </row>
    <row r="110" spans="1:50" s="17" customFormat="1" ht="13.5" x14ac:dyDescent="0.25">
      <c r="A110" s="19" t="s">
        <v>1293</v>
      </c>
      <c r="B110" s="19"/>
      <c r="C110" s="19"/>
      <c r="D110" s="19" t="s">
        <v>349</v>
      </c>
      <c r="E110" s="72">
        <f>KERHT.GMAP!$E$12</f>
        <v>0.77013014533310575</v>
      </c>
      <c r="F110" s="19"/>
      <c r="G110" s="19"/>
      <c r="H110" s="19"/>
      <c r="I110" s="19">
        <v>0</v>
      </c>
      <c r="J110" s="72">
        <f>KERHT.GMAP!$E$12</f>
        <v>0.77013014533310575</v>
      </c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>
        <v>1</v>
      </c>
      <c r="X110" s="20"/>
      <c r="Y110" s="19"/>
      <c r="Z110" s="19"/>
      <c r="AA110" s="19"/>
      <c r="AB110" s="13"/>
      <c r="AC110" s="13"/>
      <c r="AD110" s="13"/>
      <c r="AE110" s="13"/>
      <c r="AF110" s="18">
        <v>0</v>
      </c>
      <c r="AG110" s="12"/>
      <c r="AH110" s="12"/>
      <c r="AI110" s="12"/>
      <c r="AJ110" s="12"/>
      <c r="AK110" s="12"/>
      <c r="AL110" s="18"/>
      <c r="AX110" s="17">
        <v>105</v>
      </c>
    </row>
    <row r="111" spans="1:50" s="17" customFormat="1" ht="13.5" x14ac:dyDescent="0.25">
      <c r="A111" s="19" t="s">
        <v>1294</v>
      </c>
      <c r="B111" s="19"/>
      <c r="C111" s="19"/>
      <c r="D111" s="19" t="s">
        <v>349</v>
      </c>
      <c r="E111" s="72">
        <f>KERHT.GMAP!$E$13</f>
        <v>-60.146938681645686</v>
      </c>
      <c r="F111" s="19"/>
      <c r="G111" s="19"/>
      <c r="H111" s="19"/>
      <c r="I111" s="19">
        <v>0</v>
      </c>
      <c r="J111" s="72">
        <f>KERHT.GMAP!$E$13</f>
        <v>-60.146938681645686</v>
      </c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>
        <v>1</v>
      </c>
      <c r="X111" s="20"/>
      <c r="Y111" s="19"/>
      <c r="Z111" s="19"/>
      <c r="AA111" s="19"/>
      <c r="AB111" s="13"/>
      <c r="AC111" s="13"/>
      <c r="AD111" s="13"/>
      <c r="AE111" s="13"/>
      <c r="AF111" s="18">
        <v>0</v>
      </c>
      <c r="AG111" s="12"/>
      <c r="AH111" s="12"/>
      <c r="AI111" s="12"/>
      <c r="AJ111" s="12"/>
      <c r="AK111" s="12"/>
      <c r="AL111" s="18"/>
      <c r="AX111" s="17">
        <v>106</v>
      </c>
    </row>
    <row r="112" spans="1:50" s="17" customFormat="1" ht="13.5" x14ac:dyDescent="0.25">
      <c r="A112" s="19" t="s">
        <v>1296</v>
      </c>
      <c r="B112" s="19"/>
      <c r="C112" s="19"/>
      <c r="D112" s="19" t="s">
        <v>349</v>
      </c>
      <c r="E112" s="72">
        <f>KERHT.GMAP!$E$14</f>
        <v>-44.155668359985803</v>
      </c>
      <c r="F112" s="19"/>
      <c r="G112" s="19"/>
      <c r="H112" s="19"/>
      <c r="I112" s="19">
        <v>0</v>
      </c>
      <c r="J112" s="72">
        <f>KERHT.GMAP!$E$14</f>
        <v>-44.155668359985803</v>
      </c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>
        <v>1</v>
      </c>
      <c r="X112" s="20"/>
      <c r="Y112" s="19"/>
      <c r="Z112" s="19"/>
      <c r="AA112" s="19"/>
      <c r="AB112" s="13"/>
      <c r="AC112" s="13"/>
      <c r="AD112" s="13"/>
      <c r="AE112" s="13"/>
      <c r="AF112" s="18">
        <v>0</v>
      </c>
      <c r="AG112" s="12"/>
      <c r="AH112" s="12"/>
      <c r="AI112" s="12"/>
      <c r="AJ112" s="12"/>
      <c r="AK112" s="12"/>
      <c r="AL112" s="18"/>
      <c r="AX112" s="17">
        <v>107</v>
      </c>
    </row>
    <row r="113" spans="1:50" s="17" customFormat="1" ht="13.5" x14ac:dyDescent="0.25">
      <c r="A113" s="19" t="s">
        <v>1295</v>
      </c>
      <c r="B113" s="19"/>
      <c r="C113" s="19"/>
      <c r="D113" s="19" t="s">
        <v>349</v>
      </c>
      <c r="E113" s="72">
        <f>KERHT.GMAP!$E$15</f>
        <v>121.56786201255599</v>
      </c>
      <c r="F113" s="19"/>
      <c r="G113" s="19"/>
      <c r="H113" s="19"/>
      <c r="I113" s="19">
        <v>0</v>
      </c>
      <c r="J113" s="72">
        <f>KERHT.GMAP!$E$15</f>
        <v>121.56786201255599</v>
      </c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>
        <v>1</v>
      </c>
      <c r="X113" s="20"/>
      <c r="Y113" s="19"/>
      <c r="Z113" s="19"/>
      <c r="AA113" s="19"/>
      <c r="AB113" s="13"/>
      <c r="AC113" s="13"/>
      <c r="AD113" s="13"/>
      <c r="AE113" s="13"/>
      <c r="AF113" s="18">
        <v>0</v>
      </c>
      <c r="AG113" s="12"/>
      <c r="AH113" s="12"/>
      <c r="AI113" s="12"/>
      <c r="AJ113" s="12"/>
      <c r="AK113" s="12"/>
      <c r="AL113" s="18"/>
      <c r="AX113" s="17">
        <v>108</v>
      </c>
    </row>
    <row r="114" spans="1:50" s="17" customFormat="1" ht="13.5" x14ac:dyDescent="0.25">
      <c r="A114" s="19" t="s">
        <v>1310</v>
      </c>
      <c r="B114" s="19"/>
      <c r="C114" s="19"/>
      <c r="D114" s="19" t="s">
        <v>349</v>
      </c>
      <c r="E114" s="68" t="e">
        <f ca="1">KERHT.GDOT!$E$6</f>
        <v>#NAME?</v>
      </c>
      <c r="F114" s="19"/>
      <c r="G114" s="19"/>
      <c r="H114" s="19"/>
      <c r="I114" s="19">
        <v>10</v>
      </c>
      <c r="J114" s="19"/>
      <c r="K114" s="68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>
        <v>1</v>
      </c>
      <c r="X114" s="20"/>
      <c r="Y114" s="19"/>
      <c r="Z114" s="19"/>
      <c r="AA114" s="19"/>
      <c r="AB114" s="13"/>
      <c r="AC114" s="13"/>
      <c r="AD114" s="13"/>
      <c r="AE114" s="13"/>
      <c r="AF114" s="18">
        <v>1</v>
      </c>
      <c r="AG114" s="12"/>
      <c r="AH114" s="12"/>
      <c r="AI114" s="12"/>
      <c r="AJ114" s="12"/>
      <c r="AK114" s="12"/>
      <c r="AL114" s="18"/>
      <c r="AX114" s="17">
        <v>109</v>
      </c>
    </row>
    <row r="115" spans="1:50" s="17" customFormat="1" ht="13.5" x14ac:dyDescent="0.25">
      <c r="A115" s="19" t="s">
        <v>1311</v>
      </c>
      <c r="B115" s="19"/>
      <c r="C115" s="19"/>
      <c r="D115" s="19" t="s">
        <v>349</v>
      </c>
      <c r="E115" s="68">
        <f>KERHT.GDOT!$E$7</f>
        <v>1.8583878733824388E-5</v>
      </c>
      <c r="F115" s="19"/>
      <c r="G115" s="19"/>
      <c r="H115" s="19"/>
      <c r="I115" s="19">
        <v>10</v>
      </c>
      <c r="J115" s="19"/>
      <c r="K115" s="68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>
        <v>1</v>
      </c>
      <c r="X115" s="20"/>
      <c r="Y115" s="19"/>
      <c r="Z115" s="19"/>
      <c r="AA115" s="19"/>
      <c r="AB115" s="13"/>
      <c r="AC115" s="13"/>
      <c r="AD115" s="13"/>
      <c r="AE115" s="13"/>
      <c r="AF115" s="18">
        <v>1</v>
      </c>
      <c r="AG115" s="12"/>
      <c r="AH115" s="12"/>
      <c r="AI115" s="12"/>
      <c r="AJ115" s="12"/>
      <c r="AK115" s="12"/>
      <c r="AL115" s="18"/>
      <c r="AX115" s="17">
        <v>110</v>
      </c>
    </row>
    <row r="116" spans="1:50" s="17" customFormat="1" ht="13.5" x14ac:dyDescent="0.25">
      <c r="A116" s="19" t="s">
        <v>1312</v>
      </c>
      <c r="B116" s="19"/>
      <c r="C116" s="19"/>
      <c r="D116" s="19" t="s">
        <v>349</v>
      </c>
      <c r="E116" s="68">
        <f>KERHT.GDOT!$E$8</f>
        <v>5.5218052352756786E-12</v>
      </c>
      <c r="F116" s="19"/>
      <c r="G116" s="19"/>
      <c r="H116" s="19"/>
      <c r="I116" s="19">
        <v>10</v>
      </c>
      <c r="J116" s="19"/>
      <c r="K116" s="68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>
        <v>1</v>
      </c>
      <c r="X116" s="20"/>
      <c r="Y116" s="19"/>
      <c r="Z116" s="19"/>
      <c r="AA116" s="19"/>
      <c r="AB116" s="13"/>
      <c r="AC116" s="13"/>
      <c r="AD116" s="13"/>
      <c r="AE116" s="13"/>
      <c r="AF116" s="18">
        <v>1</v>
      </c>
      <c r="AG116" s="12"/>
      <c r="AH116" s="12"/>
      <c r="AI116" s="12"/>
      <c r="AJ116" s="12"/>
      <c r="AK116" s="12"/>
      <c r="AL116" s="18"/>
      <c r="AX116" s="17">
        <v>111</v>
      </c>
    </row>
    <row r="117" spans="1:50" s="17" customFormat="1" ht="13.5" x14ac:dyDescent="0.25">
      <c r="A117" s="19" t="s">
        <v>1313</v>
      </c>
      <c r="B117" s="19"/>
      <c r="C117" s="19"/>
      <c r="D117" s="19" t="s">
        <v>349</v>
      </c>
      <c r="E117" s="68">
        <f>KERHT.GDOT!$E$9</f>
        <v>-3.1612683670800834E-7</v>
      </c>
      <c r="F117" s="19"/>
      <c r="G117" s="19"/>
      <c r="H117" s="19"/>
      <c r="I117" s="19">
        <v>10</v>
      </c>
      <c r="J117" s="19"/>
      <c r="K117" s="68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>
        <v>1</v>
      </c>
      <c r="X117" s="20"/>
      <c r="Y117" s="19"/>
      <c r="Z117" s="19"/>
      <c r="AA117" s="19"/>
      <c r="AB117" s="13"/>
      <c r="AC117" s="13"/>
      <c r="AD117" s="13"/>
      <c r="AE117" s="13"/>
      <c r="AF117" s="18">
        <v>1</v>
      </c>
      <c r="AG117" s="12"/>
      <c r="AH117" s="12"/>
      <c r="AI117" s="12"/>
      <c r="AJ117" s="12"/>
      <c r="AK117" s="12"/>
      <c r="AL117" s="18"/>
      <c r="AX117" s="17">
        <v>112</v>
      </c>
    </row>
    <row r="118" spans="1:50" s="17" customFormat="1" ht="13.5" x14ac:dyDescent="0.25">
      <c r="A118" s="19" t="s">
        <v>1314</v>
      </c>
      <c r="B118" s="19"/>
      <c r="C118" s="19"/>
      <c r="D118" s="19" t="s">
        <v>349</v>
      </c>
      <c r="E118" s="68">
        <f>KERHT.GDOT!$E$10</f>
        <v>1.5212087589588918E-8</v>
      </c>
      <c r="F118" s="19"/>
      <c r="G118" s="19"/>
      <c r="H118" s="19"/>
      <c r="I118" s="19">
        <v>10</v>
      </c>
      <c r="J118" s="19"/>
      <c r="K118" s="68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>
        <v>1</v>
      </c>
      <c r="X118" s="20"/>
      <c r="Y118" s="19"/>
      <c r="Z118" s="19"/>
      <c r="AA118" s="19"/>
      <c r="AB118" s="13"/>
      <c r="AC118" s="13"/>
      <c r="AD118" s="13"/>
      <c r="AE118" s="13"/>
      <c r="AF118" s="18">
        <v>1</v>
      </c>
      <c r="AG118" s="12"/>
      <c r="AH118" s="12"/>
      <c r="AI118" s="12"/>
      <c r="AJ118" s="12"/>
      <c r="AK118" s="12"/>
      <c r="AL118" s="18"/>
      <c r="AX118" s="17">
        <v>113</v>
      </c>
    </row>
    <row r="119" spans="1:50" s="17" customFormat="1" ht="13.5" x14ac:dyDescent="0.25">
      <c r="A119" s="19" t="s">
        <v>1315</v>
      </c>
      <c r="B119" s="19"/>
      <c r="C119" s="19"/>
      <c r="D119" s="19" t="s">
        <v>349</v>
      </c>
      <c r="E119" s="68" t="e">
        <f ca="1">KERHT.GDOT!$E$11</f>
        <v>#NAME?</v>
      </c>
      <c r="F119" s="19"/>
      <c r="G119" s="19"/>
      <c r="H119" s="19"/>
      <c r="I119" s="19">
        <v>10</v>
      </c>
      <c r="J119" s="19"/>
      <c r="K119" s="68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>
        <v>1</v>
      </c>
      <c r="X119" s="20"/>
      <c r="Y119" s="19"/>
      <c r="Z119" s="19"/>
      <c r="AA119" s="19"/>
      <c r="AB119" s="13"/>
      <c r="AC119" s="13"/>
      <c r="AD119" s="13"/>
      <c r="AE119" s="13"/>
      <c r="AF119" s="18">
        <v>1</v>
      </c>
      <c r="AG119" s="12"/>
      <c r="AH119" s="12"/>
      <c r="AI119" s="12"/>
      <c r="AJ119" s="12"/>
      <c r="AK119" s="12"/>
      <c r="AL119" s="18"/>
      <c r="AX119" s="17">
        <v>114</v>
      </c>
    </row>
    <row r="120" spans="1:50" s="17" customFormat="1" ht="13.5" x14ac:dyDescent="0.25">
      <c r="A120" s="19" t="s">
        <v>1316</v>
      </c>
      <c r="B120" s="19"/>
      <c r="C120" s="19"/>
      <c r="D120" s="19" t="s">
        <v>349</v>
      </c>
      <c r="E120" s="68" t="e">
        <f ca="1">KERHT.GDOT!$E$12</f>
        <v>#NAME?</v>
      </c>
      <c r="F120" s="19"/>
      <c r="G120" s="19"/>
      <c r="H120" s="19"/>
      <c r="I120" s="19">
        <v>10</v>
      </c>
      <c r="J120" s="19"/>
      <c r="K120" s="68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>
        <v>1</v>
      </c>
      <c r="X120" s="20"/>
      <c r="Y120" s="19"/>
      <c r="Z120" s="19"/>
      <c r="AA120" s="19"/>
      <c r="AB120" s="13"/>
      <c r="AC120" s="13"/>
      <c r="AD120" s="13"/>
      <c r="AE120" s="13"/>
      <c r="AF120" s="18">
        <v>1</v>
      </c>
      <c r="AG120" s="12"/>
      <c r="AH120" s="12"/>
      <c r="AI120" s="12"/>
      <c r="AJ120" s="12"/>
      <c r="AK120" s="12"/>
      <c r="AL120" s="18"/>
      <c r="AX120" s="17">
        <v>115</v>
      </c>
    </row>
    <row r="121" spans="1:50" s="17" customFormat="1" ht="13.5" x14ac:dyDescent="0.25">
      <c r="A121" s="19" t="s">
        <v>1317</v>
      </c>
      <c r="B121" s="19"/>
      <c r="C121" s="19"/>
      <c r="D121" s="19" t="s">
        <v>349</v>
      </c>
      <c r="E121" s="68" t="e">
        <f ca="1">KERHT.GDOT!$E$13</f>
        <v>#NAME?</v>
      </c>
      <c r="F121" s="19"/>
      <c r="G121" s="19"/>
      <c r="H121" s="19"/>
      <c r="I121" s="19">
        <v>10</v>
      </c>
      <c r="J121" s="19"/>
      <c r="K121" s="68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>
        <v>1</v>
      </c>
      <c r="X121" s="20"/>
      <c r="Y121" s="19"/>
      <c r="Z121" s="19"/>
      <c r="AA121" s="19"/>
      <c r="AB121" s="13"/>
      <c r="AC121" s="13"/>
      <c r="AD121" s="13"/>
      <c r="AE121" s="13"/>
      <c r="AF121" s="18">
        <v>1</v>
      </c>
      <c r="AG121" s="12"/>
      <c r="AH121" s="12"/>
      <c r="AI121" s="12"/>
      <c r="AJ121" s="12"/>
      <c r="AK121" s="12"/>
      <c r="AL121" s="18"/>
      <c r="AX121" s="17">
        <v>116</v>
      </c>
    </row>
    <row r="122" spans="1:50" s="17" customFormat="1" ht="13.5" x14ac:dyDescent="0.25">
      <c r="A122" s="19" t="s">
        <v>1528</v>
      </c>
      <c r="B122" s="19"/>
      <c r="C122" s="19"/>
      <c r="D122" s="19" t="s">
        <v>349</v>
      </c>
      <c r="E122" s="68">
        <f>HDS.GMAP!$E$6</f>
        <v>-6.787104211980477E-11</v>
      </c>
      <c r="F122" s="19"/>
      <c r="G122" s="19"/>
      <c r="H122" s="19"/>
      <c r="I122" s="19">
        <v>10</v>
      </c>
      <c r="J122" s="19"/>
      <c r="K122" s="68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>
        <v>1</v>
      </c>
      <c r="X122" s="20"/>
      <c r="Y122" s="19"/>
      <c r="Z122" s="19"/>
      <c r="AA122" s="19"/>
      <c r="AB122" s="13"/>
      <c r="AC122" s="13"/>
      <c r="AD122" s="13"/>
      <c r="AE122" s="13"/>
      <c r="AF122" s="18">
        <v>1</v>
      </c>
      <c r="AG122" s="12"/>
      <c r="AH122" s="12"/>
      <c r="AI122" s="12"/>
      <c r="AJ122" s="12"/>
      <c r="AK122" s="12"/>
      <c r="AL122" s="18"/>
      <c r="AX122" s="17">
        <v>117</v>
      </c>
    </row>
    <row r="123" spans="1:50" s="17" customFormat="1" ht="13.5" x14ac:dyDescent="0.25">
      <c r="A123" s="19" t="s">
        <v>1529</v>
      </c>
      <c r="B123" s="19"/>
      <c r="C123" s="19"/>
      <c r="D123" s="19" t="s">
        <v>349</v>
      </c>
      <c r="E123" s="68">
        <f>HDS.GMAP!$E$7</f>
        <v>-9.1426954895723611E-10</v>
      </c>
      <c r="F123" s="19"/>
      <c r="G123" s="19"/>
      <c r="H123" s="19"/>
      <c r="I123" s="19">
        <v>10</v>
      </c>
      <c r="J123" s="19"/>
      <c r="K123" s="68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>
        <v>1</v>
      </c>
      <c r="X123" s="20"/>
      <c r="Y123" s="19"/>
      <c r="Z123" s="19"/>
      <c r="AA123" s="19"/>
      <c r="AB123" s="13"/>
      <c r="AC123" s="13"/>
      <c r="AD123" s="13"/>
      <c r="AE123" s="13"/>
      <c r="AF123" s="18">
        <v>1</v>
      </c>
      <c r="AG123" s="12"/>
      <c r="AH123" s="12"/>
      <c r="AI123" s="12"/>
      <c r="AJ123" s="12"/>
      <c r="AK123" s="12"/>
      <c r="AL123" s="18"/>
      <c r="AX123" s="17">
        <v>118</v>
      </c>
    </row>
    <row r="124" spans="1:50" s="17" customFormat="1" ht="13.5" x14ac:dyDescent="0.25">
      <c r="A124" s="19" t="s">
        <v>1530</v>
      </c>
      <c r="B124" s="19"/>
      <c r="C124" s="19"/>
      <c r="D124" s="19" t="s">
        <v>349</v>
      </c>
      <c r="E124" s="68">
        <f>HDS.GMAP!$E$8</f>
        <v>-2.1768143838585274E-6</v>
      </c>
      <c r="F124" s="19"/>
      <c r="G124" s="19"/>
      <c r="H124" s="19"/>
      <c r="I124" s="19">
        <v>10</v>
      </c>
      <c r="J124" s="19"/>
      <c r="K124" s="68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>
        <v>1</v>
      </c>
      <c r="X124" s="20"/>
      <c r="Y124" s="19"/>
      <c r="Z124" s="19"/>
      <c r="AA124" s="19"/>
      <c r="AB124" s="13"/>
      <c r="AC124" s="13"/>
      <c r="AD124" s="13"/>
      <c r="AE124" s="13"/>
      <c r="AF124" s="18">
        <v>1</v>
      </c>
      <c r="AG124" s="12"/>
      <c r="AH124" s="12"/>
      <c r="AI124" s="12"/>
      <c r="AJ124" s="12"/>
      <c r="AK124" s="12"/>
      <c r="AL124" s="18"/>
      <c r="AX124" s="17">
        <v>119</v>
      </c>
    </row>
    <row r="125" spans="1:50" s="17" customFormat="1" ht="13.5" x14ac:dyDescent="0.25">
      <c r="A125" s="19" t="s">
        <v>1531</v>
      </c>
      <c r="B125" s="19"/>
      <c r="C125" s="19"/>
      <c r="D125" s="19" t="s">
        <v>349</v>
      </c>
      <c r="E125" s="68">
        <f>HDS.GMAP!$E$9</f>
        <v>0</v>
      </c>
      <c r="F125" s="19"/>
      <c r="G125" s="19"/>
      <c r="H125" s="19"/>
      <c r="I125" s="19">
        <v>10</v>
      </c>
      <c r="J125" s="19"/>
      <c r="K125" s="68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>
        <v>1</v>
      </c>
      <c r="X125" s="20"/>
      <c r="Y125" s="19"/>
      <c r="Z125" s="19"/>
      <c r="AA125" s="19"/>
      <c r="AB125" s="13"/>
      <c r="AC125" s="13"/>
      <c r="AD125" s="13"/>
      <c r="AE125" s="13"/>
      <c r="AF125" s="18">
        <v>1</v>
      </c>
      <c r="AG125" s="12"/>
      <c r="AH125" s="12"/>
      <c r="AI125" s="12"/>
      <c r="AJ125" s="12"/>
      <c r="AK125" s="12"/>
      <c r="AL125" s="18"/>
      <c r="AX125" s="17">
        <v>120</v>
      </c>
    </row>
    <row r="126" spans="1:50" s="17" customFormat="1" ht="13.5" x14ac:dyDescent="0.25">
      <c r="A126" s="19" t="s">
        <v>1532</v>
      </c>
      <c r="B126" s="19"/>
      <c r="C126" s="19"/>
      <c r="D126" s="19" t="s">
        <v>349</v>
      </c>
      <c r="E126" s="68">
        <f>HDS.GMAP!$E$10</f>
        <v>9.9315390613696763E-6</v>
      </c>
      <c r="F126" s="19"/>
      <c r="G126" s="19"/>
      <c r="H126" s="19"/>
      <c r="I126" s="19">
        <v>10</v>
      </c>
      <c r="J126" s="19"/>
      <c r="K126" s="68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>
        <v>1</v>
      </c>
      <c r="X126" s="20"/>
      <c r="Y126" s="19"/>
      <c r="Z126" s="19"/>
      <c r="AA126" s="19"/>
      <c r="AB126" s="13"/>
      <c r="AC126" s="13"/>
      <c r="AD126" s="13"/>
      <c r="AE126" s="13"/>
      <c r="AF126" s="18">
        <v>1</v>
      </c>
      <c r="AG126" s="12"/>
      <c r="AH126" s="12"/>
      <c r="AI126" s="12"/>
      <c r="AJ126" s="12"/>
      <c r="AK126" s="12"/>
      <c r="AL126" s="18"/>
      <c r="AX126" s="17">
        <v>121</v>
      </c>
    </row>
    <row r="127" spans="1:50" s="17" customFormat="1" ht="13.5" x14ac:dyDescent="0.25">
      <c r="A127" s="19" t="s">
        <v>1287</v>
      </c>
      <c r="B127" s="19"/>
      <c r="C127" s="19"/>
      <c r="D127" s="19" t="s">
        <v>349</v>
      </c>
      <c r="E127" s="68">
        <f>HDS.GMAP!$E$11</f>
        <v>22.079062485400012</v>
      </c>
      <c r="F127" s="19"/>
      <c r="G127" s="19"/>
      <c r="H127" s="19"/>
      <c r="I127" s="19">
        <v>0</v>
      </c>
      <c r="J127" s="68">
        <f>HDS.GMAP!$E$11</f>
        <v>22.079062485400012</v>
      </c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>
        <v>1</v>
      </c>
      <c r="X127" s="20"/>
      <c r="Y127" s="19"/>
      <c r="Z127" s="19"/>
      <c r="AA127" s="19"/>
      <c r="AB127" s="13"/>
      <c r="AC127" s="13"/>
      <c r="AD127" s="13"/>
      <c r="AE127" s="13"/>
      <c r="AF127" s="18">
        <v>0</v>
      </c>
      <c r="AG127" s="12"/>
      <c r="AH127" s="12"/>
      <c r="AI127" s="12"/>
      <c r="AJ127" s="12"/>
      <c r="AK127" s="12"/>
      <c r="AL127" s="18"/>
      <c r="AX127" s="17">
        <v>122</v>
      </c>
    </row>
    <row r="128" spans="1:50" s="17" customFormat="1" ht="13.5" x14ac:dyDescent="0.25">
      <c r="A128" s="19" t="s">
        <v>1300</v>
      </c>
      <c r="B128" s="19"/>
      <c r="C128" s="19"/>
      <c r="D128" s="19" t="s">
        <v>349</v>
      </c>
      <c r="E128" s="72">
        <f>HDS.GMAP!$E$12</f>
        <v>49.916783465344778</v>
      </c>
      <c r="F128" s="19"/>
      <c r="G128" s="19"/>
      <c r="H128" s="19"/>
      <c r="I128" s="19">
        <v>0</v>
      </c>
      <c r="J128" s="72">
        <f>HDS.GMAP!$E$12</f>
        <v>49.916783465344778</v>
      </c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>
        <v>1</v>
      </c>
      <c r="X128" s="20"/>
      <c r="Y128" s="19"/>
      <c r="Z128" s="19"/>
      <c r="AA128" s="19"/>
      <c r="AB128" s="13"/>
      <c r="AC128" s="13"/>
      <c r="AD128" s="13"/>
      <c r="AE128" s="13"/>
      <c r="AF128" s="18">
        <v>0</v>
      </c>
      <c r="AG128" s="12"/>
      <c r="AH128" s="12"/>
      <c r="AI128" s="12"/>
      <c r="AJ128" s="12"/>
      <c r="AK128" s="12"/>
      <c r="AL128" s="18"/>
      <c r="AX128" s="17">
        <v>123</v>
      </c>
    </row>
    <row r="129" spans="1:50" s="17" customFormat="1" ht="13.5" x14ac:dyDescent="0.25">
      <c r="A129" s="19" t="s">
        <v>1297</v>
      </c>
      <c r="B129" s="19"/>
      <c r="C129" s="19"/>
      <c r="D129" s="19" t="s">
        <v>349</v>
      </c>
      <c r="E129" s="72">
        <f>HDS.GMAP!$E$13</f>
        <v>0.81555716306833048</v>
      </c>
      <c r="F129" s="19"/>
      <c r="G129" s="19"/>
      <c r="H129" s="19"/>
      <c r="I129" s="19">
        <v>0</v>
      </c>
      <c r="J129" s="72">
        <f>HDS.GMAP!$E$13</f>
        <v>0.81555716306833048</v>
      </c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>
        <v>1</v>
      </c>
      <c r="X129" s="20"/>
      <c r="Y129" s="19"/>
      <c r="Z129" s="19"/>
      <c r="AA129" s="19"/>
      <c r="AB129" s="13"/>
      <c r="AC129" s="13"/>
      <c r="AD129" s="13"/>
      <c r="AE129" s="13"/>
      <c r="AF129" s="18">
        <v>0</v>
      </c>
      <c r="AG129" s="12"/>
      <c r="AH129" s="12"/>
      <c r="AI129" s="12"/>
      <c r="AJ129" s="12"/>
      <c r="AK129" s="12"/>
      <c r="AL129" s="18"/>
      <c r="AX129" s="17">
        <v>124</v>
      </c>
    </row>
    <row r="130" spans="1:50" s="17" customFormat="1" ht="13.5" x14ac:dyDescent="0.25">
      <c r="A130" s="19" t="s">
        <v>1298</v>
      </c>
      <c r="B130" s="19"/>
      <c r="C130" s="19"/>
      <c r="D130" s="19" t="s">
        <v>349</v>
      </c>
      <c r="E130" s="72">
        <f>HDS.GMAP!$E$14</f>
        <v>51.297786901010781</v>
      </c>
      <c r="F130" s="19"/>
      <c r="G130" s="19"/>
      <c r="H130" s="19"/>
      <c r="I130" s="19">
        <v>0</v>
      </c>
      <c r="J130" s="72">
        <f>HDS.GMAP!$E$14</f>
        <v>51.297786901010781</v>
      </c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>
        <v>1</v>
      </c>
      <c r="X130" s="20"/>
      <c r="Y130" s="19"/>
      <c r="Z130" s="19"/>
      <c r="AA130" s="19"/>
      <c r="AB130" s="13"/>
      <c r="AC130" s="13"/>
      <c r="AD130" s="13"/>
      <c r="AE130" s="13"/>
      <c r="AF130" s="18">
        <v>0</v>
      </c>
      <c r="AG130" s="12"/>
      <c r="AH130" s="12"/>
      <c r="AI130" s="12"/>
      <c r="AJ130" s="12"/>
      <c r="AK130" s="12"/>
      <c r="AL130" s="18"/>
      <c r="AX130" s="17">
        <v>125</v>
      </c>
    </row>
    <row r="131" spans="1:50" s="17" customFormat="1" ht="13.5" x14ac:dyDescent="0.25">
      <c r="A131" s="19" t="s">
        <v>1299</v>
      </c>
      <c r="B131" s="19"/>
      <c r="C131" s="19"/>
      <c r="D131" s="19" t="s">
        <v>349</v>
      </c>
      <c r="E131" s="72">
        <f>HDS.GMAP!$E$15</f>
        <v>168.36818454334991</v>
      </c>
      <c r="F131" s="19"/>
      <c r="G131" s="19"/>
      <c r="H131" s="19"/>
      <c r="I131" s="19">
        <v>0</v>
      </c>
      <c r="J131" s="72">
        <f>HDS.GMAP!$E$15</f>
        <v>168.36818454334991</v>
      </c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>
        <v>1</v>
      </c>
      <c r="X131" s="20"/>
      <c r="Y131" s="19"/>
      <c r="Z131" s="19"/>
      <c r="AA131" s="19"/>
      <c r="AB131" s="13"/>
      <c r="AC131" s="13"/>
      <c r="AD131" s="13"/>
      <c r="AE131" s="13"/>
      <c r="AF131" s="18">
        <v>0</v>
      </c>
      <c r="AG131" s="12"/>
      <c r="AH131" s="12"/>
      <c r="AI131" s="12"/>
      <c r="AJ131" s="12"/>
      <c r="AK131" s="12"/>
      <c r="AL131" s="18"/>
      <c r="AX131" s="17">
        <v>126</v>
      </c>
    </row>
    <row r="132" spans="1:50" s="17" customFormat="1" ht="13.5" x14ac:dyDescent="0.25">
      <c r="A132" s="19" t="s">
        <v>1537</v>
      </c>
      <c r="B132" s="19"/>
      <c r="C132" s="19"/>
      <c r="D132" s="19" t="s">
        <v>349</v>
      </c>
      <c r="E132" s="68" t="e">
        <f ca="1">HDS.GDOT!$E$6</f>
        <v>#NAME?</v>
      </c>
      <c r="F132" s="19"/>
      <c r="G132" s="19"/>
      <c r="H132" s="19"/>
      <c r="I132" s="19">
        <v>10</v>
      </c>
      <c r="J132" s="19"/>
      <c r="K132" s="68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>
        <v>1</v>
      </c>
      <c r="X132" s="20"/>
      <c r="Y132" s="19"/>
      <c r="Z132" s="19"/>
      <c r="AA132" s="19"/>
      <c r="AB132" s="13"/>
      <c r="AC132" s="13"/>
      <c r="AD132" s="13"/>
      <c r="AE132" s="13"/>
      <c r="AF132" s="18">
        <v>1</v>
      </c>
      <c r="AG132" s="12"/>
      <c r="AH132" s="12"/>
      <c r="AI132" s="12"/>
      <c r="AJ132" s="12"/>
      <c r="AK132" s="12"/>
      <c r="AL132" s="18"/>
      <c r="AX132" s="17">
        <v>127</v>
      </c>
    </row>
    <row r="133" spans="1:50" s="17" customFormat="1" ht="13.5" x14ac:dyDescent="0.25">
      <c r="A133" s="19" t="s">
        <v>1538</v>
      </c>
      <c r="B133" s="19"/>
      <c r="C133" s="19"/>
      <c r="D133" s="19" t="s">
        <v>349</v>
      </c>
      <c r="E133" s="68">
        <f>HDS.GDOT!$E$7</f>
        <v>-2.9146971982640935E-6</v>
      </c>
      <c r="F133" s="19"/>
      <c r="G133" s="19"/>
      <c r="H133" s="19"/>
      <c r="I133" s="19">
        <v>10</v>
      </c>
      <c r="J133" s="19"/>
      <c r="K133" s="68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>
        <v>1</v>
      </c>
      <c r="X133" s="20"/>
      <c r="Y133" s="19"/>
      <c r="Z133" s="19"/>
      <c r="AA133" s="19"/>
      <c r="AB133" s="13"/>
      <c r="AC133" s="13"/>
      <c r="AD133" s="13"/>
      <c r="AE133" s="13"/>
      <c r="AF133" s="18">
        <v>1</v>
      </c>
      <c r="AG133" s="12"/>
      <c r="AH133" s="12"/>
      <c r="AI133" s="12"/>
      <c r="AJ133" s="12"/>
      <c r="AK133" s="12"/>
      <c r="AL133" s="18"/>
      <c r="AX133" s="17">
        <v>128</v>
      </c>
    </row>
    <row r="134" spans="1:50" s="17" customFormat="1" ht="13.5" x14ac:dyDescent="0.25">
      <c r="A134" s="19" t="s">
        <v>1539</v>
      </c>
      <c r="B134" s="19"/>
      <c r="C134" s="19"/>
      <c r="D134" s="19" t="s">
        <v>349</v>
      </c>
      <c r="E134" s="68">
        <f>HDS.GDOT!$E$8</f>
        <v>5.6843418860808015E-12</v>
      </c>
      <c r="F134" s="19"/>
      <c r="G134" s="19"/>
      <c r="H134" s="19"/>
      <c r="I134" s="19">
        <v>10</v>
      </c>
      <c r="J134" s="19"/>
      <c r="K134" s="68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>
        <v>1</v>
      </c>
      <c r="X134" s="20"/>
      <c r="Y134" s="19"/>
      <c r="Z134" s="19"/>
      <c r="AA134" s="19"/>
      <c r="AB134" s="13"/>
      <c r="AC134" s="13"/>
      <c r="AD134" s="13"/>
      <c r="AE134" s="13"/>
      <c r="AF134" s="18">
        <v>1</v>
      </c>
      <c r="AG134" s="12"/>
      <c r="AH134" s="12"/>
      <c r="AI134" s="12"/>
      <c r="AJ134" s="12"/>
      <c r="AK134" s="12"/>
      <c r="AL134" s="18"/>
      <c r="AX134" s="17">
        <v>129</v>
      </c>
    </row>
    <row r="135" spans="1:50" s="17" customFormat="1" ht="13.5" x14ac:dyDescent="0.25">
      <c r="A135" s="19" t="s">
        <v>1540</v>
      </c>
      <c r="B135" s="19"/>
      <c r="C135" s="19"/>
      <c r="D135" s="19" t="s">
        <v>349</v>
      </c>
      <c r="E135" s="68">
        <f>HDS.GDOT!$E$9</f>
        <v>1.4084342581099918E-8</v>
      </c>
      <c r="F135" s="19"/>
      <c r="G135" s="19"/>
      <c r="H135" s="19"/>
      <c r="I135" s="19">
        <v>10</v>
      </c>
      <c r="J135" s="19"/>
      <c r="K135" s="68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>
        <v>1</v>
      </c>
      <c r="X135" s="20"/>
      <c r="Y135" s="19"/>
      <c r="Z135" s="19"/>
      <c r="AA135" s="19"/>
      <c r="AB135" s="13"/>
      <c r="AC135" s="13"/>
      <c r="AD135" s="13"/>
      <c r="AE135" s="13"/>
      <c r="AF135" s="18">
        <v>1</v>
      </c>
      <c r="AG135" s="12"/>
      <c r="AH135" s="12"/>
      <c r="AI135" s="12"/>
      <c r="AJ135" s="12"/>
      <c r="AK135" s="12"/>
      <c r="AL135" s="18"/>
      <c r="AX135" s="17">
        <v>130</v>
      </c>
    </row>
    <row r="136" spans="1:50" s="17" customFormat="1" ht="13.5" x14ac:dyDescent="0.25">
      <c r="A136" s="19" t="s">
        <v>1541</v>
      </c>
      <c r="B136" s="19"/>
      <c r="C136" s="19"/>
      <c r="D136" s="19" t="s">
        <v>349</v>
      </c>
      <c r="E136" s="68">
        <f>HDS.GDOT!$E$10</f>
        <v>9.1697664572620852E-8</v>
      </c>
      <c r="F136" s="19"/>
      <c r="G136" s="19"/>
      <c r="H136" s="19"/>
      <c r="I136" s="19">
        <v>10</v>
      </c>
      <c r="J136" s="19"/>
      <c r="K136" s="68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>
        <v>1</v>
      </c>
      <c r="X136" s="20"/>
      <c r="Y136" s="19"/>
      <c r="Z136" s="19"/>
      <c r="AA136" s="19"/>
      <c r="AB136" s="13"/>
      <c r="AC136" s="13"/>
      <c r="AD136" s="13"/>
      <c r="AE136" s="13"/>
      <c r="AF136" s="18">
        <v>1</v>
      </c>
      <c r="AG136" s="12"/>
      <c r="AH136" s="12"/>
      <c r="AI136" s="12"/>
      <c r="AJ136" s="12"/>
      <c r="AK136" s="12"/>
      <c r="AL136" s="18"/>
      <c r="AX136" s="17">
        <v>131</v>
      </c>
    </row>
    <row r="137" spans="1:50" s="17" customFormat="1" ht="13.5" x14ac:dyDescent="0.25">
      <c r="A137" s="19" t="s">
        <v>1542</v>
      </c>
      <c r="B137" s="19"/>
      <c r="C137" s="19"/>
      <c r="D137" s="19" t="s">
        <v>349</v>
      </c>
      <c r="E137" s="68">
        <f>HDS.GDOT!$E$11</f>
        <v>5.7440409761966293E-8</v>
      </c>
      <c r="F137" s="19"/>
      <c r="G137" s="19"/>
      <c r="H137" s="19"/>
      <c r="I137" s="19">
        <v>10</v>
      </c>
      <c r="J137" s="19"/>
      <c r="K137" s="68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>
        <v>1</v>
      </c>
      <c r="X137" s="20"/>
      <c r="Y137" s="19"/>
      <c r="Z137" s="19"/>
      <c r="AA137" s="19"/>
      <c r="AB137" s="13"/>
      <c r="AC137" s="13"/>
      <c r="AD137" s="13"/>
      <c r="AE137" s="13"/>
      <c r="AF137" s="18">
        <v>1</v>
      </c>
      <c r="AG137" s="12"/>
      <c r="AH137" s="12"/>
      <c r="AI137" s="12"/>
      <c r="AJ137" s="12"/>
      <c r="AK137" s="12"/>
      <c r="AL137" s="18"/>
      <c r="AX137" s="17">
        <v>132</v>
      </c>
    </row>
    <row r="138" spans="1:50" s="17" customFormat="1" ht="13.5" x14ac:dyDescent="0.25">
      <c r="A138" s="19" t="s">
        <v>1543</v>
      </c>
      <c r="B138" s="19"/>
      <c r="C138" s="19"/>
      <c r="D138" s="19" t="s">
        <v>349</v>
      </c>
      <c r="E138" s="68">
        <f>HDS.GDOT!$E$12</f>
        <v>1.1522296006205579E-8</v>
      </c>
      <c r="F138" s="19"/>
      <c r="G138" s="19"/>
      <c r="H138" s="19"/>
      <c r="I138" s="19">
        <v>10</v>
      </c>
      <c r="J138" s="19"/>
      <c r="K138" s="68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>
        <v>1</v>
      </c>
      <c r="X138" s="20"/>
      <c r="Y138" s="19"/>
      <c r="Z138" s="19"/>
      <c r="AA138" s="19"/>
      <c r="AB138" s="13"/>
      <c r="AC138" s="13"/>
      <c r="AD138" s="13"/>
      <c r="AE138" s="13"/>
      <c r="AF138" s="18">
        <v>1</v>
      </c>
      <c r="AG138" s="12"/>
      <c r="AH138" s="12"/>
      <c r="AI138" s="12"/>
      <c r="AJ138" s="12"/>
      <c r="AK138" s="12"/>
      <c r="AL138" s="18"/>
      <c r="AX138" s="17">
        <v>133</v>
      </c>
    </row>
    <row r="139" spans="1:50" s="17" customFormat="1" ht="13.5" x14ac:dyDescent="0.25">
      <c r="A139" s="19" t="s">
        <v>1771</v>
      </c>
      <c r="B139" s="19"/>
      <c r="C139" s="19"/>
      <c r="D139" s="19" t="s">
        <v>349</v>
      </c>
      <c r="E139" s="72">
        <f>HDS.GDOT!$E$13</f>
        <v>1.3906031881560921E-10</v>
      </c>
      <c r="F139" s="19"/>
      <c r="G139" s="19"/>
      <c r="H139" s="19"/>
      <c r="I139" s="19">
        <v>10</v>
      </c>
      <c r="J139" s="19"/>
      <c r="K139" s="72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20"/>
      <c r="Y139" s="19"/>
      <c r="Z139" s="19"/>
      <c r="AA139" s="19"/>
      <c r="AB139" s="13"/>
      <c r="AC139" s="13"/>
      <c r="AD139" s="13"/>
      <c r="AE139" s="13"/>
      <c r="AF139" s="18">
        <v>1</v>
      </c>
      <c r="AG139" s="12"/>
      <c r="AH139" s="12"/>
      <c r="AI139" s="12"/>
      <c r="AJ139" s="12"/>
      <c r="AK139" s="12"/>
      <c r="AL139" s="18"/>
      <c r="AX139" s="17">
        <v>134</v>
      </c>
    </row>
    <row r="140" spans="1:50" s="17" customFormat="1" ht="13.5" x14ac:dyDescent="0.25">
      <c r="A140" s="19" t="s">
        <v>1544</v>
      </c>
      <c r="B140" s="19"/>
      <c r="C140" s="19"/>
      <c r="D140" s="19" t="s">
        <v>349</v>
      </c>
      <c r="E140" s="68" t="e">
        <f ca="1">HDS.GDOT!$E$14</f>
        <v>#NAME?</v>
      </c>
      <c r="F140" s="19"/>
      <c r="G140" s="19"/>
      <c r="H140" s="19"/>
      <c r="I140" s="19">
        <v>10</v>
      </c>
      <c r="J140" s="19"/>
      <c r="K140" s="68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>
        <v>1</v>
      </c>
      <c r="X140" s="20"/>
      <c r="Y140" s="19"/>
      <c r="Z140" s="19"/>
      <c r="AA140" s="19"/>
      <c r="AB140" s="13"/>
      <c r="AC140" s="13"/>
      <c r="AD140" s="13"/>
      <c r="AE140" s="13"/>
      <c r="AF140" s="18">
        <v>1</v>
      </c>
      <c r="AG140" s="12"/>
      <c r="AH140" s="12"/>
      <c r="AI140" s="12"/>
      <c r="AJ140" s="12"/>
      <c r="AK140" s="12"/>
      <c r="AL140" s="18"/>
      <c r="AX140" s="17">
        <v>135</v>
      </c>
    </row>
    <row r="141" spans="1:50" s="17" customFormat="1" ht="13.5" x14ac:dyDescent="0.25">
      <c r="A141" s="19" t="s">
        <v>1545</v>
      </c>
      <c r="B141" s="19"/>
      <c r="C141" s="19"/>
      <c r="D141" s="19" t="s">
        <v>349</v>
      </c>
      <c r="E141" s="72" t="e">
        <f ca="1">HDS.GDOT!$E$15</f>
        <v>#NAME?</v>
      </c>
      <c r="F141" s="19"/>
      <c r="G141" s="19"/>
      <c r="H141" s="19"/>
      <c r="I141" s="19">
        <v>10</v>
      </c>
      <c r="J141" s="19"/>
      <c r="K141" s="72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>
        <v>1</v>
      </c>
      <c r="X141" s="20"/>
      <c r="Y141" s="19"/>
      <c r="Z141" s="19"/>
      <c r="AA141" s="19"/>
      <c r="AB141" s="13"/>
      <c r="AC141" s="13"/>
      <c r="AD141" s="13"/>
      <c r="AE141" s="13"/>
      <c r="AF141" s="18">
        <v>1</v>
      </c>
      <c r="AG141" s="12"/>
      <c r="AH141" s="12"/>
      <c r="AI141" s="12"/>
      <c r="AJ141" s="12"/>
      <c r="AK141" s="12"/>
      <c r="AL141" s="18"/>
      <c r="AX141" s="17">
        <v>136</v>
      </c>
    </row>
    <row r="142" spans="1:50" s="17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20"/>
      <c r="Y142" s="19"/>
      <c r="Z142" s="19"/>
      <c r="AA142" s="19"/>
      <c r="AB142" s="13"/>
      <c r="AC142" s="13"/>
      <c r="AD142" s="13"/>
      <c r="AE142" s="13"/>
      <c r="AF142" s="18"/>
      <c r="AG142" s="12"/>
      <c r="AH142" s="12"/>
      <c r="AI142" s="12"/>
      <c r="AJ142" s="12"/>
      <c r="AK142" s="12"/>
    </row>
    <row r="143" spans="1:50" s="17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20"/>
      <c r="Y143" s="19"/>
      <c r="Z143" s="19"/>
      <c r="AA143" s="19"/>
      <c r="AB143" s="13"/>
      <c r="AC143" s="13"/>
      <c r="AD143" s="13"/>
      <c r="AE143" s="13"/>
      <c r="AF143" s="18"/>
      <c r="AG143" s="12"/>
      <c r="AH143" s="12"/>
      <c r="AI143" s="12"/>
      <c r="AJ143" s="12"/>
      <c r="AK143" s="12"/>
    </row>
    <row r="144" spans="1:50" s="17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19"/>
      <c r="Z144" s="19"/>
      <c r="AA144" s="19"/>
      <c r="AB144" s="13"/>
      <c r="AC144" s="13"/>
      <c r="AD144" s="13"/>
      <c r="AE144" s="13"/>
      <c r="AF144" s="18"/>
      <c r="AG144" s="12"/>
      <c r="AH144" s="12"/>
      <c r="AI144" s="12"/>
      <c r="AJ144" s="12"/>
      <c r="AK144" s="12"/>
    </row>
    <row r="145" spans="1:37" s="17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20"/>
      <c r="Y145" s="19"/>
      <c r="Z145" s="19"/>
      <c r="AA145" s="19"/>
      <c r="AB145" s="13"/>
      <c r="AC145" s="13"/>
      <c r="AD145" s="13"/>
      <c r="AE145" s="13"/>
      <c r="AF145" s="18"/>
      <c r="AG145" s="12"/>
      <c r="AH145" s="12"/>
      <c r="AI145" s="12"/>
      <c r="AJ145" s="12"/>
      <c r="AK145" s="12"/>
    </row>
    <row r="146" spans="1:37" s="17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20"/>
      <c r="Y146" s="19"/>
      <c r="Z146" s="19"/>
      <c r="AA146" s="19"/>
      <c r="AB146" s="13"/>
      <c r="AC146" s="13"/>
      <c r="AD146" s="13"/>
      <c r="AE146" s="13"/>
      <c r="AF146" s="18"/>
      <c r="AG146" s="12"/>
      <c r="AH146" s="12"/>
      <c r="AI146" s="12"/>
      <c r="AJ146" s="12"/>
      <c r="AK146" s="12"/>
    </row>
    <row r="147" spans="1:37" s="17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19"/>
      <c r="Z147" s="19"/>
      <c r="AA147" s="19"/>
      <c r="AB147" s="13"/>
      <c r="AC147" s="13"/>
      <c r="AD147" s="13"/>
      <c r="AE147" s="13"/>
      <c r="AF147" s="18"/>
      <c r="AG147" s="12"/>
      <c r="AH147" s="12"/>
      <c r="AI147" s="12"/>
      <c r="AJ147" s="12"/>
      <c r="AK147" s="12"/>
    </row>
    <row r="148" spans="1:37" s="17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20"/>
      <c r="Y148" s="19"/>
      <c r="Z148" s="19"/>
      <c r="AA148" s="19"/>
      <c r="AB148" s="13"/>
      <c r="AC148" s="13"/>
      <c r="AD148" s="13"/>
      <c r="AE148" s="13"/>
      <c r="AF148" s="18"/>
      <c r="AG148" s="12"/>
      <c r="AH148" s="12"/>
      <c r="AI148" s="12"/>
      <c r="AJ148" s="12"/>
      <c r="AK148" s="12"/>
    </row>
    <row r="149" spans="1:37" s="17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20"/>
      <c r="Y149" s="19"/>
      <c r="Z149" s="19"/>
      <c r="AA149" s="19"/>
      <c r="AB149" s="13"/>
      <c r="AC149" s="13"/>
      <c r="AD149" s="13"/>
      <c r="AE149" s="13"/>
      <c r="AF149" s="18"/>
      <c r="AG149" s="12"/>
      <c r="AH149" s="12"/>
      <c r="AI149" s="12"/>
      <c r="AJ149" s="12"/>
      <c r="AK149" s="12"/>
    </row>
    <row r="150" spans="1:37" s="17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20"/>
      <c r="Y150" s="19"/>
      <c r="Z150" s="19"/>
      <c r="AA150" s="19"/>
      <c r="AB150" s="13"/>
      <c r="AC150" s="13"/>
      <c r="AD150" s="13"/>
      <c r="AE150" s="13"/>
      <c r="AF150" s="18"/>
      <c r="AG150" s="12"/>
      <c r="AH150" s="12"/>
      <c r="AI150" s="12"/>
      <c r="AJ150" s="12"/>
      <c r="AK150" s="12"/>
    </row>
    <row r="151" spans="1:37" customFormat="1" x14ac:dyDescent="0.2"/>
  </sheetData>
  <sheetProtection formatCells="0" formatColumns="0" formatRows="0" insertRows="0" deleteRows="0"/>
  <sortState xmlns:xlrd2="http://schemas.microsoft.com/office/spreadsheetml/2017/richdata2" ref="A6:AX141">
    <sortCondition ref="AX6:AX141"/>
  </sortState>
  <pageMargins left="0.75" right="0.75" top="1" bottom="1" header="0.5" footer="0.5"/>
  <pageSetup paperSize="9" orientation="portrait" horizontalDpi="4294967294" r:id="rId1"/>
  <headerFooter alignWithMargins="0"/>
  <legacy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0"/>
  <dimension ref="A1:AX184"/>
  <sheetViews>
    <sheetView workbookViewId="0">
      <pane xSplit="1" ySplit="5" topLeftCell="B144" activePane="bottomRight" state="frozen"/>
      <selection pane="topRight" activeCell="B1" sqref="B1"/>
      <selection pane="bottomLeft" activeCell="A6" sqref="A6"/>
      <selection pane="bottomRight" activeCell="A6" sqref="A6:AX174"/>
    </sheetView>
  </sheetViews>
  <sheetFormatPr defaultColWidth="9.140625" defaultRowHeight="12.75" x14ac:dyDescent="0.25"/>
  <cols>
    <col min="1" max="1" width="23.28515625" style="8" customWidth="1"/>
    <col min="2" max="2" width="30" style="8" customWidth="1"/>
    <col min="3" max="3" width="12.85546875" style="8" customWidth="1"/>
    <col min="4" max="4" width="17.42578125" style="8" customWidth="1"/>
    <col min="5" max="5" width="14" style="8" customWidth="1"/>
    <col min="6" max="6" width="15.7109375" style="8" customWidth="1"/>
    <col min="7" max="7" width="17.140625" style="8" customWidth="1"/>
    <col min="8" max="8" width="15.42578125" style="8" customWidth="1"/>
    <col min="9" max="9" width="17.42578125" style="8" customWidth="1"/>
    <col min="10" max="10" width="14.85546875" style="8" customWidth="1"/>
    <col min="11" max="12" width="17.42578125" style="8" customWidth="1"/>
    <col min="13" max="13" width="14.85546875" style="8" customWidth="1"/>
    <col min="14" max="15" width="11.7109375" style="8" customWidth="1"/>
    <col min="16" max="16" width="10.140625" style="8" customWidth="1"/>
    <col min="17" max="17" width="11.7109375" style="8" customWidth="1"/>
    <col min="18" max="18" width="17.42578125" style="8" customWidth="1"/>
    <col min="19" max="19" width="9.140625" style="8"/>
    <col min="20" max="20" width="15.42578125" style="8" customWidth="1"/>
    <col min="21" max="21" width="16" style="8" bestFit="1" customWidth="1"/>
    <col min="22" max="22" width="12.140625" style="8" bestFit="1" customWidth="1"/>
    <col min="23" max="23" width="10.28515625" style="8" bestFit="1" customWidth="1"/>
    <col min="24" max="24" width="10.85546875" style="8" bestFit="1" customWidth="1"/>
    <col min="25" max="33" width="9.140625" style="8"/>
    <col min="34" max="34" width="10.42578125" style="8" customWidth="1"/>
    <col min="35" max="35" width="10" style="8" customWidth="1"/>
    <col min="36" max="36" width="9.85546875" style="8" customWidth="1"/>
    <col min="37" max="38" width="9.140625" style="8"/>
    <col min="39" max="39" width="15" style="8" customWidth="1"/>
    <col min="40" max="40" width="12.140625" style="8" customWidth="1"/>
    <col min="41" max="41" width="18.28515625" style="8" customWidth="1"/>
    <col min="42" max="42" width="12.28515625" style="8" customWidth="1"/>
    <col min="43" max="16384" width="9.140625" style="8"/>
  </cols>
  <sheetData>
    <row r="1" spans="1:50" x14ac:dyDescent="0.25">
      <c r="A1" s="10"/>
      <c r="B1" s="11" t="s">
        <v>44</v>
      </c>
      <c r="C1" s="10"/>
      <c r="D1" s="11" t="s">
        <v>45</v>
      </c>
      <c r="E1" s="11" t="s">
        <v>45</v>
      </c>
      <c r="F1" s="11" t="s">
        <v>45</v>
      </c>
      <c r="G1" s="11" t="s">
        <v>45</v>
      </c>
      <c r="H1" s="11" t="s">
        <v>45</v>
      </c>
      <c r="I1" s="11" t="s">
        <v>45</v>
      </c>
      <c r="J1" s="11" t="s">
        <v>45</v>
      </c>
      <c r="K1" s="11" t="s">
        <v>45</v>
      </c>
      <c r="L1" s="11" t="s">
        <v>45</v>
      </c>
      <c r="M1" s="11" t="s">
        <v>45</v>
      </c>
      <c r="N1" s="11" t="s">
        <v>52</v>
      </c>
      <c r="O1" s="11" t="s">
        <v>52</v>
      </c>
      <c r="P1" s="11" t="s">
        <v>52</v>
      </c>
      <c r="Q1" s="11" t="s">
        <v>52</v>
      </c>
      <c r="R1" s="11" t="s">
        <v>45</v>
      </c>
      <c r="S1" s="11" t="s">
        <v>52</v>
      </c>
      <c r="T1" s="11" t="s">
        <v>52</v>
      </c>
      <c r="U1" s="11" t="s">
        <v>45</v>
      </c>
      <c r="V1" s="11" t="s">
        <v>52</v>
      </c>
      <c r="W1" s="11" t="s">
        <v>52</v>
      </c>
      <c r="X1" s="11" t="s">
        <v>52</v>
      </c>
      <c r="Y1" s="12" t="s">
        <v>52</v>
      </c>
      <c r="Z1" s="12" t="s">
        <v>52</v>
      </c>
      <c r="AA1" s="12" t="s">
        <v>52</v>
      </c>
      <c r="AB1" s="12" t="s">
        <v>52</v>
      </c>
      <c r="AC1" s="12" t="s">
        <v>52</v>
      </c>
      <c r="AD1" s="12" t="s">
        <v>52</v>
      </c>
      <c r="AE1" s="12" t="s">
        <v>45</v>
      </c>
      <c r="AF1" s="12" t="s">
        <v>52</v>
      </c>
      <c r="AG1" s="12" t="s">
        <v>45</v>
      </c>
      <c r="AH1" s="12" t="s">
        <v>45</v>
      </c>
      <c r="AI1" s="12" t="s">
        <v>52</v>
      </c>
      <c r="AJ1" s="12" t="s">
        <v>52</v>
      </c>
      <c r="AK1" s="12" t="s">
        <v>52</v>
      </c>
      <c r="AL1" s="12" t="s">
        <v>52</v>
      </c>
      <c r="AM1" s="12" t="s">
        <v>52</v>
      </c>
      <c r="AN1" s="12" t="s">
        <v>52</v>
      </c>
      <c r="AO1" s="12" t="s">
        <v>52</v>
      </c>
    </row>
    <row r="2" spans="1:50" x14ac:dyDescent="0.25">
      <c r="B2" s="8">
        <v>1</v>
      </c>
      <c r="C2" s="8">
        <v>2</v>
      </c>
      <c r="D2" s="8">
        <v>3</v>
      </c>
      <c r="E2" s="8">
        <v>4</v>
      </c>
      <c r="F2" s="8">
        <v>5</v>
      </c>
      <c r="G2" s="8">
        <v>6</v>
      </c>
      <c r="H2" s="8">
        <v>7</v>
      </c>
      <c r="I2" s="8">
        <v>8</v>
      </c>
      <c r="J2" s="8">
        <v>9</v>
      </c>
      <c r="K2" s="8">
        <v>10</v>
      </c>
      <c r="L2" s="8">
        <v>11</v>
      </c>
      <c r="M2" s="8">
        <v>12</v>
      </c>
      <c r="N2" s="8">
        <v>13</v>
      </c>
      <c r="O2" s="8">
        <v>14</v>
      </c>
      <c r="P2" s="8">
        <v>15</v>
      </c>
      <c r="Q2" s="8">
        <v>16</v>
      </c>
      <c r="R2" s="8">
        <v>17</v>
      </c>
      <c r="S2" s="8">
        <v>18</v>
      </c>
      <c r="T2" s="8">
        <v>19</v>
      </c>
      <c r="U2" s="8">
        <v>20</v>
      </c>
      <c r="V2" s="8">
        <v>21</v>
      </c>
      <c r="W2" s="8">
        <v>22</v>
      </c>
      <c r="X2" s="8">
        <v>23</v>
      </c>
      <c r="Y2" s="8">
        <v>24</v>
      </c>
      <c r="Z2" s="8">
        <v>25</v>
      </c>
      <c r="AA2" s="8">
        <v>26</v>
      </c>
      <c r="AB2" s="8">
        <v>27</v>
      </c>
      <c r="AC2" s="8">
        <v>28</v>
      </c>
      <c r="AD2" s="8">
        <v>29</v>
      </c>
      <c r="AE2" s="8">
        <v>30</v>
      </c>
      <c r="AF2" s="8">
        <v>31</v>
      </c>
      <c r="AG2" s="8">
        <v>32</v>
      </c>
      <c r="AH2" s="8">
        <v>33</v>
      </c>
      <c r="AI2" s="8">
        <v>34</v>
      </c>
      <c r="AJ2" s="8">
        <v>35</v>
      </c>
      <c r="AK2" s="8">
        <v>36</v>
      </c>
      <c r="AL2" s="8">
        <v>37</v>
      </c>
      <c r="AM2" s="8">
        <v>38</v>
      </c>
      <c r="AN2" s="8">
        <v>39</v>
      </c>
      <c r="AO2" s="8">
        <v>40</v>
      </c>
      <c r="AP2" s="8">
        <v>41</v>
      </c>
    </row>
    <row r="3" spans="1:50" x14ac:dyDescent="0.25">
      <c r="H3" s="12" t="s">
        <v>46</v>
      </c>
      <c r="K3" s="12" t="s">
        <v>55</v>
      </c>
      <c r="N3" s="12" t="s">
        <v>56</v>
      </c>
      <c r="AE3" s="8" t="s">
        <v>150</v>
      </c>
      <c r="AF3" s="8" t="s">
        <v>163</v>
      </c>
      <c r="AN3" s="8" t="s">
        <v>152</v>
      </c>
      <c r="AO3" s="8" t="s">
        <v>153</v>
      </c>
      <c r="AP3" s="8" t="s">
        <v>151</v>
      </c>
    </row>
    <row r="4" spans="1:50" x14ac:dyDescent="0.25">
      <c r="A4" s="8" t="s">
        <v>157</v>
      </c>
      <c r="B4" s="8" t="s">
        <v>158</v>
      </c>
      <c r="C4" s="8" t="s">
        <v>158</v>
      </c>
      <c r="D4" s="8" t="s">
        <v>5</v>
      </c>
      <c r="F4" s="34">
        <v>-1E+30</v>
      </c>
      <c r="G4" s="34">
        <v>1E+30</v>
      </c>
      <c r="H4" s="8">
        <v>0</v>
      </c>
      <c r="I4" s="8">
        <v>0</v>
      </c>
      <c r="J4" s="8">
        <v>0</v>
      </c>
      <c r="K4" s="8" t="s">
        <v>158</v>
      </c>
      <c r="L4" s="8" t="s">
        <v>158</v>
      </c>
      <c r="M4" s="8" t="s">
        <v>158</v>
      </c>
      <c r="N4" s="8">
        <v>0</v>
      </c>
      <c r="O4" s="8">
        <v>0</v>
      </c>
      <c r="P4" s="8" t="s">
        <v>52</v>
      </c>
      <c r="Q4" s="8" t="s">
        <v>158</v>
      </c>
      <c r="R4" s="8" t="s">
        <v>158</v>
      </c>
      <c r="S4" s="8" t="s">
        <v>161</v>
      </c>
      <c r="T4" s="8" t="s">
        <v>52</v>
      </c>
      <c r="U4" s="8" t="s">
        <v>52</v>
      </c>
      <c r="V4" s="8">
        <v>0</v>
      </c>
      <c r="W4" s="8">
        <v>0</v>
      </c>
      <c r="X4" s="8" t="s">
        <v>159</v>
      </c>
      <c r="Y4" s="8" t="s">
        <v>52</v>
      </c>
      <c r="Z4" s="8">
        <v>4</v>
      </c>
      <c r="AA4" s="8">
        <v>0</v>
      </c>
      <c r="AB4" s="8">
        <v>0</v>
      </c>
      <c r="AC4" s="34">
        <v>-1E+30</v>
      </c>
      <c r="AD4" s="34">
        <v>1E+30</v>
      </c>
      <c r="AE4" s="8" t="s">
        <v>52</v>
      </c>
      <c r="AF4" s="8">
        <v>0</v>
      </c>
      <c r="AG4" s="8" t="s">
        <v>158</v>
      </c>
      <c r="AH4" s="8" t="s">
        <v>158</v>
      </c>
      <c r="AI4" s="8" t="s">
        <v>158</v>
      </c>
      <c r="AJ4" s="8" t="s">
        <v>158</v>
      </c>
      <c r="AK4" s="8">
        <v>0</v>
      </c>
      <c r="AL4" s="8">
        <v>0</v>
      </c>
      <c r="AN4" s="8">
        <v>0</v>
      </c>
      <c r="AO4" s="8" t="s">
        <v>158</v>
      </c>
      <c r="AP4" s="8" t="s">
        <v>158</v>
      </c>
    </row>
    <row r="5" spans="1:50" ht="25.5" x14ac:dyDescent="0.25">
      <c r="A5" s="13" t="s">
        <v>7</v>
      </c>
      <c r="B5" s="13" t="s">
        <v>26</v>
      </c>
      <c r="C5" s="13" t="s">
        <v>27</v>
      </c>
      <c r="D5" s="13" t="s">
        <v>23</v>
      </c>
      <c r="E5" s="13" t="s">
        <v>20</v>
      </c>
      <c r="F5" s="13" t="s">
        <v>21</v>
      </c>
      <c r="G5" s="13" t="s">
        <v>22</v>
      </c>
      <c r="H5" s="13" t="s">
        <v>47</v>
      </c>
      <c r="I5" s="13" t="s">
        <v>48</v>
      </c>
      <c r="J5" s="13" t="s">
        <v>1</v>
      </c>
      <c r="K5" s="13" t="s">
        <v>49</v>
      </c>
      <c r="L5" s="13" t="s">
        <v>50</v>
      </c>
      <c r="M5" s="13" t="s">
        <v>51</v>
      </c>
      <c r="N5" s="13" t="s">
        <v>53</v>
      </c>
      <c r="O5" s="13" t="s">
        <v>54</v>
      </c>
      <c r="P5" s="13" t="s">
        <v>16</v>
      </c>
      <c r="Q5" s="13" t="s">
        <v>42</v>
      </c>
      <c r="R5" s="13" t="s">
        <v>41</v>
      </c>
      <c r="S5" s="13" t="s">
        <v>65</v>
      </c>
      <c r="T5" s="13" t="s">
        <v>66</v>
      </c>
      <c r="U5" s="13" t="s">
        <v>43</v>
      </c>
      <c r="V5" s="13" t="s">
        <v>67</v>
      </c>
      <c r="W5" s="13" t="s">
        <v>61</v>
      </c>
      <c r="X5" s="13" t="s">
        <v>68</v>
      </c>
      <c r="Y5" s="14" t="s">
        <v>72</v>
      </c>
      <c r="Z5" s="14" t="s">
        <v>73</v>
      </c>
      <c r="AA5" s="14" t="s">
        <v>84</v>
      </c>
      <c r="AB5" s="14" t="s">
        <v>83</v>
      </c>
      <c r="AC5" s="13" t="s">
        <v>85</v>
      </c>
      <c r="AD5" s="13" t="s">
        <v>86</v>
      </c>
      <c r="AE5" s="13" t="s">
        <v>88</v>
      </c>
      <c r="AF5" s="12" t="s">
        <v>100</v>
      </c>
      <c r="AG5" s="12" t="s">
        <v>102</v>
      </c>
      <c r="AH5" s="12" t="s">
        <v>105</v>
      </c>
      <c r="AI5" s="12" t="s">
        <v>103</v>
      </c>
      <c r="AJ5" s="12" t="s">
        <v>104</v>
      </c>
      <c r="AK5" s="12" t="s">
        <v>106</v>
      </c>
      <c r="AL5" s="12" t="s">
        <v>107</v>
      </c>
      <c r="AM5" s="12" t="s">
        <v>110</v>
      </c>
      <c r="AN5" s="12" t="s">
        <v>113</v>
      </c>
      <c r="AO5" s="12" t="s">
        <v>114</v>
      </c>
      <c r="AP5" s="12" t="s">
        <v>134</v>
      </c>
    </row>
    <row r="6" spans="1:50" x14ac:dyDescent="0.25">
      <c r="A6" s="13" t="s">
        <v>512</v>
      </c>
      <c r="B6" s="13"/>
      <c r="C6" s="13"/>
      <c r="D6" s="13" t="s">
        <v>349</v>
      </c>
      <c r="E6" s="13">
        <v>212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>
        <v>0.2</v>
      </c>
      <c r="W6" s="13"/>
      <c r="X6" s="13"/>
      <c r="Y6" s="14"/>
      <c r="Z6" s="14"/>
      <c r="AA6" s="14"/>
      <c r="AB6" s="14"/>
      <c r="AC6" s="13"/>
      <c r="AD6" s="13"/>
      <c r="AE6" s="13"/>
      <c r="AF6" s="12">
        <v>0</v>
      </c>
      <c r="AG6" s="12"/>
      <c r="AH6" s="12"/>
      <c r="AI6" s="12"/>
      <c r="AJ6" s="12"/>
      <c r="AK6" s="12"/>
      <c r="AL6" s="12"/>
      <c r="AM6" s="12"/>
      <c r="AN6" s="12"/>
      <c r="AO6" s="12"/>
      <c r="AP6" s="12"/>
      <c r="AX6" s="8">
        <v>1</v>
      </c>
    </row>
    <row r="7" spans="1:50" x14ac:dyDescent="0.25">
      <c r="A7" s="13" t="s">
        <v>513</v>
      </c>
      <c r="B7" s="13"/>
      <c r="C7" s="13"/>
      <c r="D7" s="13" t="s">
        <v>349</v>
      </c>
      <c r="E7" s="13">
        <v>14.2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>
        <v>0.2</v>
      </c>
      <c r="W7" s="13"/>
      <c r="X7" s="13"/>
      <c r="Y7" s="14"/>
      <c r="Z7" s="14"/>
      <c r="AA7" s="14"/>
      <c r="AB7" s="14"/>
      <c r="AC7" s="13"/>
      <c r="AD7" s="13"/>
      <c r="AE7" s="13"/>
      <c r="AF7" s="12">
        <v>0</v>
      </c>
      <c r="AG7" s="12"/>
      <c r="AH7" s="12"/>
      <c r="AI7" s="12"/>
      <c r="AJ7" s="12"/>
      <c r="AK7" s="12"/>
      <c r="AL7" s="12"/>
      <c r="AM7" s="12"/>
      <c r="AN7" s="12"/>
      <c r="AO7" s="12"/>
      <c r="AP7" s="12"/>
      <c r="AX7" s="8">
        <v>2</v>
      </c>
    </row>
    <row r="8" spans="1:50" x14ac:dyDescent="0.25">
      <c r="A8" s="13" t="s">
        <v>514</v>
      </c>
      <c r="B8" s="13"/>
      <c r="C8" s="13"/>
      <c r="D8" s="13" t="s">
        <v>349</v>
      </c>
      <c r="E8" s="13">
        <v>80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>
        <v>0.2</v>
      </c>
      <c r="W8" s="13"/>
      <c r="X8" s="13"/>
      <c r="Y8" s="14"/>
      <c r="Z8" s="14"/>
      <c r="AA8" s="14"/>
      <c r="AB8" s="14"/>
      <c r="AC8" s="13"/>
      <c r="AD8" s="13"/>
      <c r="AE8" s="13"/>
      <c r="AF8" s="12">
        <v>0</v>
      </c>
      <c r="AG8" s="12"/>
      <c r="AH8" s="12"/>
      <c r="AI8" s="12"/>
      <c r="AJ8" s="12"/>
      <c r="AK8" s="12"/>
      <c r="AL8" s="12"/>
      <c r="AM8" s="12"/>
      <c r="AN8" s="12"/>
      <c r="AO8" s="12"/>
      <c r="AP8" s="12"/>
      <c r="AX8" s="8">
        <v>3</v>
      </c>
    </row>
    <row r="9" spans="1:50" x14ac:dyDescent="0.25">
      <c r="A9" s="13" t="s">
        <v>515</v>
      </c>
      <c r="B9" s="13"/>
      <c r="C9" s="13"/>
      <c r="D9" s="13" t="s">
        <v>349</v>
      </c>
      <c r="E9" s="13">
        <v>16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>
        <v>0.2</v>
      </c>
      <c r="W9" s="13"/>
      <c r="X9" s="13"/>
      <c r="Y9" s="14"/>
      <c r="Z9" s="14"/>
      <c r="AA9" s="14"/>
      <c r="AB9" s="14"/>
      <c r="AC9" s="13"/>
      <c r="AD9" s="13"/>
      <c r="AE9" s="13"/>
      <c r="AF9" s="12">
        <v>4</v>
      </c>
      <c r="AG9" s="12"/>
      <c r="AH9" s="12"/>
      <c r="AI9" s="12"/>
      <c r="AJ9" s="12"/>
      <c r="AK9" s="12"/>
      <c r="AL9" s="12"/>
      <c r="AM9" s="12"/>
      <c r="AN9" s="12"/>
      <c r="AO9" s="12"/>
      <c r="AP9" s="12"/>
      <c r="AX9" s="8">
        <v>4</v>
      </c>
    </row>
    <row r="10" spans="1:50" x14ac:dyDescent="0.25">
      <c r="A10" s="13" t="s">
        <v>516</v>
      </c>
      <c r="B10" s="13"/>
      <c r="C10" s="13"/>
      <c r="D10" s="13" t="s">
        <v>349</v>
      </c>
      <c r="E10" s="13">
        <v>16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>
        <v>0.2</v>
      </c>
      <c r="W10" s="13"/>
      <c r="X10" s="13"/>
      <c r="Y10" s="14"/>
      <c r="Z10" s="14"/>
      <c r="AA10" s="14"/>
      <c r="AB10" s="14"/>
      <c r="AC10" s="13"/>
      <c r="AD10" s="13"/>
      <c r="AE10" s="13"/>
      <c r="AF10" s="12">
        <v>0</v>
      </c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X10" s="8">
        <v>5</v>
      </c>
    </row>
    <row r="11" spans="1:50" x14ac:dyDescent="0.25">
      <c r="A11" s="13" t="s">
        <v>517</v>
      </c>
      <c r="B11" s="13"/>
      <c r="C11" s="13"/>
      <c r="D11" s="13" t="s">
        <v>349</v>
      </c>
      <c r="E11" s="13">
        <v>16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>
        <v>0.2</v>
      </c>
      <c r="W11" s="13"/>
      <c r="X11" s="13"/>
      <c r="Y11" s="14"/>
      <c r="Z11" s="14"/>
      <c r="AA11" s="14"/>
      <c r="AB11" s="14"/>
      <c r="AC11" s="13"/>
      <c r="AD11" s="13"/>
      <c r="AE11" s="13"/>
      <c r="AF11" s="12">
        <v>0</v>
      </c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X11" s="8">
        <v>6</v>
      </c>
    </row>
    <row r="12" spans="1:50" x14ac:dyDescent="0.25">
      <c r="A12" s="13" t="s">
        <v>519</v>
      </c>
      <c r="B12" s="13"/>
      <c r="C12" s="13"/>
      <c r="D12" s="13" t="s">
        <v>349</v>
      </c>
      <c r="E12" s="13">
        <v>16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>
        <v>0.2</v>
      </c>
      <c r="W12" s="13"/>
      <c r="X12" s="13"/>
      <c r="Y12" s="14"/>
      <c r="Z12" s="14"/>
      <c r="AA12" s="14"/>
      <c r="AB12" s="14"/>
      <c r="AC12" s="13"/>
      <c r="AD12" s="13"/>
      <c r="AE12" s="13"/>
      <c r="AF12" s="12">
        <v>0</v>
      </c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X12" s="8">
        <v>7</v>
      </c>
    </row>
    <row r="13" spans="1:50" x14ac:dyDescent="0.25">
      <c r="A13" s="13" t="s">
        <v>520</v>
      </c>
      <c r="B13" s="13"/>
      <c r="C13" s="13"/>
      <c r="D13" s="13" t="s">
        <v>349</v>
      </c>
      <c r="E13" s="13">
        <v>16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>
        <v>0.2</v>
      </c>
      <c r="W13" s="13"/>
      <c r="X13" s="13"/>
      <c r="Y13" s="14"/>
      <c r="Z13" s="14"/>
      <c r="AA13" s="14"/>
      <c r="AB13" s="14"/>
      <c r="AC13" s="13"/>
      <c r="AD13" s="13"/>
      <c r="AE13" s="13"/>
      <c r="AF13" s="12">
        <v>4</v>
      </c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X13" s="8">
        <v>8</v>
      </c>
    </row>
    <row r="14" spans="1:50" ht="25.5" x14ac:dyDescent="0.25">
      <c r="A14" s="13" t="s">
        <v>564</v>
      </c>
      <c r="B14" s="13" t="s">
        <v>1731</v>
      </c>
      <c r="C14" s="13" t="s">
        <v>1070</v>
      </c>
      <c r="D14" s="13" t="s">
        <v>349</v>
      </c>
      <c r="E14" s="13" t="s">
        <v>1161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>
        <v>0.2</v>
      </c>
      <c r="W14" s="13"/>
      <c r="X14" s="13"/>
      <c r="Y14" s="14"/>
      <c r="Z14" s="14"/>
      <c r="AA14" s="14"/>
      <c r="AB14" s="14"/>
      <c r="AC14" s="13"/>
      <c r="AD14" s="13"/>
      <c r="AE14" s="13"/>
      <c r="AF14" s="12">
        <v>4</v>
      </c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X14" s="8">
        <v>9</v>
      </c>
    </row>
    <row r="15" spans="1:50" ht="25.5" x14ac:dyDescent="0.25">
      <c r="A15" s="13" t="s">
        <v>565</v>
      </c>
      <c r="B15" s="13" t="s">
        <v>1731</v>
      </c>
      <c r="C15" s="13" t="s">
        <v>1070</v>
      </c>
      <c r="D15" s="13" t="s">
        <v>349</v>
      </c>
      <c r="E15" s="13" t="s">
        <v>1162</v>
      </c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>
        <v>0.2</v>
      </c>
      <c r="W15" s="13"/>
      <c r="X15" s="13"/>
      <c r="Y15" s="14"/>
      <c r="Z15" s="14"/>
      <c r="AA15" s="14"/>
      <c r="AB15" s="14"/>
      <c r="AC15" s="13"/>
      <c r="AD15" s="13"/>
      <c r="AE15" s="13"/>
      <c r="AF15" s="12">
        <v>4</v>
      </c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X15" s="8">
        <v>10</v>
      </c>
    </row>
    <row r="16" spans="1:50" ht="25.5" x14ac:dyDescent="0.25">
      <c r="A16" s="13" t="s">
        <v>566</v>
      </c>
      <c r="B16" s="13" t="s">
        <v>1731</v>
      </c>
      <c r="C16" s="13" t="s">
        <v>1070</v>
      </c>
      <c r="D16" s="13" t="s">
        <v>349</v>
      </c>
      <c r="E16" s="13" t="s">
        <v>1163</v>
      </c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>
        <v>0.2</v>
      </c>
      <c r="W16" s="13"/>
      <c r="X16" s="13"/>
      <c r="Y16" s="14"/>
      <c r="Z16" s="14"/>
      <c r="AA16" s="14"/>
      <c r="AB16" s="14"/>
      <c r="AC16" s="13"/>
      <c r="AD16" s="13"/>
      <c r="AE16" s="13"/>
      <c r="AF16" s="12">
        <v>4</v>
      </c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X16" s="8">
        <v>11</v>
      </c>
    </row>
    <row r="17" spans="1:50" ht="25.5" x14ac:dyDescent="0.25">
      <c r="A17" s="13" t="s">
        <v>567</v>
      </c>
      <c r="B17" s="13" t="s">
        <v>1731</v>
      </c>
      <c r="C17" s="13" t="s">
        <v>1070</v>
      </c>
      <c r="D17" s="13" t="s">
        <v>349</v>
      </c>
      <c r="E17" s="13" t="s">
        <v>1164</v>
      </c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>
        <v>0.2</v>
      </c>
      <c r="W17" s="13"/>
      <c r="X17" s="13"/>
      <c r="Y17" s="14"/>
      <c r="Z17" s="14"/>
      <c r="AA17" s="14"/>
      <c r="AB17" s="14"/>
      <c r="AC17" s="13"/>
      <c r="AD17" s="13"/>
      <c r="AE17" s="13"/>
      <c r="AF17" s="12">
        <v>4</v>
      </c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X17" s="8">
        <v>12</v>
      </c>
    </row>
    <row r="18" spans="1:50" ht="25.5" x14ac:dyDescent="0.25">
      <c r="A18" s="13" t="s">
        <v>568</v>
      </c>
      <c r="B18" s="13" t="s">
        <v>1731</v>
      </c>
      <c r="C18" s="13" t="s">
        <v>1070</v>
      </c>
      <c r="D18" s="13" t="s">
        <v>349</v>
      </c>
      <c r="E18" s="13" t="s">
        <v>1165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>
        <v>0.2</v>
      </c>
      <c r="W18" s="13"/>
      <c r="X18" s="13"/>
      <c r="Y18" s="14"/>
      <c r="Z18" s="14"/>
      <c r="AA18" s="14"/>
      <c r="AB18" s="14"/>
      <c r="AC18" s="13"/>
      <c r="AD18" s="13"/>
      <c r="AE18" s="13"/>
      <c r="AF18" s="12">
        <v>4</v>
      </c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X18" s="8">
        <v>13</v>
      </c>
    </row>
    <row r="19" spans="1:50" ht="25.5" x14ac:dyDescent="0.25">
      <c r="A19" s="13" t="s">
        <v>569</v>
      </c>
      <c r="B19" s="13" t="s">
        <v>1731</v>
      </c>
      <c r="C19" s="13" t="s">
        <v>1070</v>
      </c>
      <c r="D19" s="13" t="s">
        <v>349</v>
      </c>
      <c r="E19" s="13" t="s">
        <v>1166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>
        <v>0.2</v>
      </c>
      <c r="W19" s="13"/>
      <c r="X19" s="13"/>
      <c r="Y19" s="14"/>
      <c r="Z19" s="14"/>
      <c r="AA19" s="14"/>
      <c r="AB19" s="14"/>
      <c r="AC19" s="13"/>
      <c r="AD19" s="13"/>
      <c r="AE19" s="13"/>
      <c r="AF19" s="12">
        <v>4</v>
      </c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X19" s="8">
        <v>14</v>
      </c>
    </row>
    <row r="20" spans="1:50" ht="25.5" x14ac:dyDescent="0.25">
      <c r="A20" s="13" t="s">
        <v>570</v>
      </c>
      <c r="B20" s="13" t="s">
        <v>1731</v>
      </c>
      <c r="C20" s="13" t="s">
        <v>1070</v>
      </c>
      <c r="D20" s="13" t="s">
        <v>349</v>
      </c>
      <c r="E20" s="13" t="s">
        <v>1167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>
        <v>0.2</v>
      </c>
      <c r="W20" s="13"/>
      <c r="X20" s="13"/>
      <c r="Y20" s="14"/>
      <c r="Z20" s="14"/>
      <c r="AA20" s="14"/>
      <c r="AB20" s="14"/>
      <c r="AC20" s="13"/>
      <c r="AD20" s="13"/>
      <c r="AE20" s="13"/>
      <c r="AF20" s="12">
        <v>4</v>
      </c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X20" s="8">
        <v>15</v>
      </c>
    </row>
    <row r="21" spans="1:50" ht="25.5" x14ac:dyDescent="0.25">
      <c r="A21" s="13" t="s">
        <v>571</v>
      </c>
      <c r="B21" s="13" t="s">
        <v>1731</v>
      </c>
      <c r="C21" s="13" t="s">
        <v>1070</v>
      </c>
      <c r="D21" s="13" t="s">
        <v>349</v>
      </c>
      <c r="E21" s="13" t="s">
        <v>1168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>
        <v>0.2</v>
      </c>
      <c r="W21" s="13"/>
      <c r="X21" s="13"/>
      <c r="Y21" s="14"/>
      <c r="Z21" s="14"/>
      <c r="AA21" s="14"/>
      <c r="AB21" s="14"/>
      <c r="AC21" s="13"/>
      <c r="AD21" s="13"/>
      <c r="AE21" s="13"/>
      <c r="AF21" s="12">
        <v>4</v>
      </c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X21" s="8">
        <v>16</v>
      </c>
    </row>
    <row r="22" spans="1:50" ht="25.5" x14ac:dyDescent="0.25">
      <c r="A22" s="13" t="s">
        <v>572</v>
      </c>
      <c r="B22" s="13" t="s">
        <v>1731</v>
      </c>
      <c r="C22" s="13" t="s">
        <v>1070</v>
      </c>
      <c r="D22" s="13" t="s">
        <v>349</v>
      </c>
      <c r="E22" s="13" t="s">
        <v>1169</v>
      </c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>
        <v>0.2</v>
      </c>
      <c r="W22" s="13"/>
      <c r="X22" s="13"/>
      <c r="Y22" s="14"/>
      <c r="Z22" s="14"/>
      <c r="AA22" s="14"/>
      <c r="AB22" s="14"/>
      <c r="AC22" s="13"/>
      <c r="AD22" s="13"/>
      <c r="AE22" s="13"/>
      <c r="AF22" s="12">
        <v>4</v>
      </c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X22" s="8">
        <v>17</v>
      </c>
    </row>
    <row r="23" spans="1:50" ht="25.5" x14ac:dyDescent="0.25">
      <c r="A23" s="13" t="s">
        <v>573</v>
      </c>
      <c r="B23" s="13" t="s">
        <v>1731</v>
      </c>
      <c r="C23" s="13" t="s">
        <v>1070</v>
      </c>
      <c r="D23" s="13" t="s">
        <v>349</v>
      </c>
      <c r="E23" s="13" t="s">
        <v>1170</v>
      </c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>
        <v>0.2</v>
      </c>
      <c r="W23" s="13"/>
      <c r="X23" s="13"/>
      <c r="Y23" s="14"/>
      <c r="Z23" s="14"/>
      <c r="AA23" s="14"/>
      <c r="AB23" s="14"/>
      <c r="AC23" s="13"/>
      <c r="AD23" s="13"/>
      <c r="AE23" s="13"/>
      <c r="AF23" s="12">
        <v>4</v>
      </c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X23" s="8">
        <v>18</v>
      </c>
    </row>
    <row r="24" spans="1:50" ht="25.5" x14ac:dyDescent="0.25">
      <c r="A24" s="13" t="s">
        <v>574</v>
      </c>
      <c r="B24" s="13" t="s">
        <v>1731</v>
      </c>
      <c r="C24" s="13" t="s">
        <v>1070</v>
      </c>
      <c r="D24" s="13" t="s">
        <v>349</v>
      </c>
      <c r="E24" s="13" t="s">
        <v>1171</v>
      </c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>
        <v>0.2</v>
      </c>
      <c r="W24" s="13"/>
      <c r="X24" s="13"/>
      <c r="Y24" s="14"/>
      <c r="Z24" s="14"/>
      <c r="AA24" s="14"/>
      <c r="AB24" s="14"/>
      <c r="AC24" s="13"/>
      <c r="AD24" s="13"/>
      <c r="AE24" s="13"/>
      <c r="AF24" s="12">
        <v>4</v>
      </c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X24" s="8">
        <v>19</v>
      </c>
    </row>
    <row r="25" spans="1:50" ht="25.5" x14ac:dyDescent="0.25">
      <c r="A25" s="13" t="s">
        <v>575</v>
      </c>
      <c r="B25" s="13" t="s">
        <v>1731</v>
      </c>
      <c r="C25" s="13" t="s">
        <v>1070</v>
      </c>
      <c r="D25" s="13" t="s">
        <v>349</v>
      </c>
      <c r="E25" s="13" t="s">
        <v>1172</v>
      </c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>
        <v>0.2</v>
      </c>
      <c r="W25" s="13"/>
      <c r="X25" s="13"/>
      <c r="Y25" s="14"/>
      <c r="Z25" s="14"/>
      <c r="AA25" s="14"/>
      <c r="AB25" s="14"/>
      <c r="AC25" s="13"/>
      <c r="AD25" s="13"/>
      <c r="AE25" s="13"/>
      <c r="AF25" s="12">
        <v>4</v>
      </c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X25" s="8">
        <v>20</v>
      </c>
    </row>
    <row r="26" spans="1:50" ht="25.5" x14ac:dyDescent="0.25">
      <c r="A26" s="13" t="s">
        <v>576</v>
      </c>
      <c r="B26" s="13" t="s">
        <v>1731</v>
      </c>
      <c r="C26" s="13" t="s">
        <v>1070</v>
      </c>
      <c r="D26" s="13" t="s">
        <v>349</v>
      </c>
      <c r="E26" s="13" t="s">
        <v>1173</v>
      </c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>
        <v>0.2</v>
      </c>
      <c r="W26" s="13"/>
      <c r="X26" s="13"/>
      <c r="Y26" s="14"/>
      <c r="Z26" s="14"/>
      <c r="AA26" s="14"/>
      <c r="AB26" s="14"/>
      <c r="AC26" s="13"/>
      <c r="AD26" s="13"/>
      <c r="AE26" s="13"/>
      <c r="AF26" s="12">
        <v>4</v>
      </c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X26" s="8">
        <v>21</v>
      </c>
    </row>
    <row r="27" spans="1:50" ht="25.5" x14ac:dyDescent="0.25">
      <c r="A27" s="13" t="s">
        <v>577</v>
      </c>
      <c r="B27" s="13" t="s">
        <v>1731</v>
      </c>
      <c r="C27" s="13" t="s">
        <v>1070</v>
      </c>
      <c r="D27" s="13" t="s">
        <v>349</v>
      </c>
      <c r="E27" s="13" t="s">
        <v>1174</v>
      </c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>
        <v>0.2</v>
      </c>
      <c r="W27" s="13"/>
      <c r="X27" s="13"/>
      <c r="Y27" s="14"/>
      <c r="Z27" s="14"/>
      <c r="AA27" s="14"/>
      <c r="AB27" s="14"/>
      <c r="AC27" s="13"/>
      <c r="AD27" s="13"/>
      <c r="AE27" s="13"/>
      <c r="AF27" s="12">
        <v>4</v>
      </c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X27" s="8">
        <v>22</v>
      </c>
    </row>
    <row r="28" spans="1:50" ht="25.5" x14ac:dyDescent="0.25">
      <c r="A28" s="13" t="s">
        <v>578</v>
      </c>
      <c r="B28" s="13" t="s">
        <v>1731</v>
      </c>
      <c r="C28" s="13" t="s">
        <v>1070</v>
      </c>
      <c r="D28" s="13" t="s">
        <v>349</v>
      </c>
      <c r="E28" s="13" t="s">
        <v>1175</v>
      </c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>
        <v>0.2</v>
      </c>
      <c r="W28" s="13"/>
      <c r="X28" s="13"/>
      <c r="Y28" s="14"/>
      <c r="Z28" s="14"/>
      <c r="AA28" s="14"/>
      <c r="AB28" s="14"/>
      <c r="AC28" s="13"/>
      <c r="AD28" s="13"/>
      <c r="AE28" s="13"/>
      <c r="AF28" s="12">
        <v>4</v>
      </c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X28" s="8">
        <v>23</v>
      </c>
    </row>
    <row r="29" spans="1:50" ht="25.5" x14ac:dyDescent="0.25">
      <c r="A29" s="13" t="s">
        <v>579</v>
      </c>
      <c r="B29" s="13" t="s">
        <v>1731</v>
      </c>
      <c r="C29" s="13" t="s">
        <v>1070</v>
      </c>
      <c r="D29" s="13" t="s">
        <v>349</v>
      </c>
      <c r="E29" s="13" t="s">
        <v>1176</v>
      </c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>
        <v>0.2</v>
      </c>
      <c r="W29" s="13"/>
      <c r="X29" s="13"/>
      <c r="Y29" s="14"/>
      <c r="Z29" s="14"/>
      <c r="AA29" s="14"/>
      <c r="AB29" s="14"/>
      <c r="AC29" s="13"/>
      <c r="AD29" s="13"/>
      <c r="AE29" s="13"/>
      <c r="AF29" s="12">
        <v>4</v>
      </c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X29" s="8">
        <v>24</v>
      </c>
    </row>
    <row r="30" spans="1:50" ht="25.5" x14ac:dyDescent="0.25">
      <c r="A30" s="13" t="s">
        <v>580</v>
      </c>
      <c r="B30" s="13" t="s">
        <v>1731</v>
      </c>
      <c r="C30" s="13" t="s">
        <v>1070</v>
      </c>
      <c r="D30" s="13" t="s">
        <v>349</v>
      </c>
      <c r="E30" s="13" t="s">
        <v>1177</v>
      </c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>
        <v>0.2</v>
      </c>
      <c r="W30" s="13"/>
      <c r="X30" s="13"/>
      <c r="Y30" s="14"/>
      <c r="Z30" s="14"/>
      <c r="AA30" s="14"/>
      <c r="AB30" s="14"/>
      <c r="AC30" s="13"/>
      <c r="AD30" s="13"/>
      <c r="AE30" s="13"/>
      <c r="AF30" s="12">
        <v>4</v>
      </c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X30" s="8">
        <v>25</v>
      </c>
    </row>
    <row r="31" spans="1:50" ht="25.5" x14ac:dyDescent="0.25">
      <c r="A31" s="13" t="s">
        <v>581</v>
      </c>
      <c r="B31" s="13" t="s">
        <v>1731</v>
      </c>
      <c r="C31" s="13" t="s">
        <v>1070</v>
      </c>
      <c r="D31" s="13" t="s">
        <v>349</v>
      </c>
      <c r="E31" s="13" t="s">
        <v>1178</v>
      </c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>
        <v>0.2</v>
      </c>
      <c r="W31" s="13"/>
      <c r="X31" s="13"/>
      <c r="Y31" s="14"/>
      <c r="Z31" s="14"/>
      <c r="AA31" s="14"/>
      <c r="AB31" s="14"/>
      <c r="AC31" s="13"/>
      <c r="AD31" s="13"/>
      <c r="AE31" s="13"/>
      <c r="AF31" s="12">
        <v>4</v>
      </c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X31" s="8">
        <v>26</v>
      </c>
    </row>
    <row r="32" spans="1:50" ht="25.5" x14ac:dyDescent="0.25">
      <c r="A32" s="13" t="s">
        <v>582</v>
      </c>
      <c r="B32" s="13" t="s">
        <v>1731</v>
      </c>
      <c r="C32" s="13" t="s">
        <v>1070</v>
      </c>
      <c r="D32" s="13" t="s">
        <v>349</v>
      </c>
      <c r="E32" s="13" t="s">
        <v>1179</v>
      </c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>
        <v>0.2</v>
      </c>
      <c r="W32" s="13"/>
      <c r="X32" s="13"/>
      <c r="Y32" s="14"/>
      <c r="Z32" s="14"/>
      <c r="AA32" s="14"/>
      <c r="AB32" s="14"/>
      <c r="AC32" s="13"/>
      <c r="AD32" s="13"/>
      <c r="AE32" s="13"/>
      <c r="AF32" s="12">
        <v>4</v>
      </c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X32" s="8">
        <v>27</v>
      </c>
    </row>
    <row r="33" spans="1:50" ht="25.5" x14ac:dyDescent="0.25">
      <c r="A33" s="13" t="s">
        <v>583</v>
      </c>
      <c r="B33" s="13" t="s">
        <v>1731</v>
      </c>
      <c r="C33" s="13" t="s">
        <v>1070</v>
      </c>
      <c r="D33" s="13" t="s">
        <v>349</v>
      </c>
      <c r="E33" s="13" t="s">
        <v>1180</v>
      </c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>
        <v>0.2</v>
      </c>
      <c r="W33" s="13"/>
      <c r="X33" s="13"/>
      <c r="Y33" s="14"/>
      <c r="Z33" s="14"/>
      <c r="AA33" s="14"/>
      <c r="AB33" s="14"/>
      <c r="AC33" s="13"/>
      <c r="AD33" s="13"/>
      <c r="AE33" s="13"/>
      <c r="AF33" s="12">
        <v>4</v>
      </c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X33" s="8">
        <v>28</v>
      </c>
    </row>
    <row r="34" spans="1:50" ht="25.5" x14ac:dyDescent="0.25">
      <c r="A34" s="13" t="s">
        <v>584</v>
      </c>
      <c r="B34" s="13" t="s">
        <v>1731</v>
      </c>
      <c r="C34" s="13" t="s">
        <v>1070</v>
      </c>
      <c r="D34" s="13" t="s">
        <v>349</v>
      </c>
      <c r="E34" s="13" t="s">
        <v>1181</v>
      </c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>
        <v>0.2</v>
      </c>
      <c r="W34" s="13"/>
      <c r="X34" s="13"/>
      <c r="Y34" s="14"/>
      <c r="Z34" s="14"/>
      <c r="AA34" s="14"/>
      <c r="AB34" s="14"/>
      <c r="AC34" s="13"/>
      <c r="AD34" s="13"/>
      <c r="AE34" s="13"/>
      <c r="AF34" s="12">
        <v>4</v>
      </c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X34" s="8">
        <v>29</v>
      </c>
    </row>
    <row r="35" spans="1:50" ht="25.5" x14ac:dyDescent="0.25">
      <c r="A35" s="13" t="s">
        <v>585</v>
      </c>
      <c r="B35" s="13" t="s">
        <v>1731</v>
      </c>
      <c r="C35" s="13" t="s">
        <v>1070</v>
      </c>
      <c r="D35" s="13" t="s">
        <v>349</v>
      </c>
      <c r="E35" s="13" t="s">
        <v>1182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>
        <v>0.2</v>
      </c>
      <c r="W35" s="13"/>
      <c r="X35" s="13"/>
      <c r="Y35" s="14"/>
      <c r="Z35" s="14"/>
      <c r="AA35" s="14"/>
      <c r="AB35" s="14"/>
      <c r="AC35" s="13"/>
      <c r="AD35" s="13"/>
      <c r="AE35" s="13"/>
      <c r="AF35" s="12">
        <v>4</v>
      </c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X35" s="8">
        <v>30</v>
      </c>
    </row>
    <row r="36" spans="1:50" ht="25.5" x14ac:dyDescent="0.25">
      <c r="A36" s="13" t="s">
        <v>586</v>
      </c>
      <c r="B36" s="13" t="s">
        <v>1731</v>
      </c>
      <c r="C36" s="13" t="s">
        <v>1070</v>
      </c>
      <c r="D36" s="13" t="s">
        <v>349</v>
      </c>
      <c r="E36" s="13" t="s">
        <v>1183</v>
      </c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>
        <v>0.2</v>
      </c>
      <c r="W36" s="13"/>
      <c r="X36" s="13"/>
      <c r="Y36" s="14"/>
      <c r="Z36" s="14"/>
      <c r="AA36" s="14"/>
      <c r="AB36" s="14"/>
      <c r="AC36" s="13"/>
      <c r="AD36" s="13"/>
      <c r="AE36" s="13"/>
      <c r="AF36" s="12">
        <v>4</v>
      </c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X36" s="8">
        <v>31</v>
      </c>
    </row>
    <row r="37" spans="1:50" ht="25.5" x14ac:dyDescent="0.25">
      <c r="A37" s="13" t="s">
        <v>587</v>
      </c>
      <c r="B37" s="13" t="s">
        <v>1731</v>
      </c>
      <c r="C37" s="13" t="s">
        <v>1070</v>
      </c>
      <c r="D37" s="13" t="s">
        <v>349</v>
      </c>
      <c r="E37" s="13" t="s">
        <v>1184</v>
      </c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>
        <v>0.2</v>
      </c>
      <c r="W37" s="13"/>
      <c r="X37" s="13"/>
      <c r="Y37" s="14"/>
      <c r="Z37" s="14"/>
      <c r="AA37" s="14"/>
      <c r="AB37" s="14"/>
      <c r="AC37" s="13"/>
      <c r="AD37" s="13"/>
      <c r="AE37" s="13"/>
      <c r="AF37" s="12">
        <v>4</v>
      </c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X37" s="8">
        <v>32</v>
      </c>
    </row>
    <row r="38" spans="1:50" ht="25.5" x14ac:dyDescent="0.25">
      <c r="A38" s="13" t="s">
        <v>588</v>
      </c>
      <c r="B38" s="13" t="s">
        <v>1731</v>
      </c>
      <c r="C38" s="13" t="s">
        <v>1070</v>
      </c>
      <c r="D38" s="13" t="s">
        <v>349</v>
      </c>
      <c r="E38" s="13" t="s">
        <v>1185</v>
      </c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>
        <v>0.2</v>
      </c>
      <c r="W38" s="13"/>
      <c r="X38" s="13"/>
      <c r="Y38" s="14"/>
      <c r="Z38" s="14"/>
      <c r="AA38" s="14"/>
      <c r="AB38" s="14"/>
      <c r="AC38" s="13"/>
      <c r="AD38" s="13"/>
      <c r="AE38" s="13"/>
      <c r="AF38" s="12">
        <v>4</v>
      </c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X38" s="8">
        <v>33</v>
      </c>
    </row>
    <row r="39" spans="1:50" ht="25.5" x14ac:dyDescent="0.25">
      <c r="A39" s="13" t="s">
        <v>623</v>
      </c>
      <c r="B39" s="13" t="s">
        <v>1731</v>
      </c>
      <c r="C39" s="13" t="s">
        <v>1070</v>
      </c>
      <c r="D39" s="13" t="s">
        <v>5</v>
      </c>
      <c r="E39" s="13" t="s">
        <v>1186</v>
      </c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>
        <v>0.2</v>
      </c>
      <c r="W39" s="13"/>
      <c r="X39" s="13"/>
      <c r="Y39" s="14"/>
      <c r="Z39" s="14"/>
      <c r="AA39" s="14"/>
      <c r="AB39" s="14"/>
      <c r="AC39" s="13"/>
      <c r="AD39" s="13"/>
      <c r="AE39" s="13"/>
      <c r="AF39" s="12">
        <v>0</v>
      </c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X39" s="8">
        <v>34</v>
      </c>
    </row>
    <row r="40" spans="1:50" ht="25.5" x14ac:dyDescent="0.25">
      <c r="A40" s="13" t="s">
        <v>624</v>
      </c>
      <c r="B40" s="13" t="s">
        <v>1731</v>
      </c>
      <c r="C40" s="13" t="s">
        <v>1070</v>
      </c>
      <c r="D40" s="13" t="s">
        <v>349</v>
      </c>
      <c r="E40" s="13" t="s">
        <v>1187</v>
      </c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>
        <v>0.2</v>
      </c>
      <c r="W40" s="13"/>
      <c r="X40" s="13"/>
      <c r="Y40" s="14"/>
      <c r="Z40" s="14"/>
      <c r="AA40" s="14"/>
      <c r="AB40" s="14"/>
      <c r="AC40" s="13"/>
      <c r="AD40" s="13"/>
      <c r="AE40" s="13"/>
      <c r="AF40" s="12">
        <v>0</v>
      </c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X40" s="8">
        <v>35</v>
      </c>
    </row>
    <row r="41" spans="1:50" ht="25.5" x14ac:dyDescent="0.25">
      <c r="A41" s="13" t="s">
        <v>625</v>
      </c>
      <c r="B41" s="13" t="s">
        <v>1731</v>
      </c>
      <c r="C41" s="13" t="s">
        <v>1070</v>
      </c>
      <c r="D41" s="13" t="s">
        <v>349</v>
      </c>
      <c r="E41" s="13" t="s">
        <v>1188</v>
      </c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>
        <v>0.2</v>
      </c>
      <c r="W41" s="13"/>
      <c r="X41" s="13"/>
      <c r="Y41" s="14"/>
      <c r="Z41" s="14"/>
      <c r="AA41" s="14"/>
      <c r="AB41" s="14"/>
      <c r="AC41" s="13"/>
      <c r="AD41" s="13"/>
      <c r="AE41" s="13"/>
      <c r="AF41" s="12">
        <v>0</v>
      </c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X41" s="8">
        <v>36</v>
      </c>
    </row>
    <row r="42" spans="1:50" ht="25.5" x14ac:dyDescent="0.25">
      <c r="A42" s="13" t="s">
        <v>626</v>
      </c>
      <c r="B42" s="13" t="s">
        <v>1731</v>
      </c>
      <c r="C42" s="13" t="s">
        <v>1070</v>
      </c>
      <c r="D42" s="13" t="s">
        <v>349</v>
      </c>
      <c r="E42" s="13" t="s">
        <v>1189</v>
      </c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>
        <v>0.2</v>
      </c>
      <c r="W42" s="13"/>
      <c r="X42" s="13"/>
      <c r="Y42" s="14"/>
      <c r="Z42" s="14"/>
      <c r="AA42" s="14"/>
      <c r="AB42" s="14"/>
      <c r="AC42" s="13"/>
      <c r="AD42" s="13"/>
      <c r="AE42" s="13"/>
      <c r="AF42" s="12">
        <v>0</v>
      </c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X42" s="8">
        <v>37</v>
      </c>
    </row>
    <row r="43" spans="1:50" ht="25.5" x14ac:dyDescent="0.25">
      <c r="A43" s="13" t="s">
        <v>627</v>
      </c>
      <c r="B43" s="13" t="s">
        <v>1731</v>
      </c>
      <c r="C43" s="13" t="s">
        <v>1070</v>
      </c>
      <c r="D43" s="13" t="s">
        <v>349</v>
      </c>
      <c r="E43" s="13" t="s">
        <v>1190</v>
      </c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>
        <v>0.2</v>
      </c>
      <c r="W43" s="13"/>
      <c r="X43" s="13"/>
      <c r="Y43" s="14"/>
      <c r="Z43" s="14"/>
      <c r="AA43" s="14"/>
      <c r="AB43" s="14"/>
      <c r="AC43" s="13"/>
      <c r="AD43" s="13"/>
      <c r="AE43" s="13"/>
      <c r="AF43" s="12">
        <v>0</v>
      </c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X43" s="8">
        <v>38</v>
      </c>
    </row>
    <row r="44" spans="1:50" ht="25.5" x14ac:dyDescent="0.25">
      <c r="A44" s="13" t="s">
        <v>628</v>
      </c>
      <c r="B44" s="13" t="s">
        <v>1731</v>
      </c>
      <c r="C44" s="13" t="s">
        <v>1070</v>
      </c>
      <c r="D44" s="13" t="s">
        <v>349</v>
      </c>
      <c r="E44" s="13" t="s">
        <v>1191</v>
      </c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>
        <v>0.2</v>
      </c>
      <c r="W44" s="13"/>
      <c r="X44" s="13"/>
      <c r="Y44" s="14"/>
      <c r="Z44" s="14"/>
      <c r="AA44" s="14"/>
      <c r="AB44" s="14"/>
      <c r="AC44" s="13"/>
      <c r="AD44" s="13"/>
      <c r="AE44" s="13"/>
      <c r="AF44" s="12">
        <v>0</v>
      </c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X44" s="8">
        <v>39</v>
      </c>
    </row>
    <row r="45" spans="1:50" ht="25.5" x14ac:dyDescent="0.25">
      <c r="A45" s="13" t="s">
        <v>629</v>
      </c>
      <c r="B45" s="13" t="s">
        <v>1731</v>
      </c>
      <c r="C45" s="13" t="s">
        <v>1070</v>
      </c>
      <c r="D45" s="13" t="s">
        <v>349</v>
      </c>
      <c r="E45" s="13" t="s">
        <v>1192</v>
      </c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>
        <v>0.2</v>
      </c>
      <c r="W45" s="13"/>
      <c r="X45" s="13"/>
      <c r="Y45" s="14"/>
      <c r="Z45" s="14"/>
      <c r="AA45" s="14"/>
      <c r="AB45" s="14"/>
      <c r="AC45" s="13"/>
      <c r="AD45" s="13"/>
      <c r="AE45" s="13"/>
      <c r="AF45" s="12">
        <v>0</v>
      </c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X45" s="8">
        <v>40</v>
      </c>
    </row>
    <row r="46" spans="1:50" ht="25.5" x14ac:dyDescent="0.25">
      <c r="A46" s="13" t="s">
        <v>630</v>
      </c>
      <c r="B46" s="13" t="s">
        <v>1731</v>
      </c>
      <c r="C46" s="13" t="s">
        <v>1070</v>
      </c>
      <c r="D46" s="13" t="s">
        <v>349</v>
      </c>
      <c r="E46" s="13" t="s">
        <v>1193</v>
      </c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>
        <v>0.2</v>
      </c>
      <c r="W46" s="13"/>
      <c r="X46" s="13"/>
      <c r="Y46" s="14"/>
      <c r="Z46" s="14"/>
      <c r="AA46" s="14"/>
      <c r="AB46" s="14"/>
      <c r="AC46" s="13"/>
      <c r="AD46" s="13"/>
      <c r="AE46" s="13"/>
      <c r="AF46" s="12">
        <v>0</v>
      </c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X46" s="8">
        <v>41</v>
      </c>
    </row>
    <row r="47" spans="1:50" ht="25.5" x14ac:dyDescent="0.25">
      <c r="A47" s="13" t="s">
        <v>1763</v>
      </c>
      <c r="B47" s="13" t="s">
        <v>1731</v>
      </c>
      <c r="C47" s="13" t="s">
        <v>1070</v>
      </c>
      <c r="D47" s="13" t="s">
        <v>349</v>
      </c>
      <c r="E47" s="13" t="s">
        <v>1194</v>
      </c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>
        <v>0</v>
      </c>
      <c r="W47" s="13"/>
      <c r="X47" s="13"/>
      <c r="Y47" s="14"/>
      <c r="Z47" s="14"/>
      <c r="AA47" s="14"/>
      <c r="AB47" s="14"/>
      <c r="AC47" s="13"/>
      <c r="AD47" s="13"/>
      <c r="AE47" s="13"/>
      <c r="AF47" s="12">
        <v>0</v>
      </c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X47" s="8">
        <v>42</v>
      </c>
    </row>
    <row r="48" spans="1:50" ht="25.5" x14ac:dyDescent="0.25">
      <c r="A48" s="13" t="s">
        <v>631</v>
      </c>
      <c r="B48" s="13" t="s">
        <v>1731</v>
      </c>
      <c r="C48" s="13" t="s">
        <v>1070</v>
      </c>
      <c r="D48" s="13" t="s">
        <v>349</v>
      </c>
      <c r="E48" s="13" t="s">
        <v>1195</v>
      </c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>
        <v>0.2</v>
      </c>
      <c r="W48" s="13"/>
      <c r="X48" s="13"/>
      <c r="Y48" s="14"/>
      <c r="Z48" s="14"/>
      <c r="AA48" s="14"/>
      <c r="AB48" s="14"/>
      <c r="AC48" s="13"/>
      <c r="AD48" s="13"/>
      <c r="AE48" s="13"/>
      <c r="AF48" s="12">
        <v>0</v>
      </c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X48" s="8">
        <v>43</v>
      </c>
    </row>
    <row r="49" spans="1:50" ht="25.5" x14ac:dyDescent="0.25">
      <c r="A49" s="13" t="s">
        <v>632</v>
      </c>
      <c r="B49" s="13" t="s">
        <v>1731</v>
      </c>
      <c r="C49" s="13" t="s">
        <v>1070</v>
      </c>
      <c r="D49" s="13" t="s">
        <v>349</v>
      </c>
      <c r="E49" s="13" t="s">
        <v>1196</v>
      </c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>
        <v>0.2</v>
      </c>
      <c r="W49" s="13"/>
      <c r="X49" s="13"/>
      <c r="Y49" s="14"/>
      <c r="Z49" s="14"/>
      <c r="AA49" s="14"/>
      <c r="AB49" s="14"/>
      <c r="AC49" s="13"/>
      <c r="AD49" s="13"/>
      <c r="AE49" s="13"/>
      <c r="AF49" s="12">
        <v>0</v>
      </c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X49" s="8">
        <v>44</v>
      </c>
    </row>
    <row r="50" spans="1:50" ht="25.5" x14ac:dyDescent="0.25">
      <c r="A50" s="13" t="s">
        <v>633</v>
      </c>
      <c r="B50" s="13" t="s">
        <v>1731</v>
      </c>
      <c r="C50" s="13" t="s">
        <v>1070</v>
      </c>
      <c r="D50" s="13" t="s">
        <v>349</v>
      </c>
      <c r="E50" s="13" t="s">
        <v>1197</v>
      </c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>
        <v>0.2</v>
      </c>
      <c r="W50" s="13"/>
      <c r="X50" s="13"/>
      <c r="Y50" s="14"/>
      <c r="Z50" s="14"/>
      <c r="AA50" s="14"/>
      <c r="AB50" s="14"/>
      <c r="AC50" s="13"/>
      <c r="AD50" s="13"/>
      <c r="AE50" s="13"/>
      <c r="AF50" s="12">
        <v>0</v>
      </c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X50" s="8">
        <v>45</v>
      </c>
    </row>
    <row r="51" spans="1:50" ht="25.5" x14ac:dyDescent="0.25">
      <c r="A51" s="13" t="s">
        <v>634</v>
      </c>
      <c r="B51" s="13" t="s">
        <v>1731</v>
      </c>
      <c r="C51" s="13" t="s">
        <v>1070</v>
      </c>
      <c r="D51" s="13" t="s">
        <v>349</v>
      </c>
      <c r="E51" s="13" t="s">
        <v>1198</v>
      </c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>
        <v>0.2</v>
      </c>
      <c r="W51" s="13"/>
      <c r="X51" s="13"/>
      <c r="Y51" s="14"/>
      <c r="Z51" s="14"/>
      <c r="AA51" s="14"/>
      <c r="AB51" s="14"/>
      <c r="AC51" s="13"/>
      <c r="AD51" s="13"/>
      <c r="AE51" s="13"/>
      <c r="AF51" s="12">
        <v>0</v>
      </c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X51" s="8">
        <v>46</v>
      </c>
    </row>
    <row r="52" spans="1:50" ht="25.5" x14ac:dyDescent="0.25">
      <c r="A52" s="13" t="s">
        <v>1764</v>
      </c>
      <c r="B52" s="13" t="s">
        <v>1731</v>
      </c>
      <c r="C52" s="13" t="s">
        <v>1070</v>
      </c>
      <c r="D52" s="13" t="s">
        <v>349</v>
      </c>
      <c r="E52" s="13" t="s">
        <v>1199</v>
      </c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>
        <v>0</v>
      </c>
      <c r="W52" s="13"/>
      <c r="X52" s="13"/>
      <c r="Y52" s="14"/>
      <c r="Z52" s="14"/>
      <c r="AA52" s="14"/>
      <c r="AB52" s="14"/>
      <c r="AC52" s="13"/>
      <c r="AD52" s="13"/>
      <c r="AE52" s="13"/>
      <c r="AF52" s="12">
        <v>0</v>
      </c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X52" s="8">
        <v>47</v>
      </c>
    </row>
    <row r="53" spans="1:50" ht="25.5" x14ac:dyDescent="0.25">
      <c r="A53" s="13" t="s">
        <v>635</v>
      </c>
      <c r="B53" s="13" t="s">
        <v>1731</v>
      </c>
      <c r="C53" s="13" t="s">
        <v>1070</v>
      </c>
      <c r="D53" s="13" t="s">
        <v>349</v>
      </c>
      <c r="E53" s="13" t="s">
        <v>1200</v>
      </c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>
        <v>0.2</v>
      </c>
      <c r="W53" s="13"/>
      <c r="X53" s="13"/>
      <c r="Y53" s="14"/>
      <c r="Z53" s="14"/>
      <c r="AA53" s="14"/>
      <c r="AB53" s="14"/>
      <c r="AC53" s="13"/>
      <c r="AD53" s="13"/>
      <c r="AE53" s="13"/>
      <c r="AF53" s="12">
        <v>4</v>
      </c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X53" s="8">
        <v>48</v>
      </c>
    </row>
    <row r="54" spans="1:50" ht="25.5" x14ac:dyDescent="0.25">
      <c r="A54" s="13" t="s">
        <v>636</v>
      </c>
      <c r="B54" s="13" t="s">
        <v>1731</v>
      </c>
      <c r="C54" s="13" t="s">
        <v>1070</v>
      </c>
      <c r="D54" s="13" t="s">
        <v>349</v>
      </c>
      <c r="E54" s="13" t="s">
        <v>1201</v>
      </c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>
        <v>0.2</v>
      </c>
      <c r="W54" s="13"/>
      <c r="X54" s="13"/>
      <c r="Y54" s="14"/>
      <c r="Z54" s="14"/>
      <c r="AA54" s="14"/>
      <c r="AB54" s="14"/>
      <c r="AC54" s="13"/>
      <c r="AD54" s="13"/>
      <c r="AE54" s="13"/>
      <c r="AF54" s="12">
        <v>4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X54" s="8">
        <v>49</v>
      </c>
    </row>
    <row r="55" spans="1:50" ht="25.5" x14ac:dyDescent="0.25">
      <c r="A55" s="13" t="s">
        <v>637</v>
      </c>
      <c r="B55" s="13" t="s">
        <v>1731</v>
      </c>
      <c r="C55" s="13" t="s">
        <v>1070</v>
      </c>
      <c r="D55" s="13" t="s">
        <v>349</v>
      </c>
      <c r="E55" s="13" t="s">
        <v>1202</v>
      </c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>
        <v>0.2</v>
      </c>
      <c r="W55" s="13"/>
      <c r="X55" s="13"/>
      <c r="Y55" s="14"/>
      <c r="Z55" s="14"/>
      <c r="AA55" s="14"/>
      <c r="AB55" s="14"/>
      <c r="AC55" s="13"/>
      <c r="AD55" s="13"/>
      <c r="AE55" s="13"/>
      <c r="AF55" s="12">
        <v>4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X55" s="8">
        <v>50</v>
      </c>
    </row>
    <row r="56" spans="1:50" ht="25.5" x14ac:dyDescent="0.25">
      <c r="A56" s="13" t="s">
        <v>638</v>
      </c>
      <c r="B56" s="13" t="s">
        <v>1731</v>
      </c>
      <c r="C56" s="13" t="s">
        <v>1070</v>
      </c>
      <c r="D56" s="13" t="s">
        <v>349</v>
      </c>
      <c r="E56" s="13" t="s">
        <v>1203</v>
      </c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>
        <v>0.2</v>
      </c>
      <c r="W56" s="13"/>
      <c r="X56" s="13"/>
      <c r="Y56" s="14"/>
      <c r="Z56" s="14"/>
      <c r="AA56" s="14"/>
      <c r="AB56" s="14"/>
      <c r="AC56" s="13"/>
      <c r="AD56" s="13"/>
      <c r="AE56" s="13"/>
      <c r="AF56" s="12">
        <v>4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X56" s="8">
        <v>51</v>
      </c>
    </row>
    <row r="57" spans="1:50" ht="25.5" x14ac:dyDescent="0.25">
      <c r="A57" s="13" t="s">
        <v>639</v>
      </c>
      <c r="B57" s="13" t="s">
        <v>1731</v>
      </c>
      <c r="C57" s="13" t="s">
        <v>1070</v>
      </c>
      <c r="D57" s="13" t="s">
        <v>349</v>
      </c>
      <c r="E57" s="13" t="s">
        <v>1204</v>
      </c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>
        <v>0.2</v>
      </c>
      <c r="W57" s="13"/>
      <c r="X57" s="13"/>
      <c r="Y57" s="14"/>
      <c r="Z57" s="14"/>
      <c r="AA57" s="14"/>
      <c r="AB57" s="14"/>
      <c r="AC57" s="13"/>
      <c r="AD57" s="13"/>
      <c r="AE57" s="13"/>
      <c r="AF57" s="12">
        <v>4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X57" s="8">
        <v>52</v>
      </c>
    </row>
    <row r="58" spans="1:50" ht="25.5" x14ac:dyDescent="0.25">
      <c r="A58" s="13" t="s">
        <v>1765</v>
      </c>
      <c r="B58" s="13" t="s">
        <v>1731</v>
      </c>
      <c r="C58" s="13" t="s">
        <v>1070</v>
      </c>
      <c r="D58" s="13" t="s">
        <v>349</v>
      </c>
      <c r="E58" s="13" t="s">
        <v>1205</v>
      </c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>
        <v>0</v>
      </c>
      <c r="W58" s="13"/>
      <c r="X58" s="13"/>
      <c r="Y58" s="14"/>
      <c r="Z58" s="14"/>
      <c r="AA58" s="14"/>
      <c r="AB58" s="14"/>
      <c r="AC58" s="13"/>
      <c r="AD58" s="13"/>
      <c r="AE58" s="13"/>
      <c r="AF58" s="12">
        <v>4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X58" s="8">
        <v>53</v>
      </c>
    </row>
    <row r="59" spans="1:50" ht="25.5" x14ac:dyDescent="0.25">
      <c r="A59" s="13" t="s">
        <v>640</v>
      </c>
      <c r="B59" s="13" t="s">
        <v>1731</v>
      </c>
      <c r="C59" s="13" t="s">
        <v>1070</v>
      </c>
      <c r="D59" s="13" t="s">
        <v>349</v>
      </c>
      <c r="E59" s="13" t="s">
        <v>1206</v>
      </c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>
        <v>0.2</v>
      </c>
      <c r="W59" s="13"/>
      <c r="X59" s="13"/>
      <c r="Y59" s="14"/>
      <c r="Z59" s="14"/>
      <c r="AA59" s="14"/>
      <c r="AB59" s="14"/>
      <c r="AC59" s="13"/>
      <c r="AD59" s="13"/>
      <c r="AE59" s="13"/>
      <c r="AF59" s="12">
        <v>4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X59" s="8">
        <v>54</v>
      </c>
    </row>
    <row r="60" spans="1:50" ht="25.5" x14ac:dyDescent="0.25">
      <c r="A60" s="13" t="s">
        <v>641</v>
      </c>
      <c r="B60" s="13" t="s">
        <v>1731</v>
      </c>
      <c r="C60" s="13" t="s">
        <v>1070</v>
      </c>
      <c r="D60" s="13" t="s">
        <v>349</v>
      </c>
      <c r="E60" s="13" t="s">
        <v>1207</v>
      </c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>
        <v>0.2</v>
      </c>
      <c r="W60" s="13"/>
      <c r="X60" s="13"/>
      <c r="Y60" s="14"/>
      <c r="Z60" s="14"/>
      <c r="AA60" s="14"/>
      <c r="AB60" s="14"/>
      <c r="AC60" s="13"/>
      <c r="AD60" s="13"/>
      <c r="AE60" s="13"/>
      <c r="AF60" s="12">
        <v>4</v>
      </c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X60" s="8">
        <v>55</v>
      </c>
    </row>
    <row r="61" spans="1:50" ht="25.5" x14ac:dyDescent="0.25">
      <c r="A61" s="13" t="s">
        <v>642</v>
      </c>
      <c r="B61" s="13" t="s">
        <v>1731</v>
      </c>
      <c r="C61" s="13" t="s">
        <v>1070</v>
      </c>
      <c r="D61" s="13" t="s">
        <v>349</v>
      </c>
      <c r="E61" s="13" t="s">
        <v>1208</v>
      </c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>
        <v>0.2</v>
      </c>
      <c r="W61" s="13"/>
      <c r="X61" s="13"/>
      <c r="Y61" s="14"/>
      <c r="Z61" s="14"/>
      <c r="AA61" s="14"/>
      <c r="AB61" s="14"/>
      <c r="AC61" s="13"/>
      <c r="AD61" s="13"/>
      <c r="AE61" s="13"/>
      <c r="AF61" s="12">
        <v>4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X61" s="8">
        <v>56</v>
      </c>
    </row>
    <row r="62" spans="1:50" ht="25.5" x14ac:dyDescent="0.25">
      <c r="A62" s="13" t="s">
        <v>1766</v>
      </c>
      <c r="B62" s="13" t="s">
        <v>1731</v>
      </c>
      <c r="C62" s="13" t="s">
        <v>1070</v>
      </c>
      <c r="D62" s="13" t="s">
        <v>349</v>
      </c>
      <c r="E62" s="13" t="s">
        <v>1209</v>
      </c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>
        <v>0</v>
      </c>
      <c r="W62" s="13"/>
      <c r="X62" s="13"/>
      <c r="Y62" s="14"/>
      <c r="Z62" s="14"/>
      <c r="AA62" s="14"/>
      <c r="AB62" s="14"/>
      <c r="AC62" s="13"/>
      <c r="AD62" s="13"/>
      <c r="AE62" s="13"/>
      <c r="AF62" s="12">
        <v>4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X62" s="8">
        <v>57</v>
      </c>
    </row>
    <row r="63" spans="1:50" ht="25.5" x14ac:dyDescent="0.25">
      <c r="A63" s="13" t="s">
        <v>643</v>
      </c>
      <c r="B63" s="13" t="s">
        <v>1731</v>
      </c>
      <c r="C63" s="13" t="s">
        <v>1070</v>
      </c>
      <c r="D63" s="13" t="s">
        <v>5</v>
      </c>
      <c r="E63" s="13" t="s">
        <v>1210</v>
      </c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>
        <v>0.2</v>
      </c>
      <c r="W63" s="13"/>
      <c r="X63" s="13"/>
      <c r="Y63" s="14"/>
      <c r="Z63" s="14"/>
      <c r="AA63" s="14"/>
      <c r="AB63" s="14"/>
      <c r="AC63" s="13"/>
      <c r="AD63" s="13"/>
      <c r="AE63" s="13"/>
      <c r="AF63" s="12">
        <v>0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X63" s="8">
        <v>58</v>
      </c>
    </row>
    <row r="64" spans="1:50" ht="25.5" x14ac:dyDescent="0.25">
      <c r="A64" s="13" t="s">
        <v>644</v>
      </c>
      <c r="B64" s="13" t="s">
        <v>1731</v>
      </c>
      <c r="C64" s="13" t="s">
        <v>1070</v>
      </c>
      <c r="D64" s="13" t="s">
        <v>349</v>
      </c>
      <c r="E64" s="13" t="s">
        <v>1211</v>
      </c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>
        <v>0.2</v>
      </c>
      <c r="W64" s="13"/>
      <c r="X64" s="13"/>
      <c r="Y64" s="14"/>
      <c r="Z64" s="14"/>
      <c r="AA64" s="14"/>
      <c r="AB64" s="14"/>
      <c r="AC64" s="13"/>
      <c r="AD64" s="13"/>
      <c r="AE64" s="13"/>
      <c r="AF64" s="12">
        <v>4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X64" s="8">
        <v>59</v>
      </c>
    </row>
    <row r="65" spans="1:50" ht="25.5" x14ac:dyDescent="0.25">
      <c r="A65" s="13" t="s">
        <v>645</v>
      </c>
      <c r="B65" s="13" t="s">
        <v>1731</v>
      </c>
      <c r="C65" s="13" t="s">
        <v>1070</v>
      </c>
      <c r="D65" s="13" t="s">
        <v>5</v>
      </c>
      <c r="E65" s="13" t="s">
        <v>1212</v>
      </c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>
        <v>0.2</v>
      </c>
      <c r="W65" s="13"/>
      <c r="X65" s="13"/>
      <c r="Y65" s="14"/>
      <c r="Z65" s="14"/>
      <c r="AA65" s="14"/>
      <c r="AB65" s="14"/>
      <c r="AC65" s="13"/>
      <c r="AD65" s="13"/>
      <c r="AE65" s="13"/>
      <c r="AF65" s="12">
        <v>0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X65" s="8">
        <v>60</v>
      </c>
    </row>
    <row r="66" spans="1:50" ht="25.5" x14ac:dyDescent="0.25">
      <c r="A66" s="13" t="s">
        <v>646</v>
      </c>
      <c r="B66" s="13" t="s">
        <v>1731</v>
      </c>
      <c r="C66" s="13" t="s">
        <v>1070</v>
      </c>
      <c r="D66" s="13" t="s">
        <v>5</v>
      </c>
      <c r="E66" s="13" t="s">
        <v>1213</v>
      </c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>
        <v>0.2</v>
      </c>
      <c r="W66" s="13"/>
      <c r="X66" s="13"/>
      <c r="Y66" s="14"/>
      <c r="Z66" s="14"/>
      <c r="AA66" s="14"/>
      <c r="AB66" s="14"/>
      <c r="AC66" s="13"/>
      <c r="AD66" s="13"/>
      <c r="AE66" s="13"/>
      <c r="AF66" s="12">
        <v>0</v>
      </c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X66" s="8">
        <v>61</v>
      </c>
    </row>
    <row r="67" spans="1:50" ht="25.5" x14ac:dyDescent="0.25">
      <c r="A67" s="60" t="s">
        <v>647</v>
      </c>
      <c r="B67" s="60" t="s">
        <v>1731</v>
      </c>
      <c r="C67" s="60" t="s">
        <v>1070</v>
      </c>
      <c r="D67" s="60" t="s">
        <v>5</v>
      </c>
      <c r="E67" s="13" t="s">
        <v>1214</v>
      </c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>
        <v>0.2</v>
      </c>
      <c r="W67" s="13"/>
      <c r="X67" s="13"/>
      <c r="Y67" s="14"/>
      <c r="Z67" s="14"/>
      <c r="AA67" s="14"/>
      <c r="AB67" s="14"/>
      <c r="AC67" s="13"/>
      <c r="AD67" s="13"/>
      <c r="AE67" s="13"/>
      <c r="AF67" s="12">
        <v>0</v>
      </c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X67" s="8">
        <v>62</v>
      </c>
    </row>
    <row r="68" spans="1:50" ht="25.5" x14ac:dyDescent="0.25">
      <c r="A68" s="60" t="s">
        <v>648</v>
      </c>
      <c r="B68" s="60" t="s">
        <v>1731</v>
      </c>
      <c r="C68" s="60" t="s">
        <v>1070</v>
      </c>
      <c r="D68" s="60" t="s">
        <v>5</v>
      </c>
      <c r="E68" s="13" t="s">
        <v>1215</v>
      </c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>
        <v>0.2</v>
      </c>
      <c r="W68" s="13"/>
      <c r="X68" s="13"/>
      <c r="Y68" s="14"/>
      <c r="Z68" s="14"/>
      <c r="AA68" s="14"/>
      <c r="AB68" s="14"/>
      <c r="AC68" s="13"/>
      <c r="AD68" s="13"/>
      <c r="AE68" s="13"/>
      <c r="AF68" s="12">
        <v>0</v>
      </c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X68" s="8">
        <v>63</v>
      </c>
    </row>
    <row r="69" spans="1:50" ht="25.5" x14ac:dyDescent="0.25">
      <c r="A69" s="60" t="s">
        <v>649</v>
      </c>
      <c r="B69" s="60" t="s">
        <v>1731</v>
      </c>
      <c r="C69" s="60" t="s">
        <v>1070</v>
      </c>
      <c r="D69" s="60" t="s">
        <v>5</v>
      </c>
      <c r="E69" s="13" t="s">
        <v>1216</v>
      </c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>
        <v>0.2</v>
      </c>
      <c r="W69" s="13"/>
      <c r="X69" s="13"/>
      <c r="Y69" s="14"/>
      <c r="Z69" s="14"/>
      <c r="AA69" s="14"/>
      <c r="AB69" s="14"/>
      <c r="AC69" s="13"/>
      <c r="AD69" s="13"/>
      <c r="AE69" s="13"/>
      <c r="AF69" s="12">
        <v>0</v>
      </c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X69" s="8">
        <v>64</v>
      </c>
    </row>
    <row r="70" spans="1:50" ht="25.5" x14ac:dyDescent="0.25">
      <c r="A70" s="13" t="s">
        <v>650</v>
      </c>
      <c r="B70" s="13" t="s">
        <v>1731</v>
      </c>
      <c r="C70" s="13" t="s">
        <v>1070</v>
      </c>
      <c r="D70" s="13" t="s">
        <v>5</v>
      </c>
      <c r="E70" s="13" t="s">
        <v>1217</v>
      </c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>
        <v>0.2</v>
      </c>
      <c r="W70" s="13"/>
      <c r="X70" s="13"/>
      <c r="Y70" s="14"/>
      <c r="Z70" s="14"/>
      <c r="AA70" s="14"/>
      <c r="AB70" s="14"/>
      <c r="AC70" s="13"/>
      <c r="AD70" s="13"/>
      <c r="AE70" s="13"/>
      <c r="AF70" s="12">
        <v>0</v>
      </c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X70" s="8">
        <v>65</v>
      </c>
    </row>
    <row r="71" spans="1:50" ht="25.5" x14ac:dyDescent="0.25">
      <c r="A71" s="13" t="s">
        <v>651</v>
      </c>
      <c r="B71" s="13" t="s">
        <v>1731</v>
      </c>
      <c r="C71" s="13" t="s">
        <v>1070</v>
      </c>
      <c r="D71" s="13" t="s">
        <v>5</v>
      </c>
      <c r="E71" s="13" t="s">
        <v>1218</v>
      </c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>
        <v>0.2</v>
      </c>
      <c r="W71" s="13"/>
      <c r="X71" s="13"/>
      <c r="Y71" s="14"/>
      <c r="Z71" s="14"/>
      <c r="AA71" s="14"/>
      <c r="AB71" s="14"/>
      <c r="AC71" s="13"/>
      <c r="AD71" s="13"/>
      <c r="AE71" s="13"/>
      <c r="AF71" s="12">
        <v>0</v>
      </c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X71" s="8">
        <v>66</v>
      </c>
    </row>
    <row r="72" spans="1:50" ht="25.5" x14ac:dyDescent="0.25">
      <c r="A72" s="13" t="s">
        <v>652</v>
      </c>
      <c r="B72" s="13" t="s">
        <v>1731</v>
      </c>
      <c r="C72" s="13" t="s">
        <v>1070</v>
      </c>
      <c r="D72" s="13" t="s">
        <v>349</v>
      </c>
      <c r="E72" s="13" t="s">
        <v>1219</v>
      </c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>
        <v>0.2</v>
      </c>
      <c r="W72" s="13"/>
      <c r="X72" s="13"/>
      <c r="Y72" s="14"/>
      <c r="Z72" s="14"/>
      <c r="AA72" s="14"/>
      <c r="AB72" s="14"/>
      <c r="AC72" s="13"/>
      <c r="AD72" s="13"/>
      <c r="AE72" s="13"/>
      <c r="AF72" s="12">
        <v>4</v>
      </c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X72" s="8">
        <v>67</v>
      </c>
    </row>
    <row r="73" spans="1:50" ht="25.5" x14ac:dyDescent="0.25">
      <c r="A73" s="13" t="s">
        <v>653</v>
      </c>
      <c r="B73" s="13" t="s">
        <v>1731</v>
      </c>
      <c r="C73" s="13" t="s">
        <v>1070</v>
      </c>
      <c r="D73" s="13" t="s">
        <v>349</v>
      </c>
      <c r="E73" s="13" t="s">
        <v>1220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>
        <v>0.2</v>
      </c>
      <c r="W73" s="13"/>
      <c r="X73" s="13"/>
      <c r="Y73" s="14"/>
      <c r="Z73" s="14"/>
      <c r="AA73" s="14"/>
      <c r="AB73" s="14"/>
      <c r="AC73" s="13"/>
      <c r="AD73" s="13"/>
      <c r="AE73" s="13"/>
      <c r="AF73" s="12">
        <v>4</v>
      </c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X73" s="8">
        <v>68</v>
      </c>
    </row>
    <row r="74" spans="1:50" ht="25.5" x14ac:dyDescent="0.25">
      <c r="A74" s="13" t="s">
        <v>654</v>
      </c>
      <c r="B74" s="13" t="s">
        <v>1731</v>
      </c>
      <c r="C74" s="13" t="s">
        <v>1070</v>
      </c>
      <c r="D74" s="13" t="s">
        <v>5</v>
      </c>
      <c r="E74" s="13" t="s">
        <v>1221</v>
      </c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>
        <v>0.2</v>
      </c>
      <c r="W74" s="13"/>
      <c r="X74" s="13"/>
      <c r="Y74" s="14"/>
      <c r="Z74" s="14"/>
      <c r="AA74" s="14"/>
      <c r="AB74" s="14"/>
      <c r="AC74" s="13"/>
      <c r="AD74" s="13"/>
      <c r="AE74" s="13"/>
      <c r="AF74" s="12">
        <v>0</v>
      </c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X74" s="8">
        <v>69</v>
      </c>
    </row>
    <row r="75" spans="1:50" ht="25.5" x14ac:dyDescent="0.25">
      <c r="A75" s="13" t="s">
        <v>655</v>
      </c>
      <c r="B75" s="13" t="s">
        <v>1731</v>
      </c>
      <c r="C75" s="13" t="s">
        <v>1070</v>
      </c>
      <c r="D75" s="13" t="s">
        <v>5</v>
      </c>
      <c r="E75" s="13" t="s">
        <v>1222</v>
      </c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>
        <v>0.2</v>
      </c>
      <c r="W75" s="13"/>
      <c r="X75" s="13"/>
      <c r="Y75" s="14"/>
      <c r="Z75" s="14"/>
      <c r="AA75" s="14"/>
      <c r="AB75" s="14"/>
      <c r="AC75" s="13"/>
      <c r="AD75" s="13"/>
      <c r="AE75" s="13"/>
      <c r="AF75" s="12">
        <v>0</v>
      </c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X75" s="8">
        <v>70</v>
      </c>
    </row>
    <row r="76" spans="1:50" ht="25.5" x14ac:dyDescent="0.25">
      <c r="A76" s="13" t="s">
        <v>656</v>
      </c>
      <c r="B76" s="13" t="s">
        <v>1731</v>
      </c>
      <c r="C76" s="13" t="s">
        <v>1070</v>
      </c>
      <c r="D76" s="13" t="s">
        <v>5</v>
      </c>
      <c r="E76" s="13" t="s">
        <v>1223</v>
      </c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>
        <v>0.2</v>
      </c>
      <c r="W76" s="13"/>
      <c r="X76" s="13"/>
      <c r="Y76" s="14"/>
      <c r="Z76" s="14"/>
      <c r="AA76" s="14"/>
      <c r="AB76" s="14"/>
      <c r="AC76" s="13"/>
      <c r="AD76" s="13"/>
      <c r="AE76" s="13"/>
      <c r="AF76" s="12">
        <v>0</v>
      </c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X76" s="8">
        <v>71</v>
      </c>
    </row>
    <row r="77" spans="1:50" ht="25.5" x14ac:dyDescent="0.25">
      <c r="A77" s="13" t="s">
        <v>657</v>
      </c>
      <c r="B77" s="13" t="s">
        <v>1731</v>
      </c>
      <c r="C77" s="13" t="s">
        <v>1070</v>
      </c>
      <c r="D77" s="13" t="s">
        <v>5</v>
      </c>
      <c r="E77" s="13" t="s">
        <v>1224</v>
      </c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>
        <v>0.2</v>
      </c>
      <c r="W77" s="13"/>
      <c r="X77" s="13"/>
      <c r="Y77" s="14"/>
      <c r="Z77" s="14"/>
      <c r="AA77" s="14"/>
      <c r="AB77" s="14"/>
      <c r="AC77" s="13"/>
      <c r="AD77" s="13"/>
      <c r="AE77" s="13"/>
      <c r="AF77" s="12">
        <v>0</v>
      </c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X77" s="8">
        <v>72</v>
      </c>
    </row>
    <row r="78" spans="1:50" x14ac:dyDescent="0.25">
      <c r="A78" s="13" t="s">
        <v>554</v>
      </c>
      <c r="B78" s="13"/>
      <c r="C78" s="13"/>
      <c r="D78" s="13" t="s">
        <v>349</v>
      </c>
      <c r="E78" s="13">
        <v>8</v>
      </c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>
        <v>0.2</v>
      </c>
      <c r="W78" s="13"/>
      <c r="X78" s="13"/>
      <c r="Y78" s="14"/>
      <c r="Z78" s="14"/>
      <c r="AA78" s="14"/>
      <c r="AB78" s="14"/>
      <c r="AC78" s="13"/>
      <c r="AD78" s="13"/>
      <c r="AE78" s="13"/>
      <c r="AF78" s="12">
        <v>0</v>
      </c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X78" s="8">
        <v>73</v>
      </c>
    </row>
    <row r="79" spans="1:50" x14ac:dyDescent="0.25">
      <c r="A79" s="13" t="s">
        <v>555</v>
      </c>
      <c r="B79" s="13"/>
      <c r="C79" s="13"/>
      <c r="D79" s="13" t="s">
        <v>349</v>
      </c>
      <c r="E79" s="13">
        <v>8</v>
      </c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>
        <v>0.2</v>
      </c>
      <c r="W79" s="13"/>
      <c r="X79" s="13"/>
      <c r="Y79" s="14"/>
      <c r="Z79" s="14"/>
      <c r="AA79" s="14"/>
      <c r="AB79" s="14"/>
      <c r="AC79" s="13"/>
      <c r="AD79" s="13"/>
      <c r="AE79" s="13"/>
      <c r="AF79" s="12">
        <v>4</v>
      </c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X79" s="8">
        <v>74</v>
      </c>
    </row>
    <row r="80" spans="1:50" ht="25.5" x14ac:dyDescent="0.25">
      <c r="A80" s="13" t="s">
        <v>662</v>
      </c>
      <c r="B80" s="13" t="s">
        <v>1731</v>
      </c>
      <c r="C80" s="13" t="s">
        <v>1070</v>
      </c>
      <c r="D80" s="13" t="s">
        <v>349</v>
      </c>
      <c r="E80" s="13" t="s">
        <v>1227</v>
      </c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>
        <v>0.2</v>
      </c>
      <c r="W80" s="13"/>
      <c r="X80" s="13"/>
      <c r="Y80" s="14"/>
      <c r="Z80" s="14"/>
      <c r="AA80" s="14"/>
      <c r="AB80" s="14"/>
      <c r="AC80" s="13"/>
      <c r="AD80" s="13"/>
      <c r="AE80" s="13"/>
      <c r="AF80" s="12">
        <v>4</v>
      </c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X80" s="8">
        <v>75</v>
      </c>
    </row>
    <row r="81" spans="1:50" ht="25.5" x14ac:dyDescent="0.25">
      <c r="A81" s="13" t="s">
        <v>663</v>
      </c>
      <c r="B81" s="13" t="s">
        <v>1731</v>
      </c>
      <c r="C81" s="13" t="s">
        <v>1070</v>
      </c>
      <c r="D81" s="13" t="s">
        <v>349</v>
      </c>
      <c r="E81" s="13" t="s">
        <v>1228</v>
      </c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>
        <v>0.2</v>
      </c>
      <c r="W81" s="13"/>
      <c r="X81" s="13"/>
      <c r="Y81" s="14"/>
      <c r="Z81" s="14"/>
      <c r="AA81" s="14"/>
      <c r="AB81" s="14"/>
      <c r="AC81" s="13"/>
      <c r="AD81" s="13"/>
      <c r="AE81" s="13"/>
      <c r="AF81" s="12">
        <v>4</v>
      </c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X81" s="8">
        <v>76</v>
      </c>
    </row>
    <row r="82" spans="1:50" ht="25.5" x14ac:dyDescent="0.25">
      <c r="A82" s="13" t="s">
        <v>664</v>
      </c>
      <c r="B82" s="13" t="s">
        <v>1731</v>
      </c>
      <c r="C82" s="13" t="s">
        <v>1070</v>
      </c>
      <c r="D82" s="13" t="s">
        <v>349</v>
      </c>
      <c r="E82" s="13" t="s">
        <v>1229</v>
      </c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>
        <v>0.2</v>
      </c>
      <c r="W82" s="13"/>
      <c r="X82" s="13"/>
      <c r="Y82" s="14"/>
      <c r="Z82" s="14"/>
      <c r="AA82" s="14"/>
      <c r="AB82" s="14"/>
      <c r="AC82" s="13"/>
      <c r="AD82" s="13"/>
      <c r="AE82" s="13"/>
      <c r="AF82" s="12">
        <v>4</v>
      </c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X82" s="8">
        <v>77</v>
      </c>
    </row>
    <row r="83" spans="1:50" ht="25.5" x14ac:dyDescent="0.25">
      <c r="A83" s="13" t="s">
        <v>665</v>
      </c>
      <c r="B83" s="13" t="s">
        <v>1731</v>
      </c>
      <c r="C83" s="13" t="s">
        <v>1070</v>
      </c>
      <c r="D83" s="13" t="s">
        <v>349</v>
      </c>
      <c r="E83" s="13" t="s">
        <v>1230</v>
      </c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>
        <v>0.2</v>
      </c>
      <c r="W83" s="13"/>
      <c r="X83" s="13"/>
      <c r="Y83" s="14"/>
      <c r="Z83" s="14"/>
      <c r="AA83" s="14"/>
      <c r="AB83" s="14"/>
      <c r="AC83" s="13"/>
      <c r="AD83" s="13"/>
      <c r="AE83" s="13"/>
      <c r="AF83" s="12">
        <v>4</v>
      </c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X83" s="8">
        <v>78</v>
      </c>
    </row>
    <row r="84" spans="1:50" ht="25.5" x14ac:dyDescent="0.25">
      <c r="A84" s="13" t="s">
        <v>1512</v>
      </c>
      <c r="B84" s="13" t="s">
        <v>1731</v>
      </c>
      <c r="C84" s="13" t="s">
        <v>1070</v>
      </c>
      <c r="D84" s="13" t="s">
        <v>349</v>
      </c>
      <c r="E84" s="13" t="s">
        <v>1231</v>
      </c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>
        <v>0.2</v>
      </c>
      <c r="W84" s="13"/>
      <c r="X84" s="13"/>
      <c r="Y84" s="14"/>
      <c r="Z84" s="14"/>
      <c r="AA84" s="14"/>
      <c r="AB84" s="14"/>
      <c r="AC84" s="13"/>
      <c r="AD84" s="13"/>
      <c r="AE84" s="13"/>
      <c r="AF84" s="12">
        <v>4</v>
      </c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X84" s="8">
        <v>79</v>
      </c>
    </row>
    <row r="85" spans="1:50" x14ac:dyDescent="0.25">
      <c r="A85" s="13" t="s">
        <v>547</v>
      </c>
      <c r="B85" s="13"/>
      <c r="C85" s="13"/>
      <c r="D85" s="13" t="s">
        <v>349</v>
      </c>
      <c r="E85" s="13">
        <v>56</v>
      </c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>
        <v>0.2</v>
      </c>
      <c r="W85" s="13"/>
      <c r="X85" s="13"/>
      <c r="Y85" s="14"/>
      <c r="Z85" s="14"/>
      <c r="AA85" s="14"/>
      <c r="AB85" s="14"/>
      <c r="AC85" s="13"/>
      <c r="AD85" s="13"/>
      <c r="AE85" s="13"/>
      <c r="AF85" s="12">
        <v>4</v>
      </c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X85" s="8">
        <v>80</v>
      </c>
    </row>
    <row r="86" spans="1:50" x14ac:dyDescent="0.25">
      <c r="A86" s="13" t="s">
        <v>1496</v>
      </c>
      <c r="B86" s="13"/>
      <c r="C86" s="13"/>
      <c r="D86" s="13" t="s">
        <v>349</v>
      </c>
      <c r="E86" s="13">
        <v>16</v>
      </c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>
        <v>0.2</v>
      </c>
      <c r="W86" s="13"/>
      <c r="X86" s="13"/>
      <c r="Y86" s="14"/>
      <c r="Z86" s="14"/>
      <c r="AA86" s="14"/>
      <c r="AB86" s="14"/>
      <c r="AC86" s="13"/>
      <c r="AD86" s="13"/>
      <c r="AE86" s="13"/>
      <c r="AF86" s="12">
        <v>0</v>
      </c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X86" s="8">
        <v>81</v>
      </c>
    </row>
    <row r="87" spans="1:50" ht="25.5" x14ac:dyDescent="0.25">
      <c r="A87" s="13" t="s">
        <v>666</v>
      </c>
      <c r="B87" s="13" t="s">
        <v>1731</v>
      </c>
      <c r="C87" s="13" t="s">
        <v>1070</v>
      </c>
      <c r="D87" s="13" t="s">
        <v>349</v>
      </c>
      <c r="E87" s="13" t="s">
        <v>1234</v>
      </c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>
        <v>0.2</v>
      </c>
      <c r="W87" s="13"/>
      <c r="X87" s="13"/>
      <c r="Y87" s="14"/>
      <c r="Z87" s="14"/>
      <c r="AA87" s="14"/>
      <c r="AB87" s="14"/>
      <c r="AC87" s="13"/>
      <c r="AD87" s="13"/>
      <c r="AE87" s="13"/>
      <c r="AF87" s="12">
        <v>4</v>
      </c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X87" s="8">
        <v>82</v>
      </c>
    </row>
    <row r="88" spans="1:50" ht="25.5" x14ac:dyDescent="0.25">
      <c r="A88" s="13" t="s">
        <v>667</v>
      </c>
      <c r="B88" s="13" t="s">
        <v>1731</v>
      </c>
      <c r="C88" s="13" t="s">
        <v>1070</v>
      </c>
      <c r="D88" s="13" t="s">
        <v>349</v>
      </c>
      <c r="E88" s="13" t="s">
        <v>1235</v>
      </c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>
        <v>0.2</v>
      </c>
      <c r="W88" s="13"/>
      <c r="X88" s="13"/>
      <c r="Y88" s="14"/>
      <c r="Z88" s="14"/>
      <c r="AA88" s="14"/>
      <c r="AB88" s="14"/>
      <c r="AC88" s="13"/>
      <c r="AD88" s="13"/>
      <c r="AE88" s="13"/>
      <c r="AF88" s="12">
        <v>4</v>
      </c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X88" s="8">
        <v>83</v>
      </c>
    </row>
    <row r="89" spans="1:50" ht="25.5" x14ac:dyDescent="0.25">
      <c r="A89" s="13" t="s">
        <v>668</v>
      </c>
      <c r="B89" s="13" t="s">
        <v>1731</v>
      </c>
      <c r="C89" s="13" t="s">
        <v>1070</v>
      </c>
      <c r="D89" s="13" t="s">
        <v>349</v>
      </c>
      <c r="E89" s="13" t="s">
        <v>1236</v>
      </c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>
        <v>0.2</v>
      </c>
      <c r="W89" s="13"/>
      <c r="X89" s="13"/>
      <c r="Y89" s="14"/>
      <c r="Z89" s="14"/>
      <c r="AA89" s="14"/>
      <c r="AB89" s="14"/>
      <c r="AC89" s="13"/>
      <c r="AD89" s="13"/>
      <c r="AE89" s="13"/>
      <c r="AF89" s="12">
        <v>4</v>
      </c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X89" s="8">
        <v>84</v>
      </c>
    </row>
    <row r="90" spans="1:50" ht="25.5" x14ac:dyDescent="0.25">
      <c r="A90" s="13" t="s">
        <v>669</v>
      </c>
      <c r="B90" s="13" t="s">
        <v>1731</v>
      </c>
      <c r="C90" s="13" t="s">
        <v>1070</v>
      </c>
      <c r="D90" s="13" t="s">
        <v>349</v>
      </c>
      <c r="E90" s="13" t="s">
        <v>1237</v>
      </c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>
        <v>0.2</v>
      </c>
      <c r="W90" s="13"/>
      <c r="X90" s="13"/>
      <c r="Y90" s="14"/>
      <c r="Z90" s="14"/>
      <c r="AA90" s="14"/>
      <c r="AB90" s="14"/>
      <c r="AC90" s="13"/>
      <c r="AD90" s="13"/>
      <c r="AE90" s="13"/>
      <c r="AF90" s="12">
        <v>4</v>
      </c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X90" s="8">
        <v>85</v>
      </c>
    </row>
    <row r="91" spans="1:50" ht="25.5" x14ac:dyDescent="0.25">
      <c r="A91" s="13" t="s">
        <v>670</v>
      </c>
      <c r="B91" s="13" t="s">
        <v>1731</v>
      </c>
      <c r="C91" s="13" t="s">
        <v>1070</v>
      </c>
      <c r="D91" s="13" t="s">
        <v>349</v>
      </c>
      <c r="E91" s="13" t="s">
        <v>1238</v>
      </c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>
        <v>0.2</v>
      </c>
      <c r="W91" s="13"/>
      <c r="X91" s="13"/>
      <c r="Y91" s="14"/>
      <c r="Z91" s="14"/>
      <c r="AA91" s="14"/>
      <c r="AB91" s="14"/>
      <c r="AC91" s="13"/>
      <c r="AD91" s="13"/>
      <c r="AE91" s="13"/>
      <c r="AF91" s="12">
        <v>4</v>
      </c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X91" s="8">
        <v>86</v>
      </c>
    </row>
    <row r="92" spans="1:50" ht="25.5" x14ac:dyDescent="0.25">
      <c r="A92" s="13" t="s">
        <v>671</v>
      </c>
      <c r="B92" s="13" t="s">
        <v>1731</v>
      </c>
      <c r="C92" s="13" t="s">
        <v>1070</v>
      </c>
      <c r="D92" s="13" t="s">
        <v>349</v>
      </c>
      <c r="E92" s="13" t="s">
        <v>1434</v>
      </c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>
        <v>0.2</v>
      </c>
      <c r="W92" s="13"/>
      <c r="X92" s="13"/>
      <c r="Y92" s="14"/>
      <c r="Z92" s="14"/>
      <c r="AA92" s="14"/>
      <c r="AB92" s="14"/>
      <c r="AC92" s="13"/>
      <c r="AD92" s="13"/>
      <c r="AE92" s="13"/>
      <c r="AF92" s="12">
        <v>4</v>
      </c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X92" s="8">
        <v>87</v>
      </c>
    </row>
    <row r="93" spans="1:50" ht="25.5" x14ac:dyDescent="0.25">
      <c r="A93" s="13" t="s">
        <v>1513</v>
      </c>
      <c r="B93" s="13" t="s">
        <v>1731</v>
      </c>
      <c r="C93" s="13" t="s">
        <v>1070</v>
      </c>
      <c r="D93" s="13" t="s">
        <v>349</v>
      </c>
      <c r="E93" s="13" t="s">
        <v>1435</v>
      </c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>
        <v>0.2</v>
      </c>
      <c r="W93" s="13"/>
      <c r="X93" s="13"/>
      <c r="Y93" s="14"/>
      <c r="Z93" s="14"/>
      <c r="AA93" s="14"/>
      <c r="AB93" s="14"/>
      <c r="AC93" s="13"/>
      <c r="AD93" s="13"/>
      <c r="AE93" s="13"/>
      <c r="AF93" s="12">
        <v>0</v>
      </c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X93" s="8">
        <v>88</v>
      </c>
    </row>
    <row r="94" spans="1:50" ht="25.5" x14ac:dyDescent="0.25">
      <c r="A94" s="13" t="s">
        <v>1514</v>
      </c>
      <c r="B94" s="13" t="s">
        <v>1731</v>
      </c>
      <c r="C94" s="13" t="s">
        <v>1070</v>
      </c>
      <c r="D94" s="13" t="s">
        <v>349</v>
      </c>
      <c r="E94" s="13" t="s">
        <v>1436</v>
      </c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>
        <v>0.2</v>
      </c>
      <c r="W94" s="13"/>
      <c r="X94" s="13"/>
      <c r="Y94" s="14"/>
      <c r="Z94" s="14"/>
      <c r="AA94" s="14"/>
      <c r="AB94" s="14"/>
      <c r="AC94" s="13"/>
      <c r="AD94" s="13"/>
      <c r="AE94" s="13"/>
      <c r="AF94" s="12">
        <v>0</v>
      </c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X94" s="8">
        <v>89</v>
      </c>
    </row>
    <row r="95" spans="1:50" ht="25.5" x14ac:dyDescent="0.25">
      <c r="A95" s="13" t="s">
        <v>1515</v>
      </c>
      <c r="B95" s="13" t="s">
        <v>1731</v>
      </c>
      <c r="C95" s="13" t="s">
        <v>1070</v>
      </c>
      <c r="D95" s="13" t="s">
        <v>349</v>
      </c>
      <c r="E95" s="13" t="s">
        <v>1437</v>
      </c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>
        <v>0.2</v>
      </c>
      <c r="W95" s="13"/>
      <c r="X95" s="13"/>
      <c r="Y95" s="14"/>
      <c r="Z95" s="14"/>
      <c r="AA95" s="14"/>
      <c r="AB95" s="14"/>
      <c r="AC95" s="13"/>
      <c r="AD95" s="13"/>
      <c r="AE95" s="13"/>
      <c r="AF95" s="12">
        <v>0</v>
      </c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X95" s="8">
        <v>90</v>
      </c>
    </row>
    <row r="96" spans="1:50" ht="25.5" x14ac:dyDescent="0.25">
      <c r="A96" s="13" t="s">
        <v>1516</v>
      </c>
      <c r="B96" s="13" t="s">
        <v>1731</v>
      </c>
      <c r="C96" s="13" t="s">
        <v>1070</v>
      </c>
      <c r="D96" s="13" t="s">
        <v>349</v>
      </c>
      <c r="E96" s="13" t="s">
        <v>1438</v>
      </c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>
        <v>0.2</v>
      </c>
      <c r="W96" s="13"/>
      <c r="X96" s="13"/>
      <c r="Y96" s="14"/>
      <c r="Z96" s="14"/>
      <c r="AA96" s="14"/>
      <c r="AB96" s="14"/>
      <c r="AC96" s="13"/>
      <c r="AD96" s="13"/>
      <c r="AE96" s="13"/>
      <c r="AF96" s="12">
        <v>0</v>
      </c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X96" s="8">
        <v>91</v>
      </c>
    </row>
    <row r="97" spans="1:50" ht="25.5" x14ac:dyDescent="0.25">
      <c r="A97" s="13" t="s">
        <v>1517</v>
      </c>
      <c r="B97" s="13" t="s">
        <v>1731</v>
      </c>
      <c r="C97" s="13" t="s">
        <v>1070</v>
      </c>
      <c r="D97" s="13" t="s">
        <v>349</v>
      </c>
      <c r="E97" s="13" t="s">
        <v>1439</v>
      </c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>
        <v>0.2</v>
      </c>
      <c r="W97" s="13"/>
      <c r="X97" s="13"/>
      <c r="Y97" s="14"/>
      <c r="Z97" s="14"/>
      <c r="AA97" s="14"/>
      <c r="AB97" s="14"/>
      <c r="AC97" s="13"/>
      <c r="AD97" s="13"/>
      <c r="AE97" s="13"/>
      <c r="AF97" s="12">
        <v>0</v>
      </c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X97" s="8">
        <v>92</v>
      </c>
    </row>
    <row r="98" spans="1:50" ht="25.5" x14ac:dyDescent="0.25">
      <c r="A98" s="13" t="s">
        <v>1518</v>
      </c>
      <c r="B98" s="13" t="s">
        <v>1731</v>
      </c>
      <c r="C98" s="13" t="s">
        <v>1070</v>
      </c>
      <c r="D98" s="13" t="s">
        <v>349</v>
      </c>
      <c r="E98" s="13" t="s">
        <v>1440</v>
      </c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>
        <v>0.2</v>
      </c>
      <c r="W98" s="13"/>
      <c r="X98" s="13"/>
      <c r="Y98" s="14"/>
      <c r="Z98" s="14"/>
      <c r="AA98" s="14"/>
      <c r="AB98" s="14"/>
      <c r="AC98" s="13"/>
      <c r="AD98" s="13"/>
      <c r="AE98" s="13"/>
      <c r="AF98" s="12">
        <v>0</v>
      </c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X98" s="8">
        <v>93</v>
      </c>
    </row>
    <row r="99" spans="1:50" ht="25.5" x14ac:dyDescent="0.25">
      <c r="A99" s="13" t="s">
        <v>1519</v>
      </c>
      <c r="B99" s="13" t="s">
        <v>1731</v>
      </c>
      <c r="C99" s="13" t="s">
        <v>1070</v>
      </c>
      <c r="D99" s="13" t="s">
        <v>349</v>
      </c>
      <c r="E99" s="13" t="s">
        <v>1441</v>
      </c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>
        <v>0.2</v>
      </c>
      <c r="W99" s="13"/>
      <c r="X99" s="13"/>
      <c r="Y99" s="14"/>
      <c r="Z99" s="14"/>
      <c r="AA99" s="14"/>
      <c r="AB99" s="14"/>
      <c r="AC99" s="13"/>
      <c r="AD99" s="13"/>
      <c r="AE99" s="13"/>
      <c r="AF99" s="12">
        <v>0</v>
      </c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X99" s="8">
        <v>94</v>
      </c>
    </row>
    <row r="100" spans="1:50" x14ac:dyDescent="0.25">
      <c r="A100" s="13" t="s">
        <v>546</v>
      </c>
      <c r="B100" s="13"/>
      <c r="C100" s="13"/>
      <c r="D100" s="13" t="s">
        <v>5</v>
      </c>
      <c r="E100" s="13">
        <v>1</v>
      </c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>
        <v>0.2</v>
      </c>
      <c r="W100" s="13"/>
      <c r="X100" s="13"/>
      <c r="Y100" s="14"/>
      <c r="Z100" s="14"/>
      <c r="AA100" s="14"/>
      <c r="AB100" s="14"/>
      <c r="AC100" s="13"/>
      <c r="AD100" s="13"/>
      <c r="AE100" s="13"/>
      <c r="AF100" s="12">
        <v>0</v>
      </c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X100" s="8">
        <v>95</v>
      </c>
    </row>
    <row r="101" spans="1:50" ht="25.5" x14ac:dyDescent="0.25">
      <c r="A101" s="13" t="s">
        <v>1524</v>
      </c>
      <c r="B101" s="13" t="s">
        <v>1731</v>
      </c>
      <c r="C101" s="13" t="s">
        <v>1070</v>
      </c>
      <c r="D101" s="13" t="s">
        <v>349</v>
      </c>
      <c r="E101" s="13" t="s">
        <v>1443</v>
      </c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>
        <v>0.2</v>
      </c>
      <c r="W101" s="13"/>
      <c r="X101" s="13"/>
      <c r="Y101" s="14"/>
      <c r="Z101" s="14"/>
      <c r="AA101" s="14"/>
      <c r="AB101" s="14"/>
      <c r="AC101" s="13"/>
      <c r="AD101" s="13"/>
      <c r="AE101" s="13"/>
      <c r="AF101" s="12">
        <v>4</v>
      </c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X101" s="8">
        <v>96</v>
      </c>
    </row>
    <row r="102" spans="1:50" ht="25.5" x14ac:dyDescent="0.25">
      <c r="A102" s="13" t="s">
        <v>683</v>
      </c>
      <c r="B102" s="13" t="s">
        <v>1731</v>
      </c>
      <c r="C102" s="13" t="s">
        <v>1070</v>
      </c>
      <c r="D102" s="13" t="s">
        <v>349</v>
      </c>
      <c r="E102" s="13" t="s">
        <v>1444</v>
      </c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>
        <v>0.2</v>
      </c>
      <c r="W102" s="13"/>
      <c r="X102" s="13"/>
      <c r="Y102" s="14"/>
      <c r="Z102" s="14"/>
      <c r="AA102" s="14"/>
      <c r="AB102" s="14"/>
      <c r="AC102" s="13"/>
      <c r="AD102" s="13"/>
      <c r="AE102" s="13"/>
      <c r="AF102" s="12">
        <v>4</v>
      </c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X102" s="8">
        <v>97</v>
      </c>
    </row>
    <row r="103" spans="1:50" ht="25.5" x14ac:dyDescent="0.25">
      <c r="A103" s="13" t="s">
        <v>1525</v>
      </c>
      <c r="B103" s="13" t="s">
        <v>1731</v>
      </c>
      <c r="C103" s="13" t="s">
        <v>1070</v>
      </c>
      <c r="D103" s="13" t="s">
        <v>349</v>
      </c>
      <c r="E103" s="13" t="s">
        <v>1445</v>
      </c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>
        <v>0.2</v>
      </c>
      <c r="W103" s="13"/>
      <c r="X103" s="13"/>
      <c r="Y103" s="14"/>
      <c r="Z103" s="14"/>
      <c r="AA103" s="14"/>
      <c r="AB103" s="14"/>
      <c r="AC103" s="13"/>
      <c r="AD103" s="13"/>
      <c r="AE103" s="13"/>
      <c r="AF103" s="12">
        <v>4</v>
      </c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X103" s="8">
        <v>98</v>
      </c>
    </row>
    <row r="104" spans="1:50" ht="25.5" x14ac:dyDescent="0.25">
      <c r="A104" s="13" t="s">
        <v>1526</v>
      </c>
      <c r="B104" s="13" t="s">
        <v>1731</v>
      </c>
      <c r="C104" s="13" t="s">
        <v>1070</v>
      </c>
      <c r="D104" s="13" t="s">
        <v>349</v>
      </c>
      <c r="E104" s="13" t="s">
        <v>1446</v>
      </c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>
        <v>0.2</v>
      </c>
      <c r="W104" s="13"/>
      <c r="X104" s="13"/>
      <c r="Y104" s="14"/>
      <c r="Z104" s="14"/>
      <c r="AA104" s="14"/>
      <c r="AB104" s="14"/>
      <c r="AC104" s="13"/>
      <c r="AD104" s="13"/>
      <c r="AE104" s="13"/>
      <c r="AF104" s="12">
        <v>4</v>
      </c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X104" s="8">
        <v>99</v>
      </c>
    </row>
    <row r="105" spans="1:50" ht="25.5" x14ac:dyDescent="0.25">
      <c r="A105" s="13" t="s">
        <v>1527</v>
      </c>
      <c r="B105" s="13" t="s">
        <v>1731</v>
      </c>
      <c r="C105" s="13" t="s">
        <v>1070</v>
      </c>
      <c r="D105" s="13" t="s">
        <v>349</v>
      </c>
      <c r="E105" s="13" t="s">
        <v>1447</v>
      </c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>
        <v>0.2</v>
      </c>
      <c r="W105" s="13"/>
      <c r="X105" s="13"/>
      <c r="Y105" s="14"/>
      <c r="Z105" s="14"/>
      <c r="AA105" s="14"/>
      <c r="AB105" s="14"/>
      <c r="AC105" s="13"/>
      <c r="AD105" s="13"/>
      <c r="AE105" s="13"/>
      <c r="AF105" s="12">
        <v>4</v>
      </c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X105" s="8">
        <v>100</v>
      </c>
    </row>
    <row r="106" spans="1:50" ht="25.5" x14ac:dyDescent="0.25">
      <c r="A106" s="13" t="s">
        <v>1769</v>
      </c>
      <c r="B106" s="13" t="s">
        <v>1731</v>
      </c>
      <c r="C106" s="13" t="s">
        <v>1070</v>
      </c>
      <c r="D106" s="13" t="s">
        <v>349</v>
      </c>
      <c r="E106" s="13" t="s">
        <v>1448</v>
      </c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>
        <v>0</v>
      </c>
      <c r="W106" s="13"/>
      <c r="X106" s="13"/>
      <c r="Y106" s="14"/>
      <c r="Z106" s="14"/>
      <c r="AA106" s="14"/>
      <c r="AB106" s="14"/>
      <c r="AC106" s="13"/>
      <c r="AD106" s="13"/>
      <c r="AE106" s="13"/>
      <c r="AF106" s="12">
        <v>4</v>
      </c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X106" s="8">
        <v>101</v>
      </c>
    </row>
    <row r="107" spans="1:50" ht="25.5" x14ac:dyDescent="0.25">
      <c r="A107" s="13" t="s">
        <v>684</v>
      </c>
      <c r="B107" s="13" t="s">
        <v>1731</v>
      </c>
      <c r="C107" s="13" t="s">
        <v>1070</v>
      </c>
      <c r="D107" s="13" t="s">
        <v>349</v>
      </c>
      <c r="E107" s="13" t="s">
        <v>1449</v>
      </c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>
        <v>0.2</v>
      </c>
      <c r="W107" s="13"/>
      <c r="X107" s="13"/>
      <c r="Y107" s="14"/>
      <c r="Z107" s="14"/>
      <c r="AA107" s="14"/>
      <c r="AB107" s="14"/>
      <c r="AC107" s="13"/>
      <c r="AD107" s="13"/>
      <c r="AE107" s="13"/>
      <c r="AF107" s="12">
        <v>4</v>
      </c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X107" s="8">
        <v>102</v>
      </c>
    </row>
    <row r="108" spans="1:50" ht="25.5" x14ac:dyDescent="0.25">
      <c r="A108" s="13" t="s">
        <v>685</v>
      </c>
      <c r="B108" s="13" t="s">
        <v>1731</v>
      </c>
      <c r="C108" s="13" t="s">
        <v>1070</v>
      </c>
      <c r="D108" s="13" t="s">
        <v>349</v>
      </c>
      <c r="E108" s="13" t="s">
        <v>1450</v>
      </c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>
        <v>0.2</v>
      </c>
      <c r="W108" s="13"/>
      <c r="X108" s="13"/>
      <c r="Y108" s="14"/>
      <c r="Z108" s="14"/>
      <c r="AA108" s="14"/>
      <c r="AB108" s="14"/>
      <c r="AC108" s="13"/>
      <c r="AD108" s="13"/>
      <c r="AE108" s="13"/>
      <c r="AF108" s="12">
        <v>4</v>
      </c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X108" s="8">
        <v>103</v>
      </c>
    </row>
    <row r="109" spans="1:50" ht="25.5" x14ac:dyDescent="0.25">
      <c r="A109" s="13" t="s">
        <v>686</v>
      </c>
      <c r="B109" s="13" t="s">
        <v>1731</v>
      </c>
      <c r="C109" s="13" t="s">
        <v>1070</v>
      </c>
      <c r="D109" s="13" t="s">
        <v>349</v>
      </c>
      <c r="E109" s="13" t="s">
        <v>1451</v>
      </c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>
        <v>0.2</v>
      </c>
      <c r="W109" s="13"/>
      <c r="X109" s="13"/>
      <c r="Y109" s="14"/>
      <c r="Z109" s="14"/>
      <c r="AA109" s="14"/>
      <c r="AB109" s="14"/>
      <c r="AC109" s="13"/>
      <c r="AD109" s="13"/>
      <c r="AE109" s="13"/>
      <c r="AF109" s="12">
        <v>4</v>
      </c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X109" s="8">
        <v>104</v>
      </c>
    </row>
    <row r="110" spans="1:50" ht="25.5" x14ac:dyDescent="0.25">
      <c r="A110" s="13" t="s">
        <v>1770</v>
      </c>
      <c r="B110" s="13" t="s">
        <v>1731</v>
      </c>
      <c r="C110" s="13" t="s">
        <v>1070</v>
      </c>
      <c r="D110" s="13" t="s">
        <v>349</v>
      </c>
      <c r="E110" s="13" t="s">
        <v>1452</v>
      </c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>
        <v>0</v>
      </c>
      <c r="W110" s="13"/>
      <c r="X110" s="13"/>
      <c r="Y110" s="14"/>
      <c r="Z110" s="14"/>
      <c r="AA110" s="14"/>
      <c r="AB110" s="14"/>
      <c r="AC110" s="13"/>
      <c r="AD110" s="13"/>
      <c r="AE110" s="13"/>
      <c r="AF110" s="12">
        <v>4</v>
      </c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X110" s="8">
        <v>105</v>
      </c>
    </row>
    <row r="111" spans="1:50" ht="25.5" x14ac:dyDescent="0.25">
      <c r="A111" s="13" t="s">
        <v>1306</v>
      </c>
      <c r="B111" s="13" t="s">
        <v>1731</v>
      </c>
      <c r="C111" s="13" t="s">
        <v>1070</v>
      </c>
      <c r="D111" s="13" t="s">
        <v>349</v>
      </c>
      <c r="E111" s="13" t="s">
        <v>1453</v>
      </c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>
        <v>0.2</v>
      </c>
      <c r="W111" s="13"/>
      <c r="X111" s="13"/>
      <c r="Y111" s="14"/>
      <c r="Z111" s="14"/>
      <c r="AA111" s="14"/>
      <c r="AB111" s="14"/>
      <c r="AC111" s="13"/>
      <c r="AD111" s="13"/>
      <c r="AE111" s="13"/>
      <c r="AF111" s="12">
        <v>4</v>
      </c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X111" s="8">
        <v>106</v>
      </c>
    </row>
    <row r="112" spans="1:50" ht="25.5" x14ac:dyDescent="0.25">
      <c r="A112" s="13" t="s">
        <v>1276</v>
      </c>
      <c r="B112" s="13" t="s">
        <v>1731</v>
      </c>
      <c r="C112" s="13" t="s">
        <v>1070</v>
      </c>
      <c r="D112" s="13" t="s">
        <v>349</v>
      </c>
      <c r="E112" s="13" t="s">
        <v>1454</v>
      </c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>
        <v>0.2</v>
      </c>
      <c r="W112" s="13"/>
      <c r="X112" s="13"/>
      <c r="Y112" s="14"/>
      <c r="Z112" s="14"/>
      <c r="AA112" s="14"/>
      <c r="AB112" s="14"/>
      <c r="AC112" s="13"/>
      <c r="AD112" s="13"/>
      <c r="AE112" s="13"/>
      <c r="AF112" s="12">
        <v>4</v>
      </c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X112" s="8">
        <v>107</v>
      </c>
    </row>
    <row r="113" spans="1:50" ht="25.5" x14ac:dyDescent="0.25">
      <c r="A113" s="13" t="s">
        <v>1277</v>
      </c>
      <c r="B113" s="13" t="s">
        <v>1731</v>
      </c>
      <c r="C113" s="13" t="s">
        <v>1070</v>
      </c>
      <c r="D113" s="13" t="s">
        <v>349</v>
      </c>
      <c r="E113" s="13" t="s">
        <v>1455</v>
      </c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>
        <v>0.2</v>
      </c>
      <c r="W113" s="13"/>
      <c r="X113" s="13"/>
      <c r="Y113" s="14"/>
      <c r="Z113" s="14"/>
      <c r="AA113" s="14"/>
      <c r="AB113" s="14"/>
      <c r="AC113" s="13"/>
      <c r="AD113" s="13"/>
      <c r="AE113" s="13"/>
      <c r="AF113" s="12">
        <v>4</v>
      </c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X113" s="8">
        <v>108</v>
      </c>
    </row>
    <row r="114" spans="1:50" ht="25.5" x14ac:dyDescent="0.25">
      <c r="A114" s="13" t="s">
        <v>1307</v>
      </c>
      <c r="B114" s="13" t="s">
        <v>1731</v>
      </c>
      <c r="C114" s="13" t="s">
        <v>1070</v>
      </c>
      <c r="D114" s="13" t="s">
        <v>349</v>
      </c>
      <c r="E114" s="13" t="s">
        <v>1456</v>
      </c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>
        <v>0.2</v>
      </c>
      <c r="W114" s="13"/>
      <c r="X114" s="13"/>
      <c r="Y114" s="14"/>
      <c r="Z114" s="14"/>
      <c r="AA114" s="14"/>
      <c r="AB114" s="14"/>
      <c r="AC114" s="13"/>
      <c r="AD114" s="13"/>
      <c r="AE114" s="13"/>
      <c r="AF114" s="12">
        <v>4</v>
      </c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X114" s="8">
        <v>109</v>
      </c>
    </row>
    <row r="115" spans="1:50" ht="25.5" x14ac:dyDescent="0.25">
      <c r="A115" s="13" t="s">
        <v>1308</v>
      </c>
      <c r="B115" s="13" t="s">
        <v>1731</v>
      </c>
      <c r="C115" s="13" t="s">
        <v>1070</v>
      </c>
      <c r="D115" s="13" t="s">
        <v>349</v>
      </c>
      <c r="E115" s="13" t="s">
        <v>1457</v>
      </c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>
        <v>0.2</v>
      </c>
      <c r="W115" s="13"/>
      <c r="X115" s="13"/>
      <c r="Y115" s="14"/>
      <c r="Z115" s="14"/>
      <c r="AA115" s="14"/>
      <c r="AB115" s="14"/>
      <c r="AC115" s="13"/>
      <c r="AD115" s="13"/>
      <c r="AE115" s="13"/>
      <c r="AF115" s="12">
        <v>4</v>
      </c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X115" s="8">
        <v>110</v>
      </c>
    </row>
    <row r="116" spans="1:50" ht="25.5" x14ac:dyDescent="0.25">
      <c r="A116" s="13" t="s">
        <v>1309</v>
      </c>
      <c r="B116" s="13" t="s">
        <v>1731</v>
      </c>
      <c r="C116" s="13" t="s">
        <v>1070</v>
      </c>
      <c r="D116" s="13" t="s">
        <v>349</v>
      </c>
      <c r="E116" s="13" t="s">
        <v>1458</v>
      </c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>
        <v>0.2</v>
      </c>
      <c r="W116" s="13"/>
      <c r="X116" s="13"/>
      <c r="Y116" s="14"/>
      <c r="Z116" s="14"/>
      <c r="AA116" s="14"/>
      <c r="AB116" s="14"/>
      <c r="AC116" s="13"/>
      <c r="AD116" s="13"/>
      <c r="AE116" s="13"/>
      <c r="AF116" s="12">
        <v>4</v>
      </c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X116" s="8">
        <v>111</v>
      </c>
    </row>
    <row r="117" spans="1:50" ht="13.5" x14ac:dyDescent="0.25">
      <c r="A117" s="13" t="s">
        <v>1288</v>
      </c>
      <c r="B117" s="13"/>
      <c r="C117" s="13"/>
      <c r="D117" s="13" t="s">
        <v>5</v>
      </c>
      <c r="E117">
        <v>617</v>
      </c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>
        <v>0.2</v>
      </c>
      <c r="W117" s="13"/>
      <c r="X117" s="13"/>
      <c r="Y117" s="14"/>
      <c r="Z117" s="14"/>
      <c r="AA117" s="14"/>
      <c r="AB117" s="14"/>
      <c r="AC117" s="13"/>
      <c r="AD117" s="13"/>
      <c r="AE117" s="13"/>
      <c r="AF117" s="12">
        <v>0</v>
      </c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X117" s="8">
        <v>112</v>
      </c>
    </row>
    <row r="118" spans="1:50" ht="13.5" x14ac:dyDescent="0.25">
      <c r="A118" s="13" t="s">
        <v>1289</v>
      </c>
      <c r="B118" s="13"/>
      <c r="C118" s="13"/>
      <c r="D118" s="13" t="s">
        <v>5</v>
      </c>
      <c r="E118">
        <v>568.9</v>
      </c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>
        <v>0.2</v>
      </c>
      <c r="W118" s="13"/>
      <c r="X118" s="13"/>
      <c r="Y118" s="14"/>
      <c r="Z118" s="14"/>
      <c r="AA118" s="14"/>
      <c r="AB118" s="14"/>
      <c r="AC118" s="13"/>
      <c r="AD118" s="13"/>
      <c r="AE118" s="13"/>
      <c r="AF118" s="12">
        <v>0</v>
      </c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X118" s="8">
        <v>113</v>
      </c>
    </row>
    <row r="119" spans="1:50" ht="13.5" x14ac:dyDescent="0.25">
      <c r="A119" s="13" t="s">
        <v>1291</v>
      </c>
      <c r="B119" s="13"/>
      <c r="C119" s="13"/>
      <c r="D119" s="13" t="s">
        <v>5</v>
      </c>
      <c r="E119">
        <v>7.2</v>
      </c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>
        <v>0.2</v>
      </c>
      <c r="W119" s="13"/>
      <c r="X119" s="13"/>
      <c r="Y119" s="14"/>
      <c r="Z119" s="14"/>
      <c r="AA119" s="14"/>
      <c r="AB119" s="14"/>
      <c r="AC119" s="13"/>
      <c r="AD119" s="13"/>
      <c r="AE119" s="13"/>
      <c r="AF119" s="12">
        <v>4</v>
      </c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X119" s="8">
        <v>114</v>
      </c>
    </row>
    <row r="120" spans="1:50" ht="13.5" x14ac:dyDescent="0.25">
      <c r="A120" s="13" t="s">
        <v>1292</v>
      </c>
      <c r="B120" s="13"/>
      <c r="C120" s="13"/>
      <c r="D120" s="13" t="s">
        <v>5</v>
      </c>
      <c r="E120">
        <v>1</v>
      </c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>
        <v>0.2</v>
      </c>
      <c r="W120" s="13"/>
      <c r="X120" s="13"/>
      <c r="Y120" s="14"/>
      <c r="Z120" s="14"/>
      <c r="AA120" s="14"/>
      <c r="AB120" s="14"/>
      <c r="AC120" s="13"/>
      <c r="AD120" s="13"/>
      <c r="AE120" s="13"/>
      <c r="AF120" s="12">
        <v>0</v>
      </c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X120" s="8">
        <v>115</v>
      </c>
    </row>
    <row r="121" spans="1:50" ht="25.5" x14ac:dyDescent="0.25">
      <c r="A121" s="13" t="s">
        <v>1320</v>
      </c>
      <c r="B121" s="13" t="s">
        <v>1731</v>
      </c>
      <c r="C121" s="13" t="s">
        <v>1070</v>
      </c>
      <c r="D121" s="13" t="s">
        <v>349</v>
      </c>
      <c r="E121" s="13" t="s">
        <v>1463</v>
      </c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>
        <v>0.2</v>
      </c>
      <c r="W121" s="13"/>
      <c r="X121" s="13"/>
      <c r="Y121" s="14"/>
      <c r="Z121" s="14"/>
      <c r="AA121" s="14"/>
      <c r="AB121" s="14"/>
      <c r="AC121" s="13"/>
      <c r="AD121" s="13"/>
      <c r="AE121" s="13"/>
      <c r="AF121" s="12">
        <v>4</v>
      </c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X121" s="8">
        <v>116</v>
      </c>
    </row>
    <row r="122" spans="1:50" ht="25.5" x14ac:dyDescent="0.25">
      <c r="A122" s="13" t="s">
        <v>1329</v>
      </c>
      <c r="B122" s="13" t="s">
        <v>1731</v>
      </c>
      <c r="C122" s="13" t="s">
        <v>1070</v>
      </c>
      <c r="D122" s="13" t="s">
        <v>349</v>
      </c>
      <c r="E122" s="13" t="s">
        <v>1464</v>
      </c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>
        <v>0.2</v>
      </c>
      <c r="W122" s="13"/>
      <c r="X122" s="13"/>
      <c r="Y122" s="14"/>
      <c r="Z122" s="14"/>
      <c r="AA122" s="14"/>
      <c r="AB122" s="14"/>
      <c r="AC122" s="13"/>
      <c r="AD122" s="13"/>
      <c r="AE122" s="13"/>
      <c r="AF122" s="12">
        <v>4</v>
      </c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X122" s="8">
        <v>117</v>
      </c>
    </row>
    <row r="123" spans="1:50" ht="25.5" x14ac:dyDescent="0.25">
      <c r="A123" s="13" t="s">
        <v>1335</v>
      </c>
      <c r="B123" s="13" t="s">
        <v>1731</v>
      </c>
      <c r="C123" s="13" t="s">
        <v>1070</v>
      </c>
      <c r="D123" s="13" t="s">
        <v>349</v>
      </c>
      <c r="E123" s="13" t="s">
        <v>1465</v>
      </c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>
        <v>0.2</v>
      </c>
      <c r="W123" s="13"/>
      <c r="X123" s="13"/>
      <c r="Y123" s="14"/>
      <c r="Z123" s="14"/>
      <c r="AA123" s="14"/>
      <c r="AB123" s="14"/>
      <c r="AC123" s="13"/>
      <c r="AD123" s="13"/>
      <c r="AE123" s="13"/>
      <c r="AF123" s="12">
        <v>4</v>
      </c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X123" s="8">
        <v>118</v>
      </c>
    </row>
    <row r="124" spans="1:50" ht="25.5" x14ac:dyDescent="0.25">
      <c r="A124" s="13" t="s">
        <v>1332</v>
      </c>
      <c r="B124" s="13" t="s">
        <v>1731</v>
      </c>
      <c r="C124" s="13" t="s">
        <v>1070</v>
      </c>
      <c r="D124" s="13" t="s">
        <v>349</v>
      </c>
      <c r="E124" s="13" t="s">
        <v>1466</v>
      </c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>
        <v>0.2</v>
      </c>
      <c r="W124" s="13"/>
      <c r="X124" s="13"/>
      <c r="Y124" s="14"/>
      <c r="Z124" s="14"/>
      <c r="AA124" s="14"/>
      <c r="AB124" s="14"/>
      <c r="AC124" s="13"/>
      <c r="AD124" s="13"/>
      <c r="AE124" s="13"/>
      <c r="AF124" s="12">
        <v>4</v>
      </c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X124" s="8">
        <v>119</v>
      </c>
    </row>
    <row r="125" spans="1:50" ht="25.5" x14ac:dyDescent="0.25">
      <c r="A125" s="13" t="s">
        <v>1318</v>
      </c>
      <c r="B125" s="13" t="s">
        <v>1731</v>
      </c>
      <c r="C125" s="13" t="s">
        <v>1070</v>
      </c>
      <c r="D125" s="13" t="s">
        <v>349</v>
      </c>
      <c r="E125" s="13" t="s">
        <v>1467</v>
      </c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>
        <v>0.2</v>
      </c>
      <c r="W125" s="13"/>
      <c r="X125" s="13"/>
      <c r="Y125" s="14"/>
      <c r="Z125" s="14"/>
      <c r="AA125" s="14"/>
      <c r="AB125" s="14"/>
      <c r="AC125" s="13"/>
      <c r="AD125" s="13"/>
      <c r="AE125" s="13"/>
      <c r="AF125" s="12">
        <v>0</v>
      </c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X125" s="8">
        <v>120</v>
      </c>
    </row>
    <row r="126" spans="1:50" ht="25.5" x14ac:dyDescent="0.25">
      <c r="A126" s="13" t="s">
        <v>1319</v>
      </c>
      <c r="B126" s="13" t="s">
        <v>1731</v>
      </c>
      <c r="C126" s="13" t="s">
        <v>1070</v>
      </c>
      <c r="D126" s="13" t="s">
        <v>349</v>
      </c>
      <c r="E126" s="13" t="s">
        <v>1468</v>
      </c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>
        <v>0.2</v>
      </c>
      <c r="W126" s="13"/>
      <c r="X126" s="13"/>
      <c r="Y126" s="14"/>
      <c r="Z126" s="14"/>
      <c r="AA126" s="14"/>
      <c r="AB126" s="14"/>
      <c r="AC126" s="13"/>
      <c r="AD126" s="13"/>
      <c r="AE126" s="13"/>
      <c r="AF126" s="12">
        <v>0</v>
      </c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X126" s="8">
        <v>121</v>
      </c>
    </row>
    <row r="127" spans="1:50" ht="25.5" x14ac:dyDescent="0.25">
      <c r="A127" s="13" t="s">
        <v>1321</v>
      </c>
      <c r="B127" s="13" t="s">
        <v>1731</v>
      </c>
      <c r="C127" s="13" t="s">
        <v>1070</v>
      </c>
      <c r="D127" s="13" t="s">
        <v>349</v>
      </c>
      <c r="E127" s="13" t="s">
        <v>1469</v>
      </c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>
        <v>0.2</v>
      </c>
      <c r="W127" s="13"/>
      <c r="X127" s="13"/>
      <c r="Y127" s="14"/>
      <c r="Z127" s="14"/>
      <c r="AA127" s="14"/>
      <c r="AB127" s="14"/>
      <c r="AC127" s="13"/>
      <c r="AD127" s="13"/>
      <c r="AE127" s="13"/>
      <c r="AF127" s="12">
        <v>0</v>
      </c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X127" s="8">
        <v>122</v>
      </c>
    </row>
    <row r="128" spans="1:50" ht="25.5" x14ac:dyDescent="0.25">
      <c r="A128" s="13" t="s">
        <v>1322</v>
      </c>
      <c r="B128" s="13" t="s">
        <v>1731</v>
      </c>
      <c r="C128" s="13" t="s">
        <v>1070</v>
      </c>
      <c r="D128" s="13" t="s">
        <v>349</v>
      </c>
      <c r="E128" s="13" t="s">
        <v>1470</v>
      </c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>
        <v>0.2</v>
      </c>
      <c r="W128" s="13"/>
      <c r="X128" s="13"/>
      <c r="Y128" s="14"/>
      <c r="Z128" s="14"/>
      <c r="AA128" s="14"/>
      <c r="AB128" s="14"/>
      <c r="AC128" s="13"/>
      <c r="AD128" s="13"/>
      <c r="AE128" s="13"/>
      <c r="AF128" s="12">
        <v>4</v>
      </c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X128" s="8">
        <v>123</v>
      </c>
    </row>
    <row r="129" spans="1:50" ht="25.5" x14ac:dyDescent="0.25">
      <c r="A129" s="13" t="s">
        <v>1323</v>
      </c>
      <c r="B129" s="13" t="s">
        <v>1731</v>
      </c>
      <c r="C129" s="13" t="s">
        <v>1070</v>
      </c>
      <c r="D129" s="13" t="s">
        <v>349</v>
      </c>
      <c r="E129" s="13" t="s">
        <v>1471</v>
      </c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>
        <v>0.2</v>
      </c>
      <c r="W129" s="13"/>
      <c r="X129" s="13"/>
      <c r="Y129" s="14"/>
      <c r="Z129" s="14"/>
      <c r="AA129" s="14"/>
      <c r="AB129" s="14"/>
      <c r="AC129" s="13"/>
      <c r="AD129" s="13"/>
      <c r="AE129" s="13"/>
      <c r="AF129" s="12">
        <v>0</v>
      </c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X129" s="8">
        <v>124</v>
      </c>
    </row>
    <row r="130" spans="1:50" ht="25.5" x14ac:dyDescent="0.25">
      <c r="A130" s="13" t="s">
        <v>1324</v>
      </c>
      <c r="B130" s="13" t="s">
        <v>1731</v>
      </c>
      <c r="C130" s="13" t="s">
        <v>1070</v>
      </c>
      <c r="D130" s="13" t="s">
        <v>349</v>
      </c>
      <c r="E130" s="13" t="s">
        <v>1472</v>
      </c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>
        <v>0.2</v>
      </c>
      <c r="W130" s="13"/>
      <c r="X130" s="13"/>
      <c r="Y130" s="14"/>
      <c r="Z130" s="14"/>
      <c r="AA130" s="14"/>
      <c r="AB130" s="14"/>
      <c r="AC130" s="13"/>
      <c r="AD130" s="13"/>
      <c r="AE130" s="13"/>
      <c r="AF130" s="12">
        <v>0</v>
      </c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X130" s="8">
        <v>125</v>
      </c>
    </row>
    <row r="131" spans="1:50" ht="25.5" x14ac:dyDescent="0.25">
      <c r="A131" s="13" t="s">
        <v>1325</v>
      </c>
      <c r="B131" s="13" t="s">
        <v>1731</v>
      </c>
      <c r="C131" s="13" t="s">
        <v>1070</v>
      </c>
      <c r="D131" s="13" t="s">
        <v>349</v>
      </c>
      <c r="E131" s="13" t="s">
        <v>1473</v>
      </c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>
        <v>0.2</v>
      </c>
      <c r="W131" s="13"/>
      <c r="X131" s="13"/>
      <c r="Y131" s="14"/>
      <c r="Z131" s="14"/>
      <c r="AA131" s="14"/>
      <c r="AB131" s="14"/>
      <c r="AC131" s="13"/>
      <c r="AD131" s="13"/>
      <c r="AE131" s="13"/>
      <c r="AF131" s="12">
        <v>4</v>
      </c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X131" s="8">
        <v>126</v>
      </c>
    </row>
    <row r="132" spans="1:50" ht="25.5" x14ac:dyDescent="0.25">
      <c r="A132" s="13" t="s">
        <v>1326</v>
      </c>
      <c r="B132" s="13" t="s">
        <v>1731</v>
      </c>
      <c r="C132" s="13" t="s">
        <v>1070</v>
      </c>
      <c r="D132" s="13" t="s">
        <v>349</v>
      </c>
      <c r="E132" s="13" t="s">
        <v>1474</v>
      </c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>
        <v>0.2</v>
      </c>
      <c r="W132" s="13"/>
      <c r="X132" s="13"/>
      <c r="Y132" s="14"/>
      <c r="Z132" s="14"/>
      <c r="AA132" s="14"/>
      <c r="AB132" s="14"/>
      <c r="AC132" s="13"/>
      <c r="AD132" s="13"/>
      <c r="AE132" s="13"/>
      <c r="AF132" s="12">
        <v>0</v>
      </c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X132" s="8">
        <v>127</v>
      </c>
    </row>
    <row r="133" spans="1:50" ht="25.5" x14ac:dyDescent="0.25">
      <c r="A133" s="13" t="s">
        <v>1327</v>
      </c>
      <c r="B133" s="13" t="s">
        <v>1731</v>
      </c>
      <c r="C133" s="13" t="s">
        <v>1070</v>
      </c>
      <c r="D133" s="13" t="s">
        <v>349</v>
      </c>
      <c r="E133" s="13" t="s">
        <v>1475</v>
      </c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>
        <v>0.2</v>
      </c>
      <c r="W133" s="13"/>
      <c r="X133" s="13"/>
      <c r="Y133" s="14"/>
      <c r="Z133" s="14"/>
      <c r="AA133" s="14"/>
      <c r="AB133" s="14"/>
      <c r="AC133" s="13"/>
      <c r="AD133" s="13"/>
      <c r="AE133" s="13"/>
      <c r="AF133" s="12">
        <v>0</v>
      </c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X133" s="8">
        <v>128</v>
      </c>
    </row>
    <row r="134" spans="1:50" ht="25.5" x14ac:dyDescent="0.25">
      <c r="A134" s="13" t="s">
        <v>1328</v>
      </c>
      <c r="B134" s="13" t="s">
        <v>1731</v>
      </c>
      <c r="C134" s="13" t="s">
        <v>1070</v>
      </c>
      <c r="D134" s="13" t="s">
        <v>349</v>
      </c>
      <c r="E134" s="13" t="s">
        <v>1476</v>
      </c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>
        <v>0.2</v>
      </c>
      <c r="W134" s="13"/>
      <c r="X134" s="13"/>
      <c r="Y134" s="14"/>
      <c r="Z134" s="14"/>
      <c r="AA134" s="14"/>
      <c r="AB134" s="14"/>
      <c r="AC134" s="13"/>
      <c r="AD134" s="13"/>
      <c r="AE134" s="13"/>
      <c r="AF134" s="12">
        <v>0</v>
      </c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X134" s="8">
        <v>129</v>
      </c>
    </row>
    <row r="135" spans="1:50" ht="25.5" x14ac:dyDescent="0.25">
      <c r="A135" s="13" t="s">
        <v>1330</v>
      </c>
      <c r="B135" s="13" t="s">
        <v>1731</v>
      </c>
      <c r="C135" s="13" t="s">
        <v>1070</v>
      </c>
      <c r="D135" s="13" t="s">
        <v>349</v>
      </c>
      <c r="E135" s="13" t="s">
        <v>1477</v>
      </c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>
        <v>0.2</v>
      </c>
      <c r="W135" s="13"/>
      <c r="X135" s="13"/>
      <c r="Y135" s="14"/>
      <c r="Z135" s="14"/>
      <c r="AA135" s="14"/>
      <c r="AB135" s="14"/>
      <c r="AC135" s="13"/>
      <c r="AD135" s="13"/>
      <c r="AE135" s="13"/>
      <c r="AF135" s="12">
        <v>0</v>
      </c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X135" s="8">
        <v>130</v>
      </c>
    </row>
    <row r="136" spans="1:50" ht="25.5" x14ac:dyDescent="0.25">
      <c r="A136" s="13" t="s">
        <v>1331</v>
      </c>
      <c r="B136" s="13" t="s">
        <v>1731</v>
      </c>
      <c r="C136" s="13" t="s">
        <v>1070</v>
      </c>
      <c r="D136" s="13" t="s">
        <v>349</v>
      </c>
      <c r="E136" s="13" t="s">
        <v>1478</v>
      </c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>
        <v>0.2</v>
      </c>
      <c r="W136" s="13"/>
      <c r="X136" s="13"/>
      <c r="Y136" s="14"/>
      <c r="Z136" s="14"/>
      <c r="AA136" s="14"/>
      <c r="AB136" s="14"/>
      <c r="AC136" s="13"/>
      <c r="AD136" s="13"/>
      <c r="AE136" s="13"/>
      <c r="AF136" s="12">
        <v>0</v>
      </c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X136" s="8">
        <v>131</v>
      </c>
    </row>
    <row r="137" spans="1:50" ht="25.5" x14ac:dyDescent="0.25">
      <c r="A137" s="13" t="s">
        <v>1333</v>
      </c>
      <c r="B137" s="13" t="s">
        <v>1731</v>
      </c>
      <c r="C137" s="13" t="s">
        <v>1070</v>
      </c>
      <c r="D137" s="13" t="s">
        <v>349</v>
      </c>
      <c r="E137" s="13" t="s">
        <v>1479</v>
      </c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>
        <v>0.2</v>
      </c>
      <c r="W137" s="13"/>
      <c r="X137" s="13"/>
      <c r="Y137" s="14"/>
      <c r="Z137" s="14"/>
      <c r="AA137" s="14"/>
      <c r="AB137" s="14"/>
      <c r="AC137" s="13"/>
      <c r="AD137" s="13"/>
      <c r="AE137" s="13"/>
      <c r="AF137" s="12">
        <v>0</v>
      </c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X137" s="8">
        <v>132</v>
      </c>
    </row>
    <row r="138" spans="1:50" ht="25.5" x14ac:dyDescent="0.25">
      <c r="A138" s="13" t="s">
        <v>1334</v>
      </c>
      <c r="B138" s="13" t="s">
        <v>1731</v>
      </c>
      <c r="C138" s="13" t="s">
        <v>1070</v>
      </c>
      <c r="D138" s="13" t="s">
        <v>349</v>
      </c>
      <c r="E138" s="13" t="s">
        <v>1480</v>
      </c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>
        <v>0.2</v>
      </c>
      <c r="W138" s="13"/>
      <c r="X138" s="13"/>
      <c r="Y138" s="14"/>
      <c r="Z138" s="14"/>
      <c r="AA138" s="14"/>
      <c r="AB138" s="14"/>
      <c r="AC138" s="13"/>
      <c r="AD138" s="13"/>
      <c r="AE138" s="13"/>
      <c r="AF138" s="12">
        <v>0</v>
      </c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X138" s="8">
        <v>133</v>
      </c>
    </row>
    <row r="139" spans="1:50" ht="25.5" x14ac:dyDescent="0.25">
      <c r="A139" s="13" t="s">
        <v>1336</v>
      </c>
      <c r="B139" s="13" t="s">
        <v>1731</v>
      </c>
      <c r="C139" s="13" t="s">
        <v>1070</v>
      </c>
      <c r="D139" s="13" t="s">
        <v>349</v>
      </c>
      <c r="E139" s="13" t="s">
        <v>1481</v>
      </c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>
        <v>0.2</v>
      </c>
      <c r="W139" s="13"/>
      <c r="X139" s="13"/>
      <c r="Y139" s="14"/>
      <c r="Z139" s="14"/>
      <c r="AA139" s="14"/>
      <c r="AB139" s="14"/>
      <c r="AC139" s="13"/>
      <c r="AD139" s="13"/>
      <c r="AE139" s="13"/>
      <c r="AF139" s="12">
        <v>0</v>
      </c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X139" s="8">
        <v>134</v>
      </c>
    </row>
    <row r="140" spans="1:50" ht="25.5" x14ac:dyDescent="0.25">
      <c r="A140" s="13" t="s">
        <v>1533</v>
      </c>
      <c r="B140" s="13" t="s">
        <v>1731</v>
      </c>
      <c r="C140" s="13" t="s">
        <v>1070</v>
      </c>
      <c r="D140" s="13" t="s">
        <v>349</v>
      </c>
      <c r="E140" s="13" t="s">
        <v>1482</v>
      </c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>
        <v>0.2</v>
      </c>
      <c r="W140" s="13"/>
      <c r="X140" s="13"/>
      <c r="Y140" s="14"/>
      <c r="Z140" s="14"/>
      <c r="AA140" s="14"/>
      <c r="AB140" s="14"/>
      <c r="AC140" s="13"/>
      <c r="AD140" s="13"/>
      <c r="AE140" s="13"/>
      <c r="AF140" s="12">
        <v>4</v>
      </c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X140" s="8">
        <v>135</v>
      </c>
    </row>
    <row r="141" spans="1:50" ht="25.5" x14ac:dyDescent="0.25">
      <c r="A141" s="13" t="s">
        <v>1505</v>
      </c>
      <c r="B141" s="13" t="s">
        <v>1731</v>
      </c>
      <c r="C141" s="13" t="s">
        <v>1070</v>
      </c>
      <c r="D141" s="13" t="s">
        <v>349</v>
      </c>
      <c r="E141" s="13" t="s">
        <v>1483</v>
      </c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>
        <v>0.2</v>
      </c>
      <c r="W141" s="13"/>
      <c r="X141" s="13"/>
      <c r="Y141" s="14"/>
      <c r="Z141" s="14"/>
      <c r="AA141" s="14"/>
      <c r="AB141" s="14"/>
      <c r="AC141" s="13"/>
      <c r="AD141" s="13"/>
      <c r="AE141" s="13"/>
      <c r="AF141" s="12">
        <v>4</v>
      </c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X141" s="8">
        <v>136</v>
      </c>
    </row>
    <row r="142" spans="1:50" ht="25.5" x14ac:dyDescent="0.25">
      <c r="A142" s="13" t="s">
        <v>1506</v>
      </c>
      <c r="B142" s="13" t="s">
        <v>1731</v>
      </c>
      <c r="C142" s="13" t="s">
        <v>1070</v>
      </c>
      <c r="D142" s="13" t="s">
        <v>349</v>
      </c>
      <c r="E142" s="13" t="s">
        <v>1484</v>
      </c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>
        <v>0.2</v>
      </c>
      <c r="W142" s="13"/>
      <c r="X142" s="13"/>
      <c r="Y142" s="14"/>
      <c r="Z142" s="14"/>
      <c r="AA142" s="14"/>
      <c r="AB142" s="14"/>
      <c r="AC142" s="13"/>
      <c r="AD142" s="13"/>
      <c r="AE142" s="13"/>
      <c r="AF142" s="12">
        <v>4</v>
      </c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X142" s="8">
        <v>137</v>
      </c>
    </row>
    <row r="143" spans="1:50" ht="25.5" x14ac:dyDescent="0.25">
      <c r="A143" s="13" t="s">
        <v>1534</v>
      </c>
      <c r="B143" s="13" t="s">
        <v>1731</v>
      </c>
      <c r="C143" s="13" t="s">
        <v>1070</v>
      </c>
      <c r="D143" s="13" t="s">
        <v>349</v>
      </c>
      <c r="E143" s="13" t="s">
        <v>1485</v>
      </c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>
        <v>0.2</v>
      </c>
      <c r="W143" s="13"/>
      <c r="X143" s="13"/>
      <c r="Y143" s="14"/>
      <c r="Z143" s="14"/>
      <c r="AA143" s="14"/>
      <c r="AB143" s="14"/>
      <c r="AC143" s="13"/>
      <c r="AD143" s="13"/>
      <c r="AE143" s="13"/>
      <c r="AF143" s="12">
        <v>4</v>
      </c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X143" s="8">
        <v>138</v>
      </c>
    </row>
    <row r="144" spans="1:50" ht="25.5" x14ac:dyDescent="0.25">
      <c r="A144" s="13" t="s">
        <v>1535</v>
      </c>
      <c r="B144" s="13" t="s">
        <v>1731</v>
      </c>
      <c r="C144" s="13" t="s">
        <v>1070</v>
      </c>
      <c r="D144" s="13" t="s">
        <v>349</v>
      </c>
      <c r="E144" s="13" t="s">
        <v>1486</v>
      </c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>
        <v>0.2</v>
      </c>
      <c r="W144" s="13"/>
      <c r="X144" s="13"/>
      <c r="Y144" s="14"/>
      <c r="Z144" s="14"/>
      <c r="AA144" s="14"/>
      <c r="AB144" s="14"/>
      <c r="AC144" s="13"/>
      <c r="AD144" s="13"/>
      <c r="AE144" s="13"/>
      <c r="AF144" s="12">
        <v>4</v>
      </c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X144" s="8">
        <v>139</v>
      </c>
    </row>
    <row r="145" spans="1:50" ht="25.5" x14ac:dyDescent="0.25">
      <c r="A145" s="13" t="s">
        <v>1536</v>
      </c>
      <c r="B145" s="13" t="s">
        <v>1731</v>
      </c>
      <c r="C145" s="13" t="s">
        <v>1070</v>
      </c>
      <c r="D145" s="13" t="s">
        <v>349</v>
      </c>
      <c r="E145" s="13" t="s">
        <v>1487</v>
      </c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>
        <v>0.2</v>
      </c>
      <c r="W145" s="13"/>
      <c r="X145" s="13"/>
      <c r="Y145" s="14"/>
      <c r="Z145" s="14"/>
      <c r="AA145" s="14"/>
      <c r="AB145" s="14"/>
      <c r="AC145" s="13"/>
      <c r="AD145" s="13"/>
      <c r="AE145" s="13"/>
      <c r="AF145" s="12">
        <v>4</v>
      </c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X145" s="8">
        <v>140</v>
      </c>
    </row>
    <row r="146" spans="1:50" ht="13.5" x14ac:dyDescent="0.25">
      <c r="A146" s="13" t="s">
        <v>1283</v>
      </c>
      <c r="B146" s="13"/>
      <c r="C146" s="13"/>
      <c r="D146" s="13" t="s">
        <v>5</v>
      </c>
      <c r="E146">
        <v>617</v>
      </c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>
        <v>0.2</v>
      </c>
      <c r="W146" s="13"/>
      <c r="X146" s="13"/>
      <c r="Y146" s="14"/>
      <c r="Z146" s="14"/>
      <c r="AA146" s="14"/>
      <c r="AB146" s="14"/>
      <c r="AC146" s="13"/>
      <c r="AD146" s="13"/>
      <c r="AE146" s="13"/>
      <c r="AF146" s="12">
        <v>0</v>
      </c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X146" s="8">
        <v>141</v>
      </c>
    </row>
    <row r="147" spans="1:50" ht="13.5" x14ac:dyDescent="0.25">
      <c r="A147" s="13" t="s">
        <v>1284</v>
      </c>
      <c r="B147" s="13"/>
      <c r="C147" s="13"/>
      <c r="D147" s="13" t="s">
        <v>5</v>
      </c>
      <c r="E147">
        <v>568.9</v>
      </c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>
        <v>0.2</v>
      </c>
      <c r="W147" s="13"/>
      <c r="X147" s="13"/>
      <c r="Y147" s="14"/>
      <c r="Z147" s="14"/>
      <c r="AA147" s="14"/>
      <c r="AB147" s="14"/>
      <c r="AC147" s="13"/>
      <c r="AD147" s="13"/>
      <c r="AE147" s="13"/>
      <c r="AF147" s="12">
        <v>0</v>
      </c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X147" s="8">
        <v>142</v>
      </c>
    </row>
    <row r="148" spans="1:50" ht="13.5" x14ac:dyDescent="0.25">
      <c r="A148" s="13" t="s">
        <v>1285</v>
      </c>
      <c r="B148" s="13"/>
      <c r="C148" s="13"/>
      <c r="D148" s="13" t="s">
        <v>5</v>
      </c>
      <c r="E148">
        <v>48</v>
      </c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>
        <v>0.2</v>
      </c>
      <c r="W148" s="13"/>
      <c r="X148" s="13"/>
      <c r="Y148" s="14"/>
      <c r="Z148" s="14"/>
      <c r="AA148" s="14"/>
      <c r="AB148" s="14"/>
      <c r="AC148" s="13"/>
      <c r="AD148" s="13"/>
      <c r="AE148" s="13"/>
      <c r="AF148" s="12">
        <v>4</v>
      </c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X148" s="8">
        <v>143</v>
      </c>
    </row>
    <row r="149" spans="1:50" ht="13.5" x14ac:dyDescent="0.25">
      <c r="A149" s="13" t="s">
        <v>1286</v>
      </c>
      <c r="B149" s="13"/>
      <c r="C149" s="13"/>
      <c r="D149" s="13" t="s">
        <v>5</v>
      </c>
      <c r="E149">
        <v>10</v>
      </c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>
        <v>0.2</v>
      </c>
      <c r="W149" s="13"/>
      <c r="X149" s="13"/>
      <c r="Y149" s="14"/>
      <c r="Z149" s="14"/>
      <c r="AA149" s="14"/>
      <c r="AB149" s="14"/>
      <c r="AC149" s="13"/>
      <c r="AD149" s="13"/>
      <c r="AE149" s="13"/>
      <c r="AF149" s="12">
        <v>0</v>
      </c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X149" s="8">
        <v>144</v>
      </c>
    </row>
    <row r="150" spans="1:50" ht="25.5" x14ac:dyDescent="0.25">
      <c r="A150" s="13" t="s">
        <v>1550</v>
      </c>
      <c r="B150" s="13" t="s">
        <v>1731</v>
      </c>
      <c r="C150" s="13" t="s">
        <v>1070</v>
      </c>
      <c r="D150" s="13" t="s">
        <v>349</v>
      </c>
      <c r="E150" s="13" t="s">
        <v>1492</v>
      </c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>
        <v>0.2</v>
      </c>
      <c r="W150" s="13"/>
      <c r="X150" s="13"/>
      <c r="Y150" s="14"/>
      <c r="Z150" s="14"/>
      <c r="AA150" s="14"/>
      <c r="AB150" s="14"/>
      <c r="AC150" s="13"/>
      <c r="AD150" s="13"/>
      <c r="AE150" s="13"/>
      <c r="AF150" s="12">
        <v>4</v>
      </c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X150" s="8">
        <v>145</v>
      </c>
    </row>
    <row r="151" spans="1:50" ht="25.5" x14ac:dyDescent="0.25">
      <c r="A151" s="13" t="s">
        <v>1548</v>
      </c>
      <c r="B151" s="13" t="s">
        <v>1731</v>
      </c>
      <c r="C151" s="13" t="s">
        <v>1070</v>
      </c>
      <c r="D151" s="13" t="s">
        <v>349</v>
      </c>
      <c r="E151" s="13" t="s">
        <v>1493</v>
      </c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>
        <v>0.2</v>
      </c>
      <c r="W151" s="13"/>
      <c r="X151" s="13"/>
      <c r="Y151" s="14"/>
      <c r="Z151" s="14"/>
      <c r="AA151" s="14"/>
      <c r="AB151" s="14"/>
      <c r="AC151" s="13"/>
      <c r="AD151" s="13"/>
      <c r="AE151" s="13"/>
      <c r="AF151" s="12">
        <v>4</v>
      </c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X151" s="8">
        <v>146</v>
      </c>
    </row>
    <row r="152" spans="1:50" ht="25.5" x14ac:dyDescent="0.25">
      <c r="A152" s="13" t="s">
        <v>1563</v>
      </c>
      <c r="B152" s="13" t="s">
        <v>1731</v>
      </c>
      <c r="C152" s="13" t="s">
        <v>1070</v>
      </c>
      <c r="D152" s="13" t="s">
        <v>349</v>
      </c>
      <c r="E152" s="13" t="s">
        <v>1494</v>
      </c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>
        <v>0.2</v>
      </c>
      <c r="W152" s="13"/>
      <c r="X152" s="13"/>
      <c r="Y152" s="14"/>
      <c r="Z152" s="14"/>
      <c r="AA152" s="14"/>
      <c r="AB152" s="14"/>
      <c r="AC152" s="13"/>
      <c r="AD152" s="13"/>
      <c r="AE152" s="13"/>
      <c r="AF152" s="12">
        <v>4</v>
      </c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X152" s="8">
        <v>147</v>
      </c>
    </row>
    <row r="153" spans="1:50" ht="25.5" x14ac:dyDescent="0.25">
      <c r="A153" s="13" t="s">
        <v>1566</v>
      </c>
      <c r="B153" s="13" t="s">
        <v>1731</v>
      </c>
      <c r="C153" s="13" t="s">
        <v>1070</v>
      </c>
      <c r="D153" s="13" t="s">
        <v>349</v>
      </c>
      <c r="E153" s="13" t="s">
        <v>1718</v>
      </c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>
        <v>0.2</v>
      </c>
      <c r="W153" s="13"/>
      <c r="X153" s="13"/>
      <c r="Y153" s="14"/>
      <c r="Z153" s="14"/>
      <c r="AA153" s="14"/>
      <c r="AB153" s="14"/>
      <c r="AC153" s="13"/>
      <c r="AD153" s="13"/>
      <c r="AE153" s="13"/>
      <c r="AF153" s="12">
        <v>4</v>
      </c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X153" s="8">
        <v>148</v>
      </c>
    </row>
    <row r="154" spans="1:50" ht="25.5" x14ac:dyDescent="0.25">
      <c r="A154" s="13" t="s">
        <v>1546</v>
      </c>
      <c r="B154" s="13" t="s">
        <v>1731</v>
      </c>
      <c r="C154" s="13" t="s">
        <v>1070</v>
      </c>
      <c r="D154" s="13" t="s">
        <v>349</v>
      </c>
      <c r="E154" s="13" t="s">
        <v>1719</v>
      </c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>
        <v>0.2</v>
      </c>
      <c r="W154" s="13"/>
      <c r="X154" s="13"/>
      <c r="Y154" s="14"/>
      <c r="Z154" s="14"/>
      <c r="AA154" s="14"/>
      <c r="AB154" s="14"/>
      <c r="AC154" s="13"/>
      <c r="AD154" s="13"/>
      <c r="AE154" s="13"/>
      <c r="AF154" s="12">
        <v>0</v>
      </c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X154" s="8">
        <v>149</v>
      </c>
    </row>
    <row r="155" spans="1:50" ht="25.5" x14ac:dyDescent="0.25">
      <c r="A155" s="13" t="s">
        <v>1547</v>
      </c>
      <c r="B155" s="13" t="s">
        <v>1731</v>
      </c>
      <c r="C155" s="13" t="s">
        <v>1070</v>
      </c>
      <c r="D155" s="13" t="s">
        <v>349</v>
      </c>
      <c r="E155" s="13" t="s">
        <v>1720</v>
      </c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>
        <v>0.2</v>
      </c>
      <c r="W155" s="13"/>
      <c r="X155" s="13"/>
      <c r="Y155" s="14"/>
      <c r="Z155" s="14"/>
      <c r="AA155" s="14"/>
      <c r="AB155" s="14"/>
      <c r="AC155" s="13"/>
      <c r="AD155" s="13"/>
      <c r="AE155" s="13"/>
      <c r="AF155" s="12">
        <v>0</v>
      </c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X155" s="8">
        <v>150</v>
      </c>
    </row>
    <row r="156" spans="1:50" ht="25.5" x14ac:dyDescent="0.25">
      <c r="A156" s="13" t="s">
        <v>1549</v>
      </c>
      <c r="B156" s="13" t="s">
        <v>1731</v>
      </c>
      <c r="C156" s="13" t="s">
        <v>1070</v>
      </c>
      <c r="D156" s="13" t="s">
        <v>349</v>
      </c>
      <c r="E156" s="13" t="s">
        <v>1721</v>
      </c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>
        <v>0.2</v>
      </c>
      <c r="W156" s="13"/>
      <c r="X156" s="13"/>
      <c r="Y156" s="14"/>
      <c r="Z156" s="14"/>
      <c r="AA156" s="14"/>
      <c r="AB156" s="14"/>
      <c r="AC156" s="13"/>
      <c r="AD156" s="13"/>
      <c r="AE156" s="13"/>
      <c r="AF156" s="12">
        <v>0</v>
      </c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X156" s="8">
        <v>151</v>
      </c>
    </row>
    <row r="157" spans="1:50" ht="25.5" x14ac:dyDescent="0.25">
      <c r="A157" s="13" t="s">
        <v>1551</v>
      </c>
      <c r="B157" s="13" t="s">
        <v>1731</v>
      </c>
      <c r="C157" s="13" t="s">
        <v>1070</v>
      </c>
      <c r="D157" s="13" t="s">
        <v>349</v>
      </c>
      <c r="E157" s="13" t="s">
        <v>1722</v>
      </c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>
        <v>0.2</v>
      </c>
      <c r="W157" s="13"/>
      <c r="X157" s="13"/>
      <c r="Y157" s="14"/>
      <c r="Z157" s="14"/>
      <c r="AA157" s="14"/>
      <c r="AB157" s="14"/>
      <c r="AC157" s="13"/>
      <c r="AD157" s="13"/>
      <c r="AE157" s="13"/>
      <c r="AF157" s="12">
        <v>0</v>
      </c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X157" s="8">
        <v>152</v>
      </c>
    </row>
    <row r="158" spans="1:50" ht="25.5" x14ac:dyDescent="0.25">
      <c r="A158" s="13" t="s">
        <v>1552</v>
      </c>
      <c r="B158" s="13" t="s">
        <v>1731</v>
      </c>
      <c r="C158" s="13" t="s">
        <v>1070</v>
      </c>
      <c r="D158" s="13" t="s">
        <v>349</v>
      </c>
      <c r="E158" s="13" t="s">
        <v>1723</v>
      </c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>
        <v>0.2</v>
      </c>
      <c r="W158" s="13"/>
      <c r="X158" s="13"/>
      <c r="Y158" s="14"/>
      <c r="Z158" s="14"/>
      <c r="AA158" s="14"/>
      <c r="AB158" s="14"/>
      <c r="AC158" s="13"/>
      <c r="AD158" s="13"/>
      <c r="AE158" s="13"/>
      <c r="AF158" s="12">
        <v>0</v>
      </c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X158" s="8">
        <v>153</v>
      </c>
    </row>
    <row r="159" spans="1:50" ht="25.5" x14ac:dyDescent="0.25">
      <c r="A159" s="13" t="s">
        <v>1553</v>
      </c>
      <c r="B159" s="13" t="s">
        <v>1731</v>
      </c>
      <c r="C159" s="13" t="s">
        <v>1070</v>
      </c>
      <c r="D159" s="13" t="s">
        <v>349</v>
      </c>
      <c r="E159" s="13" t="s">
        <v>1724</v>
      </c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>
        <v>0.2</v>
      </c>
      <c r="W159" s="13"/>
      <c r="X159" s="13"/>
      <c r="Y159" s="14"/>
      <c r="Z159" s="14"/>
      <c r="AA159" s="14"/>
      <c r="AB159" s="14"/>
      <c r="AC159" s="13"/>
      <c r="AD159" s="13"/>
      <c r="AE159" s="13"/>
      <c r="AF159" s="12">
        <v>4</v>
      </c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X159" s="8">
        <v>154</v>
      </c>
    </row>
    <row r="160" spans="1:50" ht="25.5" x14ac:dyDescent="0.25">
      <c r="A160" s="13" t="s">
        <v>1554</v>
      </c>
      <c r="B160" s="13" t="s">
        <v>1731</v>
      </c>
      <c r="C160" s="13" t="s">
        <v>1070</v>
      </c>
      <c r="D160" s="13" t="s">
        <v>349</v>
      </c>
      <c r="E160" s="13" t="s">
        <v>1725</v>
      </c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>
        <v>0.2</v>
      </c>
      <c r="W160" s="13"/>
      <c r="X160" s="13"/>
      <c r="Y160" s="14"/>
      <c r="Z160" s="14"/>
      <c r="AA160" s="14"/>
      <c r="AB160" s="14"/>
      <c r="AC160" s="13"/>
      <c r="AD160" s="13"/>
      <c r="AE160" s="13"/>
      <c r="AF160" s="12">
        <v>0</v>
      </c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X160" s="8">
        <v>155</v>
      </c>
    </row>
    <row r="161" spans="1:50" ht="25.5" x14ac:dyDescent="0.25">
      <c r="A161" s="13" t="s">
        <v>1555</v>
      </c>
      <c r="B161" s="13" t="s">
        <v>1731</v>
      </c>
      <c r="C161" s="13" t="s">
        <v>1070</v>
      </c>
      <c r="D161" s="13" t="s">
        <v>349</v>
      </c>
      <c r="E161" s="13" t="s">
        <v>1726</v>
      </c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>
        <v>0.2</v>
      </c>
      <c r="W161" s="13"/>
      <c r="X161" s="13"/>
      <c r="Y161" s="14"/>
      <c r="Z161" s="14"/>
      <c r="AA161" s="14"/>
      <c r="AB161" s="14"/>
      <c r="AC161" s="13"/>
      <c r="AD161" s="13"/>
      <c r="AE161" s="13"/>
      <c r="AF161" s="12">
        <v>0</v>
      </c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X161" s="8">
        <v>156</v>
      </c>
    </row>
    <row r="162" spans="1:50" ht="25.5" x14ac:dyDescent="0.25">
      <c r="A162" s="13" t="s">
        <v>1556</v>
      </c>
      <c r="B162" s="13" t="s">
        <v>1731</v>
      </c>
      <c r="C162" s="13" t="s">
        <v>1070</v>
      </c>
      <c r="D162" s="13" t="s">
        <v>349</v>
      </c>
      <c r="E162" s="13" t="s">
        <v>1727</v>
      </c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>
        <v>0.2</v>
      </c>
      <c r="W162" s="13"/>
      <c r="X162" s="13"/>
      <c r="Y162" s="14"/>
      <c r="Z162" s="14"/>
      <c r="AA162" s="14"/>
      <c r="AB162" s="14"/>
      <c r="AC162" s="13"/>
      <c r="AD162" s="13"/>
      <c r="AE162" s="13"/>
      <c r="AF162" s="12">
        <v>4</v>
      </c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X162" s="8">
        <v>157</v>
      </c>
    </row>
    <row r="163" spans="1:50" ht="25.5" x14ac:dyDescent="0.25">
      <c r="A163" s="13" t="s">
        <v>1557</v>
      </c>
      <c r="B163" s="13" t="s">
        <v>1731</v>
      </c>
      <c r="C163" s="13" t="s">
        <v>1070</v>
      </c>
      <c r="D163" s="13" t="s">
        <v>349</v>
      </c>
      <c r="E163" s="13" t="s">
        <v>1728</v>
      </c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>
        <v>0.2</v>
      </c>
      <c r="W163" s="13"/>
      <c r="X163" s="13"/>
      <c r="Y163" s="14"/>
      <c r="Z163" s="14"/>
      <c r="AA163" s="14"/>
      <c r="AB163" s="14"/>
      <c r="AC163" s="13"/>
      <c r="AD163" s="13"/>
      <c r="AE163" s="13"/>
      <c r="AF163" s="12">
        <v>0</v>
      </c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X163" s="8">
        <v>158</v>
      </c>
    </row>
    <row r="164" spans="1:50" ht="25.5" x14ac:dyDescent="0.25">
      <c r="A164" s="13" t="s">
        <v>1558</v>
      </c>
      <c r="B164" s="13" t="s">
        <v>1731</v>
      </c>
      <c r="C164" s="13" t="s">
        <v>1070</v>
      </c>
      <c r="D164" s="13" t="s">
        <v>349</v>
      </c>
      <c r="E164" s="13" t="s">
        <v>1729</v>
      </c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>
        <v>0.2</v>
      </c>
      <c r="W164" s="13"/>
      <c r="X164" s="13"/>
      <c r="Y164" s="14"/>
      <c r="Z164" s="14"/>
      <c r="AA164" s="14"/>
      <c r="AB164" s="14"/>
      <c r="AC164" s="13"/>
      <c r="AD164" s="13"/>
      <c r="AE164" s="13"/>
      <c r="AF164" s="12">
        <v>0</v>
      </c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X164" s="8">
        <v>159</v>
      </c>
    </row>
    <row r="165" spans="1:50" ht="25.5" x14ac:dyDescent="0.25">
      <c r="A165" s="13" t="s">
        <v>1559</v>
      </c>
      <c r="B165" s="13" t="s">
        <v>1731</v>
      </c>
      <c r="C165" s="13" t="s">
        <v>1070</v>
      </c>
      <c r="D165" s="13" t="s">
        <v>349</v>
      </c>
      <c r="E165" s="13" t="s">
        <v>1730</v>
      </c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>
        <v>0.2</v>
      </c>
      <c r="W165" s="13"/>
      <c r="X165" s="13"/>
      <c r="Y165" s="14"/>
      <c r="Z165" s="14"/>
      <c r="AA165" s="14"/>
      <c r="AB165" s="14"/>
      <c r="AC165" s="13"/>
      <c r="AD165" s="13"/>
      <c r="AE165" s="13"/>
      <c r="AF165" s="12">
        <v>4</v>
      </c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X165" s="8">
        <v>160</v>
      </c>
    </row>
    <row r="166" spans="1:50" ht="25.5" x14ac:dyDescent="0.25">
      <c r="A166" s="13" t="s">
        <v>1560</v>
      </c>
      <c r="B166" s="13" t="s">
        <v>1731</v>
      </c>
      <c r="C166" s="13" t="s">
        <v>1070</v>
      </c>
      <c r="D166" s="13" t="s">
        <v>349</v>
      </c>
      <c r="E166" s="13" t="s">
        <v>2203</v>
      </c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>
        <v>0.2</v>
      </c>
      <c r="W166" s="13"/>
      <c r="X166" s="13"/>
      <c r="Y166" s="14"/>
      <c r="Z166" s="14"/>
      <c r="AA166" s="14"/>
      <c r="AB166" s="14"/>
      <c r="AC166" s="13"/>
      <c r="AD166" s="13"/>
      <c r="AE166" s="13"/>
      <c r="AF166" s="12">
        <v>0</v>
      </c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X166" s="8">
        <v>161</v>
      </c>
    </row>
    <row r="167" spans="1:50" ht="25.5" x14ac:dyDescent="0.25">
      <c r="A167" s="13" t="s">
        <v>1561</v>
      </c>
      <c r="B167" s="13" t="s">
        <v>1731</v>
      </c>
      <c r="C167" s="13" t="s">
        <v>1070</v>
      </c>
      <c r="D167" s="13" t="s">
        <v>349</v>
      </c>
      <c r="E167" s="13" t="s">
        <v>2204</v>
      </c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>
        <v>0.2</v>
      </c>
      <c r="W167" s="13"/>
      <c r="X167" s="13"/>
      <c r="Y167" s="14"/>
      <c r="Z167" s="14"/>
      <c r="AA167" s="14"/>
      <c r="AB167" s="14"/>
      <c r="AC167" s="13"/>
      <c r="AD167" s="13"/>
      <c r="AE167" s="13"/>
      <c r="AF167" s="12">
        <v>0</v>
      </c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X167" s="8">
        <v>162</v>
      </c>
    </row>
    <row r="168" spans="1:50" ht="25.5" x14ac:dyDescent="0.25">
      <c r="A168" s="13" t="s">
        <v>1772</v>
      </c>
      <c r="B168" s="13" t="s">
        <v>1731</v>
      </c>
      <c r="C168" s="13" t="s">
        <v>1070</v>
      </c>
      <c r="D168" s="13" t="s">
        <v>349</v>
      </c>
      <c r="E168" s="13" t="s">
        <v>2205</v>
      </c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>
        <v>0</v>
      </c>
      <c r="W168" s="13"/>
      <c r="X168" s="13"/>
      <c r="Y168" s="14"/>
      <c r="Z168" s="14"/>
      <c r="AA168" s="14"/>
      <c r="AB168" s="14"/>
      <c r="AC168" s="13"/>
      <c r="AD168" s="13"/>
      <c r="AE168" s="13"/>
      <c r="AF168" s="12">
        <v>4</v>
      </c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X168" s="8">
        <v>163</v>
      </c>
    </row>
    <row r="169" spans="1:50" ht="25.5" x14ac:dyDescent="0.25">
      <c r="A169" s="13" t="s">
        <v>1773</v>
      </c>
      <c r="B169" s="13" t="s">
        <v>1731</v>
      </c>
      <c r="C169" s="13" t="s">
        <v>1070</v>
      </c>
      <c r="D169" s="13" t="s">
        <v>349</v>
      </c>
      <c r="E169" s="13" t="s">
        <v>2206</v>
      </c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>
        <v>0</v>
      </c>
      <c r="W169" s="13"/>
      <c r="X169" s="13"/>
      <c r="Y169" s="14"/>
      <c r="Z169" s="14"/>
      <c r="AA169" s="14"/>
      <c r="AB169" s="14"/>
      <c r="AC169" s="13"/>
      <c r="AD169" s="13"/>
      <c r="AE169" s="13"/>
      <c r="AF169" s="12">
        <v>0</v>
      </c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X169" s="8">
        <v>164</v>
      </c>
    </row>
    <row r="170" spans="1:50" ht="25.5" x14ac:dyDescent="0.25">
      <c r="A170" s="13" t="s">
        <v>1774</v>
      </c>
      <c r="B170" s="13" t="s">
        <v>1731</v>
      </c>
      <c r="C170" s="13" t="s">
        <v>1070</v>
      </c>
      <c r="D170" s="13" t="s">
        <v>349</v>
      </c>
      <c r="E170" s="13" t="s">
        <v>2207</v>
      </c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>
        <v>0</v>
      </c>
      <c r="W170" s="13"/>
      <c r="X170" s="13"/>
      <c r="Y170" s="14"/>
      <c r="Z170" s="14"/>
      <c r="AA170" s="14"/>
      <c r="AB170" s="14"/>
      <c r="AC170" s="13"/>
      <c r="AD170" s="13"/>
      <c r="AE170" s="13"/>
      <c r="AF170" s="12">
        <v>0</v>
      </c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X170" s="8">
        <v>165</v>
      </c>
    </row>
    <row r="171" spans="1:50" ht="25.5" x14ac:dyDescent="0.25">
      <c r="A171" s="13" t="s">
        <v>1562</v>
      </c>
      <c r="B171" s="13" t="s">
        <v>1731</v>
      </c>
      <c r="C171" s="13" t="s">
        <v>1070</v>
      </c>
      <c r="D171" s="13" t="s">
        <v>349</v>
      </c>
      <c r="E171" s="13" t="s">
        <v>2208</v>
      </c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>
        <v>0.2</v>
      </c>
      <c r="W171" s="13"/>
      <c r="X171" s="13"/>
      <c r="Y171" s="14"/>
      <c r="Z171" s="14"/>
      <c r="AA171" s="14"/>
      <c r="AB171" s="14"/>
      <c r="AC171" s="13"/>
      <c r="AD171" s="13"/>
      <c r="AE171" s="13"/>
      <c r="AF171" s="12">
        <v>0</v>
      </c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X171" s="8">
        <v>166</v>
      </c>
    </row>
    <row r="172" spans="1:50" ht="25.5" x14ac:dyDescent="0.25">
      <c r="A172" s="13" t="s">
        <v>1564</v>
      </c>
      <c r="B172" s="13" t="s">
        <v>1731</v>
      </c>
      <c r="C172" s="13" t="s">
        <v>1070</v>
      </c>
      <c r="D172" s="13" t="s">
        <v>349</v>
      </c>
      <c r="E172" s="13" t="s">
        <v>2209</v>
      </c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>
        <v>0.2</v>
      </c>
      <c r="W172" s="13"/>
      <c r="X172" s="13"/>
      <c r="Y172" s="14"/>
      <c r="Z172" s="14"/>
      <c r="AA172" s="14"/>
      <c r="AB172" s="14"/>
      <c r="AC172" s="13"/>
      <c r="AD172" s="13"/>
      <c r="AE172" s="13"/>
      <c r="AF172" s="12">
        <v>0</v>
      </c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X172" s="8">
        <v>167</v>
      </c>
    </row>
    <row r="173" spans="1:50" ht="25.5" x14ac:dyDescent="0.25">
      <c r="A173" s="13" t="s">
        <v>1565</v>
      </c>
      <c r="B173" s="13" t="s">
        <v>1731</v>
      </c>
      <c r="C173" s="13" t="s">
        <v>1070</v>
      </c>
      <c r="D173" s="13" t="s">
        <v>349</v>
      </c>
      <c r="E173" s="13" t="s">
        <v>2210</v>
      </c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>
        <v>0.2</v>
      </c>
      <c r="W173" s="13"/>
      <c r="X173" s="13"/>
      <c r="Y173" s="14"/>
      <c r="Z173" s="14"/>
      <c r="AA173" s="14"/>
      <c r="AB173" s="14"/>
      <c r="AC173" s="13"/>
      <c r="AD173" s="13"/>
      <c r="AE173" s="13"/>
      <c r="AF173" s="12">
        <v>0</v>
      </c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X173" s="8">
        <v>168</v>
      </c>
    </row>
    <row r="174" spans="1:50" ht="25.5" x14ac:dyDescent="0.25">
      <c r="A174" s="13" t="s">
        <v>1567</v>
      </c>
      <c r="B174" s="13" t="s">
        <v>1731</v>
      </c>
      <c r="C174" s="13" t="s">
        <v>1070</v>
      </c>
      <c r="D174" s="13" t="s">
        <v>349</v>
      </c>
      <c r="E174" s="13" t="s">
        <v>2211</v>
      </c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>
        <v>0.2</v>
      </c>
      <c r="W174" s="13"/>
      <c r="X174" s="13"/>
      <c r="Y174" s="14"/>
      <c r="Z174" s="14"/>
      <c r="AA174" s="14"/>
      <c r="AB174" s="14"/>
      <c r="AC174" s="13"/>
      <c r="AD174" s="13"/>
      <c r="AE174" s="13"/>
      <c r="AF174" s="12">
        <v>0</v>
      </c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X174" s="8">
        <v>169</v>
      </c>
    </row>
    <row r="175" spans="1:50" x14ac:dyDescent="0.25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4"/>
      <c r="Z175" s="14"/>
      <c r="AA175" s="14"/>
      <c r="AB175" s="14"/>
      <c r="AC175" s="13"/>
      <c r="AD175" s="13"/>
      <c r="AE175" s="13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</row>
    <row r="176" spans="1:50" x14ac:dyDescent="0.25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4"/>
      <c r="Z176" s="14"/>
      <c r="AA176" s="14"/>
      <c r="AB176" s="14"/>
      <c r="AC176" s="13"/>
      <c r="AD176" s="13"/>
      <c r="AE176" s="13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</row>
    <row r="177" spans="1:41" x14ac:dyDescent="0.25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4"/>
      <c r="Z177" s="14"/>
      <c r="AA177" s="14"/>
      <c r="AB177" s="14"/>
      <c r="AC177" s="13"/>
      <c r="AD177" s="13"/>
      <c r="AE177" s="13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</row>
    <row r="178" spans="1:41" x14ac:dyDescent="0.25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4"/>
      <c r="Z178" s="14"/>
      <c r="AA178" s="14"/>
      <c r="AB178" s="14"/>
      <c r="AC178" s="13"/>
      <c r="AD178" s="13"/>
      <c r="AE178" s="13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</row>
    <row r="179" spans="1:41" x14ac:dyDescent="0.25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4"/>
      <c r="Z179" s="14"/>
      <c r="AA179" s="14"/>
      <c r="AB179" s="14"/>
      <c r="AC179" s="13"/>
      <c r="AD179" s="13"/>
      <c r="AE179" s="13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</row>
    <row r="180" spans="1:41" x14ac:dyDescent="0.25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4"/>
      <c r="Z180" s="14"/>
      <c r="AA180" s="14"/>
      <c r="AB180" s="14"/>
      <c r="AC180" s="13"/>
      <c r="AD180" s="13"/>
      <c r="AE180" s="13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</row>
    <row r="181" spans="1:41" x14ac:dyDescent="0.25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4"/>
      <c r="Z181" s="14"/>
      <c r="AA181" s="14"/>
      <c r="AB181" s="14"/>
      <c r="AC181" s="13"/>
      <c r="AD181" s="13"/>
      <c r="AE181" s="13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</row>
    <row r="182" spans="1:41" customFormat="1" x14ac:dyDescent="0.2"/>
    <row r="183" spans="1:41" customFormat="1" x14ac:dyDescent="0.2"/>
    <row r="184" spans="1:41" customFormat="1" x14ac:dyDescent="0.2"/>
  </sheetData>
  <sheetProtection formatCells="0" formatColumns="0" formatRows="0" insertRows="0" deleteRows="0"/>
  <sortState xmlns:xlrd2="http://schemas.microsoft.com/office/spreadsheetml/2017/richdata2" ref="A6:AX174">
    <sortCondition ref="AX6:AX174"/>
  </sortState>
  <phoneticPr fontId="2" type="noConversion"/>
  <conditionalFormatting sqref="E185:E897">
    <cfRule type="cellIs" dxfId="20" priority="471" stopIfTrue="1" operator="equal">
      <formula>"&lt;NONE&gt;"</formula>
    </cfRule>
  </conditionalFormatting>
  <conditionalFormatting sqref="B185:D897 F185:X897">
    <cfRule type="cellIs" dxfId="19" priority="472" stopIfTrue="1" operator="equal">
      <formula>"&lt;NONE&gt;"</formula>
    </cfRule>
  </conditionalFormatting>
  <conditionalFormatting sqref="Y185:Y897">
    <cfRule type="cellIs" dxfId="18" priority="470" stopIfTrue="1" operator="equal">
      <formula>"&lt;NONE&gt;"</formula>
    </cfRule>
  </conditionalFormatting>
  <conditionalFormatting sqref="Y185:Y897">
    <cfRule type="cellIs" dxfId="17" priority="469" stopIfTrue="1" operator="equal">
      <formula>"&lt;NONE&gt;"</formula>
    </cfRule>
  </conditionalFormatting>
  <conditionalFormatting sqref="Z185:Z897">
    <cfRule type="cellIs" dxfId="16" priority="468" stopIfTrue="1" operator="equal">
      <formula>"&lt;NONE&gt;"</formula>
    </cfRule>
  </conditionalFormatting>
  <conditionalFormatting sqref="AA185:AB897">
    <cfRule type="cellIs" dxfId="15" priority="467" stopIfTrue="1" operator="equal">
      <formula>"&lt;NONE&gt;"</formula>
    </cfRule>
  </conditionalFormatting>
  <conditionalFormatting sqref="AC185:AD897">
    <cfRule type="cellIs" dxfId="14" priority="466" stopIfTrue="1" operator="equal">
      <formula>"&lt;NONE&gt;"</formula>
    </cfRule>
  </conditionalFormatting>
  <conditionalFormatting sqref="AC185:AD897">
    <cfRule type="cellIs" dxfId="13" priority="465" stopIfTrue="1" operator="equal">
      <formula>"&lt;NONE&gt;"</formula>
    </cfRule>
  </conditionalFormatting>
  <conditionalFormatting sqref="AE185:AE65427">
    <cfRule type="cellIs" dxfId="12" priority="464" stopIfTrue="1" operator="equal">
      <formula>"&lt;NONE&gt;"</formula>
    </cfRule>
  </conditionalFormatting>
  <conditionalFormatting sqref="AF185:AF897">
    <cfRule type="cellIs" dxfId="11" priority="462" stopIfTrue="1" operator="equal">
      <formula>"&lt;NONE&gt;"</formula>
    </cfRule>
  </conditionalFormatting>
  <conditionalFormatting sqref="AG185:AJ897">
    <cfRule type="cellIs" dxfId="10" priority="460" stopIfTrue="1" operator="equal">
      <formula>"&lt;NONE&gt;"</formula>
    </cfRule>
  </conditionalFormatting>
  <conditionalFormatting sqref="AK185:AK897">
    <cfRule type="cellIs" dxfId="9" priority="457" stopIfTrue="1" operator="equal">
      <formula>"&lt;NONE&gt;"</formula>
    </cfRule>
  </conditionalFormatting>
  <conditionalFormatting sqref="AL185:AL897">
    <cfRule type="cellIs" dxfId="8" priority="456" stopIfTrue="1" operator="equal">
      <formula>"&lt;NONE&gt;"</formula>
    </cfRule>
  </conditionalFormatting>
  <conditionalFormatting sqref="AM185:AM897">
    <cfRule type="cellIs" dxfId="7" priority="452" stopIfTrue="1" operator="equal">
      <formula>"&lt;NONE&gt;"</formula>
    </cfRule>
  </conditionalFormatting>
  <conditionalFormatting sqref="K175:M175">
    <cfRule type="cellIs" dxfId="6" priority="7" stopIfTrue="1" operator="equal">
      <formula>"&lt;NONE&gt;"</formula>
    </cfRule>
  </conditionalFormatting>
  <conditionalFormatting sqref="K176:M176">
    <cfRule type="cellIs" dxfId="5" priority="6" stopIfTrue="1" operator="equal">
      <formula>"&lt;NONE&gt;"</formula>
    </cfRule>
  </conditionalFormatting>
  <conditionalFormatting sqref="K177:M177">
    <cfRule type="cellIs" dxfId="4" priority="5" stopIfTrue="1" operator="equal">
      <formula>"&lt;NONE&gt;"</formula>
    </cfRule>
  </conditionalFormatting>
  <conditionalFormatting sqref="K178:M178">
    <cfRule type="cellIs" dxfId="3" priority="4" stopIfTrue="1" operator="equal">
      <formula>"&lt;NONE&gt;"</formula>
    </cfRule>
  </conditionalFormatting>
  <conditionalFormatting sqref="K179:M179">
    <cfRule type="cellIs" dxfId="2" priority="3" stopIfTrue="1" operator="equal">
      <formula>"&lt;NONE&gt;"</formula>
    </cfRule>
  </conditionalFormatting>
  <conditionalFormatting sqref="K180:M180">
    <cfRule type="cellIs" dxfId="1" priority="2" stopIfTrue="1" operator="equal">
      <formula>"&lt;NONE&gt;"</formula>
    </cfRule>
  </conditionalFormatting>
  <conditionalFormatting sqref="K181:M181">
    <cfRule type="cellIs" dxfId="0" priority="1" stopIfTrue="1" operator="equal">
      <formula>"&lt;NONE&gt;"</formula>
    </cfRule>
  </conditionalFormatting>
  <pageMargins left="0.75" right="0.75" top="1" bottom="1" header="0.5" footer="0.5"/>
  <pageSetup paperSize="9" orientation="portrait" horizontalDpi="4294967294" r:id="rId1"/>
  <headerFooter alignWithMargins="0"/>
  <legacy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2"/>
  <dimension ref="A1:AX151"/>
  <sheetViews>
    <sheetView workbookViewId="0">
      <pane xSplit="1" ySplit="5" topLeftCell="B114" activePane="bottomRight" state="frozen"/>
      <selection pane="topRight" activeCell="B1" sqref="B1"/>
      <selection pane="bottomLeft" activeCell="A6" sqref="A6"/>
      <selection pane="bottomRight" activeCell="A6" sqref="A6:AX141"/>
    </sheetView>
  </sheetViews>
  <sheetFormatPr defaultColWidth="9.140625" defaultRowHeight="12.75" x14ac:dyDescent="0.2"/>
  <cols>
    <col min="1" max="1" width="34" style="7" customWidth="1"/>
    <col min="2" max="2" width="21.28515625" style="7" customWidth="1"/>
    <col min="3" max="3" width="12.5703125" style="7" customWidth="1"/>
    <col min="4" max="4" width="15.85546875" style="7" customWidth="1"/>
    <col min="5" max="5" width="14.85546875" style="7" customWidth="1"/>
    <col min="6" max="6" width="15.42578125" style="7" customWidth="1"/>
    <col min="7" max="7" width="16" style="7" customWidth="1"/>
    <col min="8" max="8" width="13.7109375" style="7" customWidth="1"/>
    <col min="9" max="9" width="14.5703125" style="7" customWidth="1"/>
    <col min="10" max="10" width="15.42578125" style="7" customWidth="1"/>
    <col min="11" max="12" width="16.5703125" style="7" customWidth="1"/>
    <col min="13" max="13" width="16" style="7" customWidth="1"/>
    <col min="14" max="15" width="11.7109375" style="7" customWidth="1"/>
    <col min="16" max="16" width="14.5703125" style="7" customWidth="1"/>
    <col min="17" max="17" width="11.7109375" style="7" customWidth="1"/>
    <col min="18" max="18" width="14.5703125" style="7" customWidth="1"/>
    <col min="19" max="19" width="10" style="7" customWidth="1"/>
    <col min="20" max="20" width="16" style="7" customWidth="1"/>
    <col min="21" max="21" width="11.28515625" style="7" customWidth="1"/>
    <col min="22" max="22" width="11.140625" style="7" customWidth="1"/>
    <col min="23" max="23" width="15.28515625" style="7" customWidth="1"/>
    <col min="24" max="24" width="11.28515625" style="7" bestFit="1" customWidth="1"/>
    <col min="25" max="25" width="10.28515625" style="7" bestFit="1" customWidth="1"/>
    <col min="26" max="26" width="10.85546875" style="7" bestFit="1" customWidth="1"/>
    <col min="27" max="32" width="9.140625" style="7"/>
    <col min="33" max="34" width="11" style="7" customWidth="1"/>
    <col min="35" max="35" width="15" style="7" customWidth="1"/>
    <col min="36" max="36" width="10.7109375" style="7" customWidth="1"/>
    <col min="37" max="37" width="18.5703125" style="7" customWidth="1"/>
    <col min="38" max="38" width="9.140625" style="7"/>
    <col min="39" max="39" width="11.5703125" style="7" customWidth="1"/>
    <col min="40" max="40" width="11.85546875" style="7" customWidth="1"/>
    <col min="41" max="16384" width="9.140625" style="7"/>
  </cols>
  <sheetData>
    <row r="1" spans="1:50" s="17" customFormat="1" x14ac:dyDescent="0.25">
      <c r="A1" s="15"/>
      <c r="B1" s="16" t="s">
        <v>44</v>
      </c>
      <c r="C1" s="15"/>
      <c r="D1" s="16" t="s">
        <v>45</v>
      </c>
      <c r="E1" s="16" t="s">
        <v>45</v>
      </c>
      <c r="F1" s="16" t="s">
        <v>45</v>
      </c>
      <c r="G1" s="16" t="s">
        <v>45</v>
      </c>
      <c r="H1" s="16" t="s">
        <v>45</v>
      </c>
      <c r="I1" s="16" t="s">
        <v>45</v>
      </c>
      <c r="J1" s="16" t="s">
        <v>45</v>
      </c>
      <c r="K1" s="16" t="s">
        <v>45</v>
      </c>
      <c r="L1" s="16" t="s">
        <v>45</v>
      </c>
      <c r="M1" s="16" t="s">
        <v>45</v>
      </c>
      <c r="N1" s="16" t="s">
        <v>52</v>
      </c>
      <c r="O1" s="16" t="s">
        <v>52</v>
      </c>
      <c r="P1" s="16" t="s">
        <v>52</v>
      </c>
      <c r="Q1" s="16" t="s">
        <v>52</v>
      </c>
      <c r="R1" s="16" t="s">
        <v>45</v>
      </c>
      <c r="S1" s="16" t="s">
        <v>52</v>
      </c>
      <c r="T1" s="16" t="s">
        <v>52</v>
      </c>
      <c r="U1" s="16" t="s">
        <v>52</v>
      </c>
      <c r="V1" s="16" t="s">
        <v>52</v>
      </c>
      <c r="W1" s="16" t="s">
        <v>52</v>
      </c>
      <c r="X1" s="16" t="s">
        <v>52</v>
      </c>
      <c r="Y1" s="16" t="s">
        <v>52</v>
      </c>
      <c r="Z1" s="16" t="s">
        <v>52</v>
      </c>
      <c r="AA1" s="16" t="s">
        <v>52</v>
      </c>
      <c r="AB1" s="11" t="s">
        <v>52</v>
      </c>
      <c r="AC1" s="12" t="s">
        <v>52</v>
      </c>
      <c r="AD1" s="12" t="s">
        <v>52</v>
      </c>
      <c r="AE1" s="12" t="s">
        <v>45</v>
      </c>
      <c r="AF1" s="18" t="s">
        <v>52</v>
      </c>
      <c r="AG1" s="12" t="s">
        <v>52</v>
      </c>
      <c r="AH1" s="12" t="s">
        <v>52</v>
      </c>
      <c r="AI1" s="12" t="s">
        <v>52</v>
      </c>
      <c r="AJ1" s="18" t="s">
        <v>52</v>
      </c>
      <c r="AK1" s="18" t="s">
        <v>52</v>
      </c>
    </row>
    <row r="2" spans="1:50" s="17" customFormat="1" x14ac:dyDescent="0.25">
      <c r="B2" s="17">
        <v>1</v>
      </c>
      <c r="C2" s="17">
        <v>2</v>
      </c>
      <c r="D2" s="17">
        <v>3</v>
      </c>
      <c r="E2" s="17">
        <v>4</v>
      </c>
      <c r="F2" s="17">
        <v>5</v>
      </c>
      <c r="G2" s="17">
        <v>6</v>
      </c>
      <c r="H2" s="17">
        <v>7</v>
      </c>
      <c r="I2" s="17">
        <v>8</v>
      </c>
      <c r="J2" s="17">
        <v>9</v>
      </c>
      <c r="K2" s="17">
        <v>10</v>
      </c>
      <c r="L2" s="17">
        <v>11</v>
      </c>
      <c r="M2" s="17">
        <v>12</v>
      </c>
      <c r="N2" s="17">
        <v>13</v>
      </c>
      <c r="O2" s="17">
        <v>14</v>
      </c>
      <c r="P2" s="17">
        <v>15</v>
      </c>
      <c r="Q2" s="17">
        <v>16</v>
      </c>
      <c r="R2" s="17">
        <v>17</v>
      </c>
      <c r="S2" s="17">
        <v>18</v>
      </c>
      <c r="T2" s="17">
        <v>19</v>
      </c>
      <c r="U2" s="17">
        <v>20</v>
      </c>
      <c r="V2" s="17">
        <v>21</v>
      </c>
      <c r="W2" s="17">
        <v>22</v>
      </c>
      <c r="X2" s="17">
        <v>23</v>
      </c>
      <c r="Y2" s="17">
        <v>24</v>
      </c>
      <c r="Z2" s="17">
        <v>25</v>
      </c>
      <c r="AA2" s="17">
        <v>26</v>
      </c>
      <c r="AB2" s="17">
        <v>27</v>
      </c>
      <c r="AC2" s="8">
        <v>28</v>
      </c>
      <c r="AD2" s="8">
        <v>29</v>
      </c>
      <c r="AE2" s="17">
        <v>30</v>
      </c>
      <c r="AF2" s="17">
        <v>31</v>
      </c>
      <c r="AG2" s="8">
        <v>32</v>
      </c>
      <c r="AH2" s="8">
        <v>33</v>
      </c>
      <c r="AI2" s="8">
        <v>34</v>
      </c>
      <c r="AJ2" s="17">
        <v>35</v>
      </c>
      <c r="AK2" s="17">
        <v>36</v>
      </c>
      <c r="AL2" s="17">
        <v>37</v>
      </c>
    </row>
    <row r="3" spans="1:50" s="17" customFormat="1" x14ac:dyDescent="0.25">
      <c r="H3" s="18" t="s">
        <v>46</v>
      </c>
      <c r="K3" s="18" t="s">
        <v>55</v>
      </c>
      <c r="N3" s="18" t="s">
        <v>56</v>
      </c>
      <c r="AB3" s="8"/>
      <c r="AC3" s="8"/>
      <c r="AD3" s="8"/>
      <c r="AF3" s="17" t="s">
        <v>162</v>
      </c>
      <c r="AG3" s="8"/>
      <c r="AH3" s="8"/>
      <c r="AI3" s="8"/>
      <c r="AJ3" s="8" t="s">
        <v>152</v>
      </c>
      <c r="AK3" s="8" t="s">
        <v>153</v>
      </c>
    </row>
    <row r="4" spans="1:50" s="17" customFormat="1" x14ac:dyDescent="0.25">
      <c r="A4" s="17" t="s">
        <v>160</v>
      </c>
      <c r="B4" s="8" t="s">
        <v>158</v>
      </c>
      <c r="C4" s="8" t="s">
        <v>158</v>
      </c>
      <c r="D4" s="8" t="s">
        <v>5</v>
      </c>
      <c r="E4" s="8"/>
      <c r="F4" s="34">
        <v>-1E+30</v>
      </c>
      <c r="G4" s="34">
        <v>1E+30</v>
      </c>
      <c r="H4" s="8">
        <v>0</v>
      </c>
      <c r="I4" s="8">
        <v>0</v>
      </c>
      <c r="J4" s="8">
        <v>0</v>
      </c>
      <c r="K4" s="8" t="s">
        <v>158</v>
      </c>
      <c r="L4" s="8" t="s">
        <v>158</v>
      </c>
      <c r="M4" s="8" t="s">
        <v>158</v>
      </c>
      <c r="N4" s="8">
        <v>0</v>
      </c>
      <c r="O4" s="8">
        <v>0</v>
      </c>
      <c r="P4" s="17" t="s">
        <v>52</v>
      </c>
      <c r="Q4" s="8" t="s">
        <v>158</v>
      </c>
      <c r="R4" s="8" t="s">
        <v>158</v>
      </c>
      <c r="S4" s="8" t="s">
        <v>161</v>
      </c>
      <c r="T4" s="17" t="s">
        <v>52</v>
      </c>
      <c r="U4" s="17">
        <v>0</v>
      </c>
      <c r="V4" s="17">
        <v>0</v>
      </c>
      <c r="W4" s="17">
        <v>10</v>
      </c>
      <c r="X4" s="17">
        <v>0</v>
      </c>
      <c r="Y4" s="17">
        <v>0</v>
      </c>
      <c r="Z4" s="17" t="s">
        <v>159</v>
      </c>
      <c r="AA4" s="17">
        <v>0</v>
      </c>
      <c r="AB4" s="8">
        <v>0</v>
      </c>
      <c r="AC4" s="34">
        <v>-1E+30</v>
      </c>
      <c r="AD4" s="34">
        <v>1E+30</v>
      </c>
      <c r="AE4" s="17" t="s">
        <v>52</v>
      </c>
      <c r="AF4" s="17">
        <v>0</v>
      </c>
      <c r="AG4" s="8">
        <v>0</v>
      </c>
      <c r="AH4" s="8">
        <v>0</v>
      </c>
      <c r="AI4" s="8"/>
      <c r="AJ4" s="8">
        <v>0</v>
      </c>
      <c r="AK4" s="8" t="s">
        <v>158</v>
      </c>
      <c r="AL4" s="17">
        <v>0</v>
      </c>
    </row>
    <row r="5" spans="1:50" s="17" customFormat="1" ht="38.25" x14ac:dyDescent="0.25">
      <c r="A5" s="19" t="s">
        <v>6</v>
      </c>
      <c r="B5" s="19" t="s">
        <v>26</v>
      </c>
      <c r="C5" s="19" t="s">
        <v>27</v>
      </c>
      <c r="D5" s="19" t="s">
        <v>23</v>
      </c>
      <c r="E5" s="19" t="s">
        <v>20</v>
      </c>
      <c r="F5" s="19" t="s">
        <v>21</v>
      </c>
      <c r="G5" s="19" t="s">
        <v>22</v>
      </c>
      <c r="H5" s="19" t="s">
        <v>47</v>
      </c>
      <c r="I5" s="19" t="s">
        <v>48</v>
      </c>
      <c r="J5" s="19" t="s">
        <v>1</v>
      </c>
      <c r="K5" s="19" t="s">
        <v>49</v>
      </c>
      <c r="L5" s="19" t="s">
        <v>50</v>
      </c>
      <c r="M5" s="19" t="s">
        <v>51</v>
      </c>
      <c r="N5" s="19" t="s">
        <v>53</v>
      </c>
      <c r="O5" s="19" t="s">
        <v>54</v>
      </c>
      <c r="P5" s="19" t="s">
        <v>16</v>
      </c>
      <c r="Q5" s="19" t="s">
        <v>42</v>
      </c>
      <c r="R5" s="19" t="s">
        <v>41</v>
      </c>
      <c r="S5" s="19" t="s">
        <v>65</v>
      </c>
      <c r="T5" s="19" t="s">
        <v>66</v>
      </c>
      <c r="U5" s="19" t="s">
        <v>69</v>
      </c>
      <c r="V5" s="19" t="s">
        <v>70</v>
      </c>
      <c r="W5" s="19" t="s">
        <v>71</v>
      </c>
      <c r="X5" s="20" t="s">
        <v>40</v>
      </c>
      <c r="Y5" s="19" t="s">
        <v>61</v>
      </c>
      <c r="Z5" s="19" t="s">
        <v>68</v>
      </c>
      <c r="AA5" s="19" t="s">
        <v>82</v>
      </c>
      <c r="AB5" s="13" t="s">
        <v>67</v>
      </c>
      <c r="AC5" s="13" t="s">
        <v>85</v>
      </c>
      <c r="AD5" s="13" t="s">
        <v>86</v>
      </c>
      <c r="AE5" s="13" t="s">
        <v>88</v>
      </c>
      <c r="AF5" s="18" t="s">
        <v>100</v>
      </c>
      <c r="AG5" s="12" t="s">
        <v>106</v>
      </c>
      <c r="AH5" s="12" t="s">
        <v>107</v>
      </c>
      <c r="AI5" s="12" t="s">
        <v>110</v>
      </c>
      <c r="AJ5" s="12" t="s">
        <v>113</v>
      </c>
      <c r="AK5" s="12" t="s">
        <v>114</v>
      </c>
      <c r="AL5" s="18" t="s">
        <v>133</v>
      </c>
      <c r="AM5" s="18"/>
      <c r="AN5" s="18"/>
    </row>
    <row r="6" spans="1:50" s="17" customFormat="1" x14ac:dyDescent="0.25">
      <c r="A6" s="19" t="s">
        <v>557</v>
      </c>
      <c r="B6" s="19"/>
      <c r="C6" s="19"/>
      <c r="D6" s="19" t="s">
        <v>349</v>
      </c>
      <c r="E6" s="19">
        <v>0</v>
      </c>
      <c r="F6" s="19">
        <v>0</v>
      </c>
      <c r="G6" s="19">
        <v>0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>
        <v>9.9999999999999995E-7</v>
      </c>
      <c r="V6" s="19">
        <v>9.9999999999999995E-7</v>
      </c>
      <c r="W6" s="19"/>
      <c r="X6" s="20"/>
      <c r="Y6" s="19"/>
      <c r="Z6" s="19"/>
      <c r="AA6" s="19"/>
      <c r="AB6" s="13"/>
      <c r="AC6" s="13"/>
      <c r="AD6" s="13"/>
      <c r="AE6" s="13"/>
      <c r="AF6" s="18">
        <v>1</v>
      </c>
      <c r="AG6" s="12"/>
      <c r="AH6" s="12"/>
      <c r="AI6" s="12"/>
      <c r="AJ6" s="12"/>
      <c r="AK6" s="12"/>
      <c r="AL6" s="18"/>
      <c r="AM6" s="18"/>
      <c r="AN6" s="18"/>
      <c r="AX6" s="17">
        <v>1</v>
      </c>
    </row>
    <row r="7" spans="1:50" s="17" customFormat="1" x14ac:dyDescent="0.25">
      <c r="A7" s="19" t="s">
        <v>558</v>
      </c>
      <c r="B7" s="19"/>
      <c r="C7" s="19"/>
      <c r="D7" s="19" t="s">
        <v>349</v>
      </c>
      <c r="E7" s="19">
        <v>0</v>
      </c>
      <c r="F7" s="19">
        <v>0</v>
      </c>
      <c r="G7" s="19">
        <v>0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>
        <v>9.9999999999999995E-7</v>
      </c>
      <c r="V7" s="19">
        <v>9.9999999999999995E-7</v>
      </c>
      <c r="W7" s="19"/>
      <c r="X7" s="20"/>
      <c r="Y7" s="19"/>
      <c r="Z7" s="19"/>
      <c r="AA7" s="19"/>
      <c r="AB7" s="13"/>
      <c r="AC7" s="13"/>
      <c r="AD7" s="13"/>
      <c r="AE7" s="13"/>
      <c r="AF7" s="18">
        <v>1</v>
      </c>
      <c r="AG7" s="12"/>
      <c r="AH7" s="12"/>
      <c r="AI7" s="12"/>
      <c r="AJ7" s="12"/>
      <c r="AK7" s="12"/>
      <c r="AL7" s="18"/>
      <c r="AM7" s="18"/>
      <c r="AN7" s="18"/>
      <c r="AX7" s="17">
        <v>2</v>
      </c>
    </row>
    <row r="8" spans="1:50" s="17" customFormat="1" x14ac:dyDescent="0.25">
      <c r="A8" s="19" t="s">
        <v>559</v>
      </c>
      <c r="B8" s="19"/>
      <c r="C8" s="19"/>
      <c r="D8" s="19" t="s">
        <v>349</v>
      </c>
      <c r="E8" s="19">
        <v>0</v>
      </c>
      <c r="F8" s="19">
        <v>0</v>
      </c>
      <c r="G8" s="19">
        <v>0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>
        <v>9.9999999999999995E-7</v>
      </c>
      <c r="V8" s="19">
        <v>9.9999999999999995E-7</v>
      </c>
      <c r="W8" s="19"/>
      <c r="X8" s="20"/>
      <c r="Y8" s="19"/>
      <c r="Z8" s="19"/>
      <c r="AA8" s="19"/>
      <c r="AB8" s="13"/>
      <c r="AC8" s="13"/>
      <c r="AD8" s="13"/>
      <c r="AE8" s="13"/>
      <c r="AF8" s="18">
        <v>1</v>
      </c>
      <c r="AG8" s="12"/>
      <c r="AH8" s="12"/>
      <c r="AI8" s="12"/>
      <c r="AJ8" s="12"/>
      <c r="AK8" s="12"/>
      <c r="AL8" s="18"/>
      <c r="AM8" s="18"/>
      <c r="AN8" s="18"/>
      <c r="AX8" s="17">
        <v>3</v>
      </c>
    </row>
    <row r="9" spans="1:50" s="17" customFormat="1" x14ac:dyDescent="0.25">
      <c r="A9" s="19" t="s">
        <v>560</v>
      </c>
      <c r="B9" s="19"/>
      <c r="C9" s="19"/>
      <c r="D9" s="19" t="s">
        <v>349</v>
      </c>
      <c r="E9" s="19">
        <v>0</v>
      </c>
      <c r="F9" s="19">
        <v>0</v>
      </c>
      <c r="G9" s="19">
        <v>0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>
        <v>9.9999999999999995E-7</v>
      </c>
      <c r="V9" s="19">
        <v>9.9999999999999995E-7</v>
      </c>
      <c r="W9" s="19"/>
      <c r="X9" s="20"/>
      <c r="Y9" s="19"/>
      <c r="Z9" s="19"/>
      <c r="AA9" s="19"/>
      <c r="AB9" s="13"/>
      <c r="AC9" s="13"/>
      <c r="AD9" s="13"/>
      <c r="AE9" s="13"/>
      <c r="AF9" s="18">
        <v>1</v>
      </c>
      <c r="AG9" s="12"/>
      <c r="AH9" s="12"/>
      <c r="AI9" s="12"/>
      <c r="AJ9" s="12"/>
      <c r="AK9" s="12"/>
      <c r="AL9" s="18"/>
      <c r="AM9" s="18"/>
      <c r="AN9" s="18"/>
      <c r="AX9" s="17">
        <v>4</v>
      </c>
    </row>
    <row r="10" spans="1:50" s="17" customFormat="1" x14ac:dyDescent="0.25">
      <c r="A10" s="19" t="s">
        <v>561</v>
      </c>
      <c r="B10" s="19"/>
      <c r="C10" s="19"/>
      <c r="D10" s="19" t="s">
        <v>349</v>
      </c>
      <c r="E10" s="19">
        <v>0</v>
      </c>
      <c r="F10" s="19">
        <v>0</v>
      </c>
      <c r="G10" s="19">
        <v>0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>
        <v>9.9999999999999995E-7</v>
      </c>
      <c r="V10" s="19">
        <v>9.9999999999999995E-7</v>
      </c>
      <c r="W10" s="19"/>
      <c r="X10" s="20"/>
      <c r="Y10" s="19"/>
      <c r="Z10" s="19"/>
      <c r="AA10" s="19"/>
      <c r="AB10" s="13"/>
      <c r="AC10" s="13"/>
      <c r="AD10" s="13"/>
      <c r="AE10" s="13"/>
      <c r="AF10" s="18">
        <v>1</v>
      </c>
      <c r="AG10" s="12"/>
      <c r="AH10" s="12"/>
      <c r="AI10" s="12"/>
      <c r="AJ10" s="12"/>
      <c r="AK10" s="12"/>
      <c r="AL10" s="18"/>
      <c r="AM10" s="18"/>
      <c r="AN10" s="18"/>
      <c r="AX10" s="17">
        <v>5</v>
      </c>
    </row>
    <row r="11" spans="1:50" s="17" customFormat="1" x14ac:dyDescent="0.25">
      <c r="A11" s="19" t="s">
        <v>562</v>
      </c>
      <c r="B11" s="19"/>
      <c r="C11" s="19"/>
      <c r="D11" s="19" t="s">
        <v>349</v>
      </c>
      <c r="E11" s="19">
        <v>0</v>
      </c>
      <c r="F11" s="19">
        <v>0</v>
      </c>
      <c r="G11" s="19">
        <v>0</v>
      </c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>
        <v>9.9999999999999995E-7</v>
      </c>
      <c r="V11" s="19">
        <v>9.9999999999999995E-7</v>
      </c>
      <c r="W11" s="19"/>
      <c r="X11" s="20"/>
      <c r="Y11" s="19"/>
      <c r="Z11" s="19"/>
      <c r="AA11" s="19"/>
      <c r="AB11" s="13"/>
      <c r="AC11" s="13"/>
      <c r="AD11" s="13"/>
      <c r="AE11" s="13"/>
      <c r="AF11" s="18">
        <v>1</v>
      </c>
      <c r="AG11" s="12"/>
      <c r="AH11" s="12"/>
      <c r="AI11" s="12"/>
      <c r="AJ11" s="12"/>
      <c r="AK11" s="12"/>
      <c r="AL11" s="18"/>
      <c r="AM11" s="18"/>
      <c r="AN11" s="18"/>
      <c r="AX11" s="17">
        <v>6</v>
      </c>
    </row>
    <row r="12" spans="1:50" s="17" customFormat="1" x14ac:dyDescent="0.25">
      <c r="A12" s="19" t="s">
        <v>563</v>
      </c>
      <c r="B12" s="19"/>
      <c r="C12" s="19"/>
      <c r="D12" s="19" t="s">
        <v>349</v>
      </c>
      <c r="E12" s="19">
        <v>0</v>
      </c>
      <c r="F12" s="19">
        <v>0</v>
      </c>
      <c r="G12" s="19">
        <v>0</v>
      </c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>
        <v>9.9999999999999995E-7</v>
      </c>
      <c r="V12" s="19">
        <v>9.9999999999999995E-7</v>
      </c>
      <c r="W12" s="19"/>
      <c r="X12" s="20"/>
      <c r="Y12" s="19"/>
      <c r="Z12" s="19"/>
      <c r="AA12" s="19"/>
      <c r="AB12" s="13"/>
      <c r="AC12" s="13"/>
      <c r="AD12" s="13"/>
      <c r="AE12" s="13"/>
      <c r="AF12" s="18">
        <v>1</v>
      </c>
      <c r="AG12" s="12"/>
      <c r="AH12" s="12"/>
      <c r="AI12" s="12"/>
      <c r="AJ12" s="12"/>
      <c r="AK12" s="12"/>
      <c r="AL12" s="18"/>
      <c r="AM12" s="18"/>
      <c r="AN12" s="18"/>
      <c r="AX12" s="17">
        <v>7</v>
      </c>
    </row>
    <row r="13" spans="1:50" s="17" customFormat="1" x14ac:dyDescent="0.25">
      <c r="A13" s="19" t="s">
        <v>521</v>
      </c>
      <c r="B13" s="19"/>
      <c r="C13" s="19"/>
      <c r="D13" s="19" t="s">
        <v>349</v>
      </c>
      <c r="E13" s="19">
        <v>150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20"/>
      <c r="Y13" s="19"/>
      <c r="Z13" s="19"/>
      <c r="AA13" s="19"/>
      <c r="AB13" s="13"/>
      <c r="AC13" s="13"/>
      <c r="AD13" s="13"/>
      <c r="AE13" s="13"/>
      <c r="AF13" s="18">
        <v>0</v>
      </c>
      <c r="AG13" s="12"/>
      <c r="AH13" s="12"/>
      <c r="AI13" s="12"/>
      <c r="AJ13" s="12"/>
      <c r="AK13" s="12"/>
      <c r="AL13" s="18"/>
      <c r="AM13" s="18"/>
      <c r="AN13" s="18"/>
      <c r="AX13" s="17">
        <v>8</v>
      </c>
    </row>
    <row r="14" spans="1:50" s="17" customFormat="1" x14ac:dyDescent="0.25">
      <c r="A14" s="19" t="s">
        <v>535</v>
      </c>
      <c r="B14" s="19"/>
      <c r="C14" s="19"/>
      <c r="D14" s="19" t="s">
        <v>349</v>
      </c>
      <c r="E14" s="19">
        <v>0.78691463946754237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  <c r="Y14" s="19"/>
      <c r="Z14" s="19"/>
      <c r="AA14" s="19"/>
      <c r="AB14" s="13"/>
      <c r="AC14" s="13"/>
      <c r="AD14" s="13"/>
      <c r="AE14" s="13"/>
      <c r="AF14" s="18">
        <v>0</v>
      </c>
      <c r="AG14" s="12"/>
      <c r="AH14" s="12"/>
      <c r="AI14" s="12"/>
      <c r="AJ14" s="12"/>
      <c r="AK14" s="12"/>
      <c r="AL14" s="18"/>
      <c r="AM14" s="18"/>
      <c r="AN14" s="18"/>
      <c r="AX14" s="17">
        <v>9</v>
      </c>
    </row>
    <row r="15" spans="1:50" s="17" customFormat="1" x14ac:dyDescent="0.25">
      <c r="A15" s="19" t="s">
        <v>538</v>
      </c>
      <c r="B15" s="19"/>
      <c r="C15" s="19"/>
      <c r="D15" s="19" t="s">
        <v>349</v>
      </c>
      <c r="E15" s="19">
        <v>2448.2427129779935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20"/>
      <c r="Y15" s="19"/>
      <c r="Z15" s="19"/>
      <c r="AA15" s="19"/>
      <c r="AB15" s="13"/>
      <c r="AC15" s="13"/>
      <c r="AD15" s="13"/>
      <c r="AE15" s="13"/>
      <c r="AF15" s="18">
        <v>0</v>
      </c>
      <c r="AG15" s="12"/>
      <c r="AH15" s="12"/>
      <c r="AI15" s="12"/>
      <c r="AJ15" s="12"/>
      <c r="AK15" s="12"/>
      <c r="AL15" s="18"/>
      <c r="AM15" s="18"/>
      <c r="AN15" s="18"/>
      <c r="AX15" s="17">
        <v>10</v>
      </c>
    </row>
    <row r="16" spans="1:50" s="17" customFormat="1" x14ac:dyDescent="0.25">
      <c r="A16" s="19" t="s">
        <v>534</v>
      </c>
      <c r="B16" s="19"/>
      <c r="C16" s="19"/>
      <c r="D16" s="19" t="s">
        <v>349</v>
      </c>
      <c r="E16" s="19">
        <v>250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20"/>
      <c r="Y16" s="19"/>
      <c r="Z16" s="19"/>
      <c r="AA16" s="19"/>
      <c r="AB16" s="13"/>
      <c r="AC16" s="13"/>
      <c r="AD16" s="13"/>
      <c r="AE16" s="13"/>
      <c r="AF16" s="18">
        <v>0</v>
      </c>
      <c r="AG16" s="12"/>
      <c r="AH16" s="12"/>
      <c r="AI16" s="12"/>
      <c r="AJ16" s="12"/>
      <c r="AK16" s="12"/>
      <c r="AL16" s="18"/>
      <c r="AM16" s="18"/>
      <c r="AN16" s="18"/>
      <c r="AX16" s="17">
        <v>11</v>
      </c>
    </row>
    <row r="17" spans="1:50" s="17" customFormat="1" x14ac:dyDescent="0.25">
      <c r="A17" s="19" t="s">
        <v>536</v>
      </c>
      <c r="B17" s="19"/>
      <c r="C17" s="19"/>
      <c r="D17" s="19" t="s">
        <v>349</v>
      </c>
      <c r="E17" s="19">
        <v>-51.315700289728035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19"/>
      <c r="Z17" s="19"/>
      <c r="AA17" s="19"/>
      <c r="AB17" s="13"/>
      <c r="AC17" s="13"/>
      <c r="AD17" s="13"/>
      <c r="AE17" s="13"/>
      <c r="AF17" s="18">
        <v>0</v>
      </c>
      <c r="AG17" s="12"/>
      <c r="AH17" s="12"/>
      <c r="AI17" s="12"/>
      <c r="AJ17" s="12"/>
      <c r="AK17" s="12"/>
      <c r="AL17" s="18"/>
      <c r="AM17" s="18"/>
      <c r="AN17" s="18"/>
      <c r="AX17" s="17">
        <v>12</v>
      </c>
    </row>
    <row r="18" spans="1:50" s="17" customFormat="1" x14ac:dyDescent="0.25">
      <c r="A18" s="19" t="s">
        <v>539</v>
      </c>
      <c r="B18" s="19"/>
      <c r="C18" s="19"/>
      <c r="D18" s="19" t="s">
        <v>349</v>
      </c>
      <c r="E18" s="19">
        <v>-42.281431578557715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20"/>
      <c r="Y18" s="19"/>
      <c r="Z18" s="19"/>
      <c r="AA18" s="19"/>
      <c r="AB18" s="13"/>
      <c r="AC18" s="13"/>
      <c r="AD18" s="13"/>
      <c r="AE18" s="13"/>
      <c r="AF18" s="18">
        <v>0</v>
      </c>
      <c r="AG18" s="12"/>
      <c r="AH18" s="12"/>
      <c r="AI18" s="12"/>
      <c r="AJ18" s="12"/>
      <c r="AK18" s="12"/>
      <c r="AL18" s="18"/>
      <c r="AM18" s="18"/>
      <c r="AN18" s="18"/>
      <c r="AX18" s="17">
        <v>13</v>
      </c>
    </row>
    <row r="19" spans="1:50" s="17" customFormat="1" x14ac:dyDescent="0.25">
      <c r="A19" s="19" t="s">
        <v>537</v>
      </c>
      <c r="B19" s="19"/>
      <c r="C19" s="19"/>
      <c r="D19" s="19" t="s">
        <v>349</v>
      </c>
      <c r="E19" s="19">
        <v>43.289233769420058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20"/>
      <c r="Y19" s="19"/>
      <c r="Z19" s="19"/>
      <c r="AA19" s="19"/>
      <c r="AB19" s="13"/>
      <c r="AC19" s="13"/>
      <c r="AD19" s="13"/>
      <c r="AE19" s="13"/>
      <c r="AF19" s="18">
        <v>0</v>
      </c>
      <c r="AG19" s="12"/>
      <c r="AH19" s="12"/>
      <c r="AI19" s="12"/>
      <c r="AJ19" s="12"/>
      <c r="AK19" s="12"/>
      <c r="AL19" s="18"/>
      <c r="AM19" s="18"/>
      <c r="AN19" s="18"/>
      <c r="AX19" s="17">
        <v>14</v>
      </c>
    </row>
    <row r="20" spans="1:50" s="17" customFormat="1" x14ac:dyDescent="0.25">
      <c r="A20" s="19" t="s">
        <v>527</v>
      </c>
      <c r="B20" s="19"/>
      <c r="C20" s="19"/>
      <c r="D20" s="19" t="s">
        <v>349</v>
      </c>
      <c r="E20" s="19">
        <v>56.534183307583689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20"/>
      <c r="Y20" s="19"/>
      <c r="Z20" s="19"/>
      <c r="AA20" s="19"/>
      <c r="AB20" s="13"/>
      <c r="AC20" s="13"/>
      <c r="AD20" s="13"/>
      <c r="AE20" s="13"/>
      <c r="AF20" s="18">
        <v>0</v>
      </c>
      <c r="AG20" s="12"/>
      <c r="AH20" s="12"/>
      <c r="AI20" s="12"/>
      <c r="AJ20" s="12"/>
      <c r="AK20" s="12"/>
      <c r="AL20" s="18"/>
      <c r="AM20" s="18"/>
      <c r="AN20" s="18"/>
      <c r="AX20" s="17">
        <v>15</v>
      </c>
    </row>
    <row r="21" spans="1:50" s="17" customFormat="1" x14ac:dyDescent="0.25">
      <c r="A21" s="19" t="s">
        <v>523</v>
      </c>
      <c r="B21" s="19"/>
      <c r="C21" s="19"/>
      <c r="D21" s="19" t="s">
        <v>349</v>
      </c>
      <c r="E21" s="19">
        <v>0.83894129518844662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19"/>
      <c r="Z21" s="19"/>
      <c r="AA21" s="19"/>
      <c r="AB21" s="13"/>
      <c r="AC21" s="13"/>
      <c r="AD21" s="13"/>
      <c r="AE21" s="13"/>
      <c r="AF21" s="18">
        <v>0</v>
      </c>
      <c r="AG21" s="12"/>
      <c r="AH21" s="12"/>
      <c r="AI21" s="12"/>
      <c r="AJ21" s="12"/>
      <c r="AK21" s="12"/>
      <c r="AL21" s="18"/>
      <c r="AM21" s="18"/>
      <c r="AN21" s="18"/>
      <c r="AX21" s="17">
        <v>16</v>
      </c>
    </row>
    <row r="22" spans="1:50" s="17" customFormat="1" x14ac:dyDescent="0.25">
      <c r="A22" s="19" t="s">
        <v>526</v>
      </c>
      <c r="B22" s="19"/>
      <c r="C22" s="19"/>
      <c r="D22" s="19" t="s">
        <v>349</v>
      </c>
      <c r="E22" s="19">
        <v>4000.0000565229366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20"/>
      <c r="Y22" s="19"/>
      <c r="Z22" s="19"/>
      <c r="AA22" s="19"/>
      <c r="AB22" s="13"/>
      <c r="AC22" s="13"/>
      <c r="AD22" s="13"/>
      <c r="AE22" s="13"/>
      <c r="AF22" s="18">
        <v>0</v>
      </c>
      <c r="AG22" s="12"/>
      <c r="AH22" s="12"/>
      <c r="AI22" s="12"/>
      <c r="AJ22" s="12"/>
      <c r="AK22" s="12"/>
      <c r="AL22" s="18"/>
      <c r="AM22" s="18"/>
      <c r="AN22" s="18"/>
      <c r="AX22" s="17">
        <v>17</v>
      </c>
    </row>
    <row r="23" spans="1:50" s="17" customFormat="1" x14ac:dyDescent="0.25">
      <c r="A23" s="19" t="s">
        <v>522</v>
      </c>
      <c r="B23" s="19"/>
      <c r="C23" s="19"/>
      <c r="D23" s="19" t="s">
        <v>349</v>
      </c>
      <c r="E23" s="19">
        <v>350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20"/>
      <c r="Y23" s="19"/>
      <c r="Z23" s="19"/>
      <c r="AA23" s="19"/>
      <c r="AB23" s="13"/>
      <c r="AC23" s="13"/>
      <c r="AD23" s="13"/>
      <c r="AE23" s="13"/>
      <c r="AF23" s="18">
        <v>0</v>
      </c>
      <c r="AG23" s="12"/>
      <c r="AH23" s="12"/>
      <c r="AI23" s="12"/>
      <c r="AJ23" s="12"/>
      <c r="AK23" s="12"/>
      <c r="AL23" s="18"/>
      <c r="AM23" s="18"/>
      <c r="AN23" s="18"/>
      <c r="AX23" s="17">
        <v>18</v>
      </c>
    </row>
    <row r="24" spans="1:50" s="17" customFormat="1" x14ac:dyDescent="0.25">
      <c r="A24" s="19" t="s">
        <v>524</v>
      </c>
      <c r="B24" s="19"/>
      <c r="C24" s="19"/>
      <c r="D24" s="19" t="s">
        <v>349</v>
      </c>
      <c r="E24" s="19">
        <v>-14.999993747034807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19"/>
      <c r="Z24" s="19"/>
      <c r="AA24" s="19"/>
      <c r="AB24" s="13"/>
      <c r="AC24" s="13"/>
      <c r="AD24" s="13"/>
      <c r="AE24" s="13"/>
      <c r="AF24" s="18">
        <v>0</v>
      </c>
      <c r="AG24" s="12"/>
      <c r="AH24" s="12"/>
      <c r="AI24" s="12"/>
      <c r="AJ24" s="12"/>
      <c r="AK24" s="12"/>
      <c r="AL24" s="18"/>
      <c r="AM24" s="18"/>
      <c r="AN24" s="18"/>
      <c r="AX24" s="17">
        <v>19</v>
      </c>
    </row>
    <row r="25" spans="1:50" s="17" customFormat="1" x14ac:dyDescent="0.25">
      <c r="A25" s="19" t="s">
        <v>525</v>
      </c>
      <c r="B25" s="19"/>
      <c r="C25" s="19"/>
      <c r="D25" s="19" t="s">
        <v>349</v>
      </c>
      <c r="E25" s="19">
        <v>102.91375135405919</v>
      </c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20"/>
      <c r="Y25" s="19"/>
      <c r="Z25" s="19"/>
      <c r="AA25" s="19"/>
      <c r="AB25" s="13"/>
      <c r="AC25" s="13"/>
      <c r="AD25" s="13"/>
      <c r="AE25" s="13"/>
      <c r="AF25" s="18">
        <v>0</v>
      </c>
      <c r="AG25" s="12"/>
      <c r="AH25" s="12"/>
      <c r="AI25" s="12"/>
      <c r="AJ25" s="12"/>
      <c r="AK25" s="12"/>
      <c r="AL25" s="18"/>
      <c r="AM25" s="18"/>
      <c r="AN25" s="18"/>
      <c r="AX25" s="17">
        <v>20</v>
      </c>
    </row>
    <row r="26" spans="1:50" s="17" customFormat="1" x14ac:dyDescent="0.25">
      <c r="A26" s="19" t="s">
        <v>533</v>
      </c>
      <c r="B26" s="19"/>
      <c r="C26" s="19"/>
      <c r="D26" s="19" t="s">
        <v>349</v>
      </c>
      <c r="E26" s="19">
        <v>43.681552531437546</v>
      </c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20"/>
      <c r="Y26" s="19"/>
      <c r="Z26" s="19"/>
      <c r="AA26" s="19"/>
      <c r="AB26" s="13"/>
      <c r="AC26" s="13"/>
      <c r="AD26" s="13"/>
      <c r="AE26" s="13"/>
      <c r="AF26" s="18">
        <v>0</v>
      </c>
      <c r="AG26" s="12"/>
      <c r="AH26" s="12"/>
      <c r="AI26" s="12"/>
      <c r="AJ26" s="12"/>
      <c r="AK26" s="12"/>
      <c r="AL26" s="18"/>
      <c r="AM26" s="18"/>
      <c r="AN26" s="18"/>
      <c r="AX26" s="17">
        <v>21</v>
      </c>
    </row>
    <row r="27" spans="1:50" s="17" customFormat="1" x14ac:dyDescent="0.25">
      <c r="A27" s="19" t="s">
        <v>529</v>
      </c>
      <c r="B27" s="19"/>
      <c r="C27" s="19"/>
      <c r="D27" s="19" t="s">
        <v>349</v>
      </c>
      <c r="E27" s="19">
        <v>0.88519611084834871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20"/>
      <c r="Y27" s="19"/>
      <c r="Z27" s="19"/>
      <c r="AA27" s="19"/>
      <c r="AB27" s="13"/>
      <c r="AC27" s="13"/>
      <c r="AD27" s="13"/>
      <c r="AE27" s="13"/>
      <c r="AF27" s="18">
        <v>0</v>
      </c>
      <c r="AG27" s="12"/>
      <c r="AH27" s="12"/>
      <c r="AI27" s="12"/>
      <c r="AJ27" s="12"/>
      <c r="AK27" s="12"/>
      <c r="AL27" s="18"/>
      <c r="AM27" s="18"/>
      <c r="AN27" s="18"/>
      <c r="AX27" s="17">
        <v>22</v>
      </c>
    </row>
    <row r="28" spans="1:50" s="17" customFormat="1" x14ac:dyDescent="0.25">
      <c r="A28" s="19" t="s">
        <v>532</v>
      </c>
      <c r="B28" s="19"/>
      <c r="C28" s="19"/>
      <c r="D28" s="19" t="s">
        <v>349</v>
      </c>
      <c r="E28" s="19">
        <v>5555.4764225917943</v>
      </c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19"/>
      <c r="Z28" s="19"/>
      <c r="AA28" s="19"/>
      <c r="AB28" s="13"/>
      <c r="AC28" s="13"/>
      <c r="AD28" s="13"/>
      <c r="AE28" s="13"/>
      <c r="AF28" s="18">
        <v>0</v>
      </c>
      <c r="AG28" s="12"/>
      <c r="AH28" s="12"/>
      <c r="AI28" s="12"/>
      <c r="AJ28" s="12"/>
      <c r="AK28" s="12"/>
      <c r="AL28" s="18"/>
      <c r="AM28" s="18"/>
      <c r="AN28" s="18"/>
      <c r="AX28" s="17">
        <v>23</v>
      </c>
    </row>
    <row r="29" spans="1:50" s="17" customFormat="1" x14ac:dyDescent="0.25">
      <c r="A29" s="19" t="s">
        <v>528</v>
      </c>
      <c r="B29" s="19"/>
      <c r="C29" s="19"/>
      <c r="D29" s="19" t="s">
        <v>349</v>
      </c>
      <c r="E29" s="19">
        <v>450</v>
      </c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20"/>
      <c r="Y29" s="19"/>
      <c r="Z29" s="19"/>
      <c r="AA29" s="19"/>
      <c r="AB29" s="13"/>
      <c r="AC29" s="13"/>
      <c r="AD29" s="13"/>
      <c r="AE29" s="13"/>
      <c r="AF29" s="18">
        <v>0</v>
      </c>
      <c r="AG29" s="12"/>
      <c r="AH29" s="12"/>
      <c r="AI29" s="12"/>
      <c r="AJ29" s="12"/>
      <c r="AK29" s="12"/>
      <c r="AL29" s="18"/>
      <c r="AM29" s="18"/>
      <c r="AN29" s="18"/>
      <c r="AX29" s="17">
        <v>24</v>
      </c>
    </row>
    <row r="30" spans="1:50" s="17" customFormat="1" x14ac:dyDescent="0.25">
      <c r="A30" s="19" t="s">
        <v>530</v>
      </c>
      <c r="B30" s="19"/>
      <c r="C30" s="19"/>
      <c r="D30" s="19" t="s">
        <v>349</v>
      </c>
      <c r="E30" s="19">
        <v>21.31571433823618</v>
      </c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20"/>
      <c r="Y30" s="19"/>
      <c r="Z30" s="19"/>
      <c r="AA30" s="19"/>
      <c r="AB30" s="13"/>
      <c r="AC30" s="13"/>
      <c r="AD30" s="13"/>
      <c r="AE30" s="13"/>
      <c r="AF30" s="18">
        <v>0</v>
      </c>
      <c r="AG30" s="12"/>
      <c r="AH30" s="12"/>
      <c r="AI30" s="12"/>
      <c r="AJ30" s="12"/>
      <c r="AK30" s="12"/>
      <c r="AL30" s="18"/>
      <c r="AM30" s="18"/>
      <c r="AN30" s="18"/>
      <c r="AX30" s="17">
        <v>25</v>
      </c>
    </row>
    <row r="31" spans="1:50" s="17" customFormat="1" x14ac:dyDescent="0.25">
      <c r="A31" s="19" t="s">
        <v>531</v>
      </c>
      <c r="B31" s="19"/>
      <c r="C31" s="19"/>
      <c r="D31" s="19" t="s">
        <v>349</v>
      </c>
      <c r="E31" s="19">
        <v>161.70809059258613</v>
      </c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20"/>
      <c r="Y31" s="19"/>
      <c r="Z31" s="19"/>
      <c r="AA31" s="19"/>
      <c r="AB31" s="13"/>
      <c r="AC31" s="13"/>
      <c r="AD31" s="13"/>
      <c r="AE31" s="13"/>
      <c r="AF31" s="18">
        <v>0</v>
      </c>
      <c r="AG31" s="12"/>
      <c r="AH31" s="12"/>
      <c r="AI31" s="12"/>
      <c r="AJ31" s="12"/>
      <c r="AK31" s="12"/>
      <c r="AL31" s="18"/>
      <c r="AM31" s="18"/>
      <c r="AN31" s="18"/>
      <c r="AX31" s="17">
        <v>26</v>
      </c>
    </row>
    <row r="32" spans="1:50" s="17" customFormat="1" x14ac:dyDescent="0.25">
      <c r="A32" s="19" t="s">
        <v>589</v>
      </c>
      <c r="B32" s="19"/>
      <c r="C32" s="19"/>
      <c r="D32" s="19" t="s">
        <v>349</v>
      </c>
      <c r="E32" s="19">
        <v>0</v>
      </c>
      <c r="F32" s="19">
        <v>0</v>
      </c>
      <c r="G32" s="19">
        <v>0</v>
      </c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>
        <v>9.9999999999999995E-7</v>
      </c>
      <c r="V32" s="19">
        <v>9.9999999999999995E-7</v>
      </c>
      <c r="W32" s="19"/>
      <c r="X32" s="20"/>
      <c r="Y32" s="19"/>
      <c r="Z32" s="19"/>
      <c r="AA32" s="19"/>
      <c r="AB32" s="13"/>
      <c r="AC32" s="13"/>
      <c r="AD32" s="13"/>
      <c r="AE32" s="13"/>
      <c r="AF32" s="18">
        <v>1</v>
      </c>
      <c r="AG32" s="12"/>
      <c r="AH32" s="12"/>
      <c r="AI32" s="12"/>
      <c r="AJ32" s="12"/>
      <c r="AK32" s="12"/>
      <c r="AL32" s="18"/>
      <c r="AM32" s="18"/>
      <c r="AN32" s="18"/>
      <c r="AX32" s="17">
        <v>27</v>
      </c>
    </row>
    <row r="33" spans="1:50" s="17" customFormat="1" x14ac:dyDescent="0.25">
      <c r="A33" s="19" t="s">
        <v>590</v>
      </c>
      <c r="B33" s="19"/>
      <c r="C33" s="19"/>
      <c r="D33" s="19" t="s">
        <v>349</v>
      </c>
      <c r="E33" s="19">
        <v>0</v>
      </c>
      <c r="F33" s="19">
        <v>0</v>
      </c>
      <c r="G33" s="19">
        <v>0</v>
      </c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>
        <v>9.9999999999999995E-7</v>
      </c>
      <c r="V33" s="19">
        <v>9.9999999999999995E-7</v>
      </c>
      <c r="W33" s="19"/>
      <c r="X33" s="20"/>
      <c r="Y33" s="19"/>
      <c r="Z33" s="19"/>
      <c r="AA33" s="19"/>
      <c r="AB33" s="13"/>
      <c r="AC33" s="13"/>
      <c r="AD33" s="13"/>
      <c r="AE33" s="13"/>
      <c r="AF33" s="18">
        <v>1</v>
      </c>
      <c r="AG33" s="12"/>
      <c r="AH33" s="12"/>
      <c r="AI33" s="12"/>
      <c r="AJ33" s="12"/>
      <c r="AK33" s="12"/>
      <c r="AL33" s="18"/>
      <c r="AM33" s="18"/>
      <c r="AN33" s="18"/>
      <c r="AX33" s="17">
        <v>28</v>
      </c>
    </row>
    <row r="34" spans="1:50" s="17" customFormat="1" x14ac:dyDescent="0.25">
      <c r="A34" s="19" t="s">
        <v>591</v>
      </c>
      <c r="B34" s="19"/>
      <c r="C34" s="19"/>
      <c r="D34" s="19" t="s">
        <v>349</v>
      </c>
      <c r="E34" s="19">
        <v>0</v>
      </c>
      <c r="F34" s="19">
        <v>0</v>
      </c>
      <c r="G34" s="19">
        <v>0</v>
      </c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>
        <v>9.9999999999999995E-7</v>
      </c>
      <c r="V34" s="19">
        <v>9.9999999999999995E-7</v>
      </c>
      <c r="W34" s="19"/>
      <c r="X34" s="20"/>
      <c r="Y34" s="19"/>
      <c r="Z34" s="19"/>
      <c r="AA34" s="19"/>
      <c r="AB34" s="13"/>
      <c r="AC34" s="13"/>
      <c r="AD34" s="13"/>
      <c r="AE34" s="13"/>
      <c r="AF34" s="18">
        <v>1</v>
      </c>
      <c r="AG34" s="12"/>
      <c r="AH34" s="12"/>
      <c r="AI34" s="12"/>
      <c r="AJ34" s="12"/>
      <c r="AK34" s="12"/>
      <c r="AL34" s="18"/>
      <c r="AM34" s="18"/>
      <c r="AN34" s="18"/>
      <c r="AX34" s="17">
        <v>29</v>
      </c>
    </row>
    <row r="35" spans="1:50" s="17" customFormat="1" x14ac:dyDescent="0.25">
      <c r="A35" s="19" t="s">
        <v>592</v>
      </c>
      <c r="B35" s="19"/>
      <c r="C35" s="19"/>
      <c r="D35" s="19" t="s">
        <v>349</v>
      </c>
      <c r="E35" s="19">
        <v>0</v>
      </c>
      <c r="F35" s="19">
        <v>0</v>
      </c>
      <c r="G35" s="19">
        <v>0</v>
      </c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>
        <v>9.9999999999999995E-7</v>
      </c>
      <c r="V35" s="19">
        <v>9.9999999999999995E-7</v>
      </c>
      <c r="W35" s="19"/>
      <c r="X35" s="20"/>
      <c r="Y35" s="19"/>
      <c r="Z35" s="19"/>
      <c r="AA35" s="19"/>
      <c r="AB35" s="13"/>
      <c r="AC35" s="13"/>
      <c r="AD35" s="13"/>
      <c r="AE35" s="13"/>
      <c r="AF35" s="18">
        <v>0</v>
      </c>
      <c r="AG35" s="12"/>
      <c r="AH35" s="12"/>
      <c r="AI35" s="12"/>
      <c r="AJ35" s="12"/>
      <c r="AK35" s="12"/>
      <c r="AL35" s="18"/>
      <c r="AM35" s="18"/>
      <c r="AN35" s="18"/>
      <c r="AX35" s="17">
        <v>30</v>
      </c>
    </row>
    <row r="36" spans="1:50" s="17" customFormat="1" x14ac:dyDescent="0.25">
      <c r="A36" s="19" t="s">
        <v>593</v>
      </c>
      <c r="B36" s="19"/>
      <c r="C36" s="19"/>
      <c r="D36" s="19" t="s">
        <v>349</v>
      </c>
      <c r="E36" s="19">
        <v>0</v>
      </c>
      <c r="F36" s="19">
        <v>0</v>
      </c>
      <c r="G36" s="19">
        <v>0</v>
      </c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>
        <v>9.9999999999999995E-7</v>
      </c>
      <c r="V36" s="19">
        <v>9.9999999999999995E-7</v>
      </c>
      <c r="W36" s="19"/>
      <c r="X36" s="20"/>
      <c r="Y36" s="19"/>
      <c r="Z36" s="19"/>
      <c r="AA36" s="19"/>
      <c r="AB36" s="13"/>
      <c r="AC36" s="13"/>
      <c r="AD36" s="13"/>
      <c r="AE36" s="13"/>
      <c r="AF36" s="18">
        <v>0</v>
      </c>
      <c r="AG36" s="12"/>
      <c r="AH36" s="12"/>
      <c r="AI36" s="12"/>
      <c r="AJ36" s="12"/>
      <c r="AK36" s="12"/>
      <c r="AL36" s="18"/>
      <c r="AM36" s="18"/>
      <c r="AN36" s="18"/>
      <c r="AX36" s="17">
        <v>31</v>
      </c>
    </row>
    <row r="37" spans="1:50" s="17" customFormat="1" x14ac:dyDescent="0.25">
      <c r="A37" s="19" t="s">
        <v>594</v>
      </c>
      <c r="B37" s="19"/>
      <c r="C37" s="19"/>
      <c r="D37" s="19" t="s">
        <v>349</v>
      </c>
      <c r="E37" s="19">
        <v>0</v>
      </c>
      <c r="F37" s="19">
        <v>0</v>
      </c>
      <c r="G37" s="19">
        <v>0</v>
      </c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>
        <v>9.9999999999999995E-7</v>
      </c>
      <c r="V37" s="19">
        <v>9.9999999999999995E-7</v>
      </c>
      <c r="W37" s="19"/>
      <c r="X37" s="20"/>
      <c r="Y37" s="19"/>
      <c r="Z37" s="19"/>
      <c r="AA37" s="19"/>
      <c r="AB37" s="13"/>
      <c r="AC37" s="13"/>
      <c r="AD37" s="13"/>
      <c r="AE37" s="13"/>
      <c r="AF37" s="18">
        <v>0</v>
      </c>
      <c r="AG37" s="12"/>
      <c r="AH37" s="12"/>
      <c r="AI37" s="12"/>
      <c r="AJ37" s="12"/>
      <c r="AK37" s="12"/>
      <c r="AL37" s="18"/>
      <c r="AM37" s="18"/>
      <c r="AN37" s="18"/>
      <c r="AX37" s="17">
        <v>32</v>
      </c>
    </row>
    <row r="38" spans="1:50" s="17" customFormat="1" x14ac:dyDescent="0.25">
      <c r="A38" s="19" t="s">
        <v>595</v>
      </c>
      <c r="B38" s="19"/>
      <c r="C38" s="19"/>
      <c r="D38" s="19" t="s">
        <v>349</v>
      </c>
      <c r="E38" s="19">
        <v>0</v>
      </c>
      <c r="F38" s="19">
        <v>0</v>
      </c>
      <c r="G38" s="19">
        <v>0</v>
      </c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>
        <v>9.9999999999999995E-7</v>
      </c>
      <c r="V38" s="19">
        <v>9.9999999999999995E-7</v>
      </c>
      <c r="W38" s="19"/>
      <c r="X38" s="20"/>
      <c r="Y38" s="19"/>
      <c r="Z38" s="19"/>
      <c r="AA38" s="19"/>
      <c r="AB38" s="13"/>
      <c r="AC38" s="13"/>
      <c r="AD38" s="13"/>
      <c r="AE38" s="13"/>
      <c r="AF38" s="18">
        <v>1</v>
      </c>
      <c r="AG38" s="12"/>
      <c r="AH38" s="12"/>
      <c r="AI38" s="12"/>
      <c r="AJ38" s="12"/>
      <c r="AK38" s="12"/>
      <c r="AL38" s="18"/>
      <c r="AM38" s="18"/>
      <c r="AN38" s="18"/>
      <c r="AX38" s="17">
        <v>33</v>
      </c>
    </row>
    <row r="39" spans="1:50" s="17" customFormat="1" x14ac:dyDescent="0.25">
      <c r="A39" s="19" t="s">
        <v>596</v>
      </c>
      <c r="B39" s="19"/>
      <c r="C39" s="19"/>
      <c r="D39" s="19" t="s">
        <v>349</v>
      </c>
      <c r="E39" s="19">
        <v>0</v>
      </c>
      <c r="F39" s="19">
        <v>0</v>
      </c>
      <c r="G39" s="19">
        <v>0</v>
      </c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>
        <v>9.9999999999999995E-7</v>
      </c>
      <c r="V39" s="19">
        <v>9.9999999999999995E-7</v>
      </c>
      <c r="W39" s="19"/>
      <c r="X39" s="20"/>
      <c r="Y39" s="19"/>
      <c r="Z39" s="19"/>
      <c r="AA39" s="19"/>
      <c r="AB39" s="13"/>
      <c r="AC39" s="13"/>
      <c r="AD39" s="13"/>
      <c r="AE39" s="13"/>
      <c r="AF39" s="18">
        <v>1</v>
      </c>
      <c r="AG39" s="12"/>
      <c r="AH39" s="12"/>
      <c r="AI39" s="12"/>
      <c r="AJ39" s="12"/>
      <c r="AK39" s="12"/>
      <c r="AL39" s="18"/>
      <c r="AM39" s="18"/>
      <c r="AN39" s="18"/>
      <c r="AX39" s="17">
        <v>34</v>
      </c>
    </row>
    <row r="40" spans="1:50" s="17" customFormat="1" x14ac:dyDescent="0.25">
      <c r="A40" s="19" t="s">
        <v>597</v>
      </c>
      <c r="B40" s="19"/>
      <c r="C40" s="19"/>
      <c r="D40" s="19" t="s">
        <v>349</v>
      </c>
      <c r="E40" s="19">
        <v>0</v>
      </c>
      <c r="F40" s="19">
        <v>0</v>
      </c>
      <c r="G40" s="19">
        <v>0</v>
      </c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>
        <v>9.9999999999999995E-7</v>
      </c>
      <c r="V40" s="19">
        <v>9.9999999999999995E-7</v>
      </c>
      <c r="W40" s="19"/>
      <c r="X40" s="20"/>
      <c r="Y40" s="19"/>
      <c r="Z40" s="19"/>
      <c r="AA40" s="19"/>
      <c r="AB40" s="13"/>
      <c r="AC40" s="13"/>
      <c r="AD40" s="13"/>
      <c r="AE40" s="13"/>
      <c r="AF40" s="18">
        <v>1</v>
      </c>
      <c r="AG40" s="12"/>
      <c r="AH40" s="12"/>
      <c r="AI40" s="12"/>
      <c r="AJ40" s="12"/>
      <c r="AK40" s="12"/>
      <c r="AL40" s="18"/>
      <c r="AM40" s="18"/>
      <c r="AN40" s="18"/>
      <c r="AX40" s="17">
        <v>35</v>
      </c>
    </row>
    <row r="41" spans="1:50" s="17" customFormat="1" x14ac:dyDescent="0.25">
      <c r="A41" s="19" t="s">
        <v>598</v>
      </c>
      <c r="B41" s="19"/>
      <c r="C41" s="19"/>
      <c r="D41" s="19" t="s">
        <v>349</v>
      </c>
      <c r="E41" s="19">
        <v>0</v>
      </c>
      <c r="F41" s="19">
        <v>0</v>
      </c>
      <c r="G41" s="19">
        <v>0</v>
      </c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>
        <v>9.9999999999999995E-7</v>
      </c>
      <c r="V41" s="19">
        <v>9.9999999999999995E-7</v>
      </c>
      <c r="W41" s="19"/>
      <c r="X41" s="20"/>
      <c r="Y41" s="19"/>
      <c r="Z41" s="19"/>
      <c r="AA41" s="19"/>
      <c r="AB41" s="13"/>
      <c r="AC41" s="13"/>
      <c r="AD41" s="13"/>
      <c r="AE41" s="13"/>
      <c r="AF41" s="18">
        <v>1</v>
      </c>
      <c r="AG41" s="12"/>
      <c r="AH41" s="12"/>
      <c r="AI41" s="12"/>
      <c r="AJ41" s="12"/>
      <c r="AK41" s="12"/>
      <c r="AL41" s="18"/>
      <c r="AM41" s="18"/>
      <c r="AN41" s="18"/>
      <c r="AX41" s="17">
        <v>36</v>
      </c>
    </row>
    <row r="42" spans="1:50" s="17" customFormat="1" x14ac:dyDescent="0.25">
      <c r="A42" s="19" t="s">
        <v>599</v>
      </c>
      <c r="B42" s="19"/>
      <c r="C42" s="19"/>
      <c r="D42" s="19" t="s">
        <v>349</v>
      </c>
      <c r="E42" s="19">
        <v>0</v>
      </c>
      <c r="F42" s="19">
        <v>0</v>
      </c>
      <c r="G42" s="19">
        <v>0</v>
      </c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>
        <v>9.9999999999999995E-7</v>
      </c>
      <c r="V42" s="19">
        <v>9.9999999999999995E-7</v>
      </c>
      <c r="W42" s="19"/>
      <c r="X42" s="20"/>
      <c r="Y42" s="19"/>
      <c r="Z42" s="19"/>
      <c r="AA42" s="19"/>
      <c r="AB42" s="13"/>
      <c r="AC42" s="13"/>
      <c r="AD42" s="13"/>
      <c r="AE42" s="13"/>
      <c r="AF42" s="18">
        <v>1</v>
      </c>
      <c r="AG42" s="12"/>
      <c r="AH42" s="12"/>
      <c r="AI42" s="12"/>
      <c r="AJ42" s="12"/>
      <c r="AK42" s="12"/>
      <c r="AL42" s="18"/>
      <c r="AM42" s="18"/>
      <c r="AN42" s="18"/>
      <c r="AX42" s="17">
        <v>37</v>
      </c>
    </row>
    <row r="43" spans="1:50" s="17" customFormat="1" x14ac:dyDescent="0.25">
      <c r="A43" s="19" t="s">
        <v>1761</v>
      </c>
      <c r="B43" s="19"/>
      <c r="C43" s="19"/>
      <c r="D43" s="19" t="s">
        <v>349</v>
      </c>
      <c r="E43" s="19"/>
      <c r="F43" s="19">
        <v>0</v>
      </c>
      <c r="G43" s="19">
        <v>0</v>
      </c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>
        <v>9.9999999999999995E-7</v>
      </c>
      <c r="V43" s="19">
        <v>9.9999999999999995E-7</v>
      </c>
      <c r="W43" s="19"/>
      <c r="X43" s="20"/>
      <c r="Y43" s="19"/>
      <c r="Z43" s="19"/>
      <c r="AA43" s="19"/>
      <c r="AB43" s="13"/>
      <c r="AC43" s="13"/>
      <c r="AD43" s="13"/>
      <c r="AE43" s="13"/>
      <c r="AF43" s="18">
        <v>1</v>
      </c>
      <c r="AG43" s="12"/>
      <c r="AH43" s="12"/>
      <c r="AI43" s="12"/>
      <c r="AJ43" s="12"/>
      <c r="AK43" s="12"/>
      <c r="AL43" s="18"/>
      <c r="AM43" s="18"/>
      <c r="AN43" s="18"/>
      <c r="AX43" s="17">
        <v>38</v>
      </c>
    </row>
    <row r="44" spans="1:50" s="17" customFormat="1" x14ac:dyDescent="0.25">
      <c r="A44" s="19" t="s">
        <v>600</v>
      </c>
      <c r="B44" s="19"/>
      <c r="C44" s="19"/>
      <c r="D44" s="19" t="s">
        <v>349</v>
      </c>
      <c r="E44" s="19">
        <v>0</v>
      </c>
      <c r="F44" s="19">
        <v>0</v>
      </c>
      <c r="G44" s="19">
        <v>0</v>
      </c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>
        <v>9.9999999999999995E-7</v>
      </c>
      <c r="V44" s="19">
        <v>9.9999999999999995E-7</v>
      </c>
      <c r="W44" s="19"/>
      <c r="X44" s="20"/>
      <c r="Y44" s="19"/>
      <c r="Z44" s="19"/>
      <c r="AA44" s="19"/>
      <c r="AB44" s="13"/>
      <c r="AC44" s="13"/>
      <c r="AD44" s="13"/>
      <c r="AE44" s="13"/>
      <c r="AF44" s="18">
        <v>1</v>
      </c>
      <c r="AG44" s="12"/>
      <c r="AH44" s="12"/>
      <c r="AI44" s="12"/>
      <c r="AJ44" s="12"/>
      <c r="AK44" s="12"/>
      <c r="AL44" s="18"/>
      <c r="AM44" s="18"/>
      <c r="AN44" s="18"/>
      <c r="AX44" s="17">
        <v>39</v>
      </c>
    </row>
    <row r="45" spans="1:50" s="17" customFormat="1" x14ac:dyDescent="0.25">
      <c r="A45" s="19" t="s">
        <v>601</v>
      </c>
      <c r="B45" s="19"/>
      <c r="C45" s="19"/>
      <c r="D45" s="19" t="s">
        <v>349</v>
      </c>
      <c r="E45" s="19">
        <v>0</v>
      </c>
      <c r="F45" s="19">
        <v>0</v>
      </c>
      <c r="G45" s="19">
        <v>0</v>
      </c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>
        <v>9.9999999999999995E-7</v>
      </c>
      <c r="V45" s="19">
        <v>9.9999999999999995E-7</v>
      </c>
      <c r="W45" s="19"/>
      <c r="X45" s="20"/>
      <c r="Y45" s="19"/>
      <c r="Z45" s="19"/>
      <c r="AA45" s="19"/>
      <c r="AB45" s="13"/>
      <c r="AC45" s="13"/>
      <c r="AD45" s="13"/>
      <c r="AE45" s="13"/>
      <c r="AF45" s="18">
        <v>1</v>
      </c>
      <c r="AG45" s="12"/>
      <c r="AH45" s="12"/>
      <c r="AI45" s="12"/>
      <c r="AJ45" s="12"/>
      <c r="AK45" s="12"/>
      <c r="AL45" s="18"/>
      <c r="AM45" s="18"/>
      <c r="AN45" s="18"/>
      <c r="AX45" s="17">
        <v>40</v>
      </c>
    </row>
    <row r="46" spans="1:50" s="17" customFormat="1" x14ac:dyDescent="0.25">
      <c r="A46" s="19" t="s">
        <v>602</v>
      </c>
      <c r="B46" s="19"/>
      <c r="C46" s="19"/>
      <c r="D46" s="19" t="s">
        <v>349</v>
      </c>
      <c r="E46" s="19">
        <v>0</v>
      </c>
      <c r="F46" s="19">
        <v>0</v>
      </c>
      <c r="G46" s="19">
        <v>0</v>
      </c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>
        <v>9.9999999999999995E-7</v>
      </c>
      <c r="V46" s="19">
        <v>9.9999999999999995E-7</v>
      </c>
      <c r="W46" s="19"/>
      <c r="X46" s="20"/>
      <c r="Y46" s="19"/>
      <c r="Z46" s="19"/>
      <c r="AA46" s="19"/>
      <c r="AB46" s="13"/>
      <c r="AC46" s="13"/>
      <c r="AD46" s="13"/>
      <c r="AE46" s="13"/>
      <c r="AF46" s="18">
        <v>1</v>
      </c>
      <c r="AG46" s="12"/>
      <c r="AH46" s="12"/>
      <c r="AI46" s="12"/>
      <c r="AJ46" s="12"/>
      <c r="AK46" s="12"/>
      <c r="AL46" s="18"/>
      <c r="AM46" s="18"/>
      <c r="AN46" s="18"/>
      <c r="AX46" s="17">
        <v>41</v>
      </c>
    </row>
    <row r="47" spans="1:50" s="17" customFormat="1" x14ac:dyDescent="0.25">
      <c r="A47" s="19" t="s">
        <v>1762</v>
      </c>
      <c r="B47" s="19"/>
      <c r="C47" s="19"/>
      <c r="D47" s="19" t="s">
        <v>349</v>
      </c>
      <c r="E47" s="19"/>
      <c r="F47" s="19">
        <v>0</v>
      </c>
      <c r="G47" s="19">
        <v>0</v>
      </c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>
        <v>9.9999999999999995E-7</v>
      </c>
      <c r="V47" s="19">
        <v>9.9999999999999995E-7</v>
      </c>
      <c r="W47" s="19"/>
      <c r="X47" s="20"/>
      <c r="Y47" s="19"/>
      <c r="Z47" s="19"/>
      <c r="AA47" s="19"/>
      <c r="AB47" s="13"/>
      <c r="AC47" s="13"/>
      <c r="AD47" s="13"/>
      <c r="AE47" s="13"/>
      <c r="AF47" s="18">
        <v>1</v>
      </c>
      <c r="AG47" s="12"/>
      <c r="AH47" s="12"/>
      <c r="AI47" s="12"/>
      <c r="AJ47" s="12"/>
      <c r="AK47" s="12"/>
      <c r="AL47" s="18"/>
      <c r="AM47" s="18"/>
      <c r="AN47" s="18"/>
      <c r="AX47" s="17">
        <v>42</v>
      </c>
    </row>
    <row r="48" spans="1:50" s="17" customFormat="1" x14ac:dyDescent="0.25">
      <c r="A48" s="19" t="s">
        <v>603</v>
      </c>
      <c r="B48" s="19"/>
      <c r="C48" s="19"/>
      <c r="D48" s="19" t="s">
        <v>349</v>
      </c>
      <c r="E48" s="19">
        <v>-2.3179904740100454E-7</v>
      </c>
      <c r="F48" s="19">
        <v>0</v>
      </c>
      <c r="G48" s="19">
        <v>0</v>
      </c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>
        <v>9.9999999999999995E-7</v>
      </c>
      <c r="V48" s="19">
        <v>9.9999999999999995E-7</v>
      </c>
      <c r="W48" s="19"/>
      <c r="X48" s="20"/>
      <c r="Y48" s="19"/>
      <c r="Z48" s="19"/>
      <c r="AA48" s="19"/>
      <c r="AB48" s="13"/>
      <c r="AC48" s="13"/>
      <c r="AD48" s="13"/>
      <c r="AE48" s="13"/>
      <c r="AF48" s="18">
        <v>1</v>
      </c>
      <c r="AG48" s="12"/>
      <c r="AH48" s="12"/>
      <c r="AI48" s="12"/>
      <c r="AJ48" s="12"/>
      <c r="AK48" s="12"/>
      <c r="AL48" s="18"/>
      <c r="AM48" s="18"/>
      <c r="AN48" s="18"/>
      <c r="AX48" s="17">
        <v>43</v>
      </c>
    </row>
    <row r="49" spans="1:50" s="17" customFormat="1" x14ac:dyDescent="0.25">
      <c r="A49" s="19" t="s">
        <v>604</v>
      </c>
      <c r="B49" s="19"/>
      <c r="C49" s="19"/>
      <c r="D49" s="19" t="s">
        <v>349</v>
      </c>
      <c r="E49" s="19">
        <v>6.9148184622669362E-8</v>
      </c>
      <c r="F49" s="19">
        <v>0</v>
      </c>
      <c r="G49" s="19">
        <v>0</v>
      </c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>
        <v>9.9999999999999995E-7</v>
      </c>
      <c r="V49" s="19">
        <v>9.9999999999999995E-7</v>
      </c>
      <c r="W49" s="19"/>
      <c r="X49" s="20"/>
      <c r="Y49" s="19"/>
      <c r="Z49" s="19"/>
      <c r="AA49" s="19"/>
      <c r="AB49" s="13"/>
      <c r="AC49" s="13"/>
      <c r="AD49" s="13"/>
      <c r="AE49" s="13"/>
      <c r="AF49" s="18">
        <v>1</v>
      </c>
      <c r="AG49" s="12"/>
      <c r="AH49" s="12"/>
      <c r="AI49" s="12"/>
      <c r="AJ49" s="12"/>
      <c r="AK49" s="12"/>
      <c r="AL49" s="18"/>
      <c r="AM49" s="18"/>
      <c r="AN49" s="18"/>
      <c r="AX49" s="17">
        <v>44</v>
      </c>
    </row>
    <row r="50" spans="1:50" s="17" customFormat="1" x14ac:dyDescent="0.25">
      <c r="A50" s="19" t="s">
        <v>605</v>
      </c>
      <c r="B50" s="19"/>
      <c r="C50" s="19"/>
      <c r="D50" s="19" t="s">
        <v>349</v>
      </c>
      <c r="E50" s="19">
        <v>3.3322970860449885E-7</v>
      </c>
      <c r="F50" s="19">
        <v>0</v>
      </c>
      <c r="G50" s="19">
        <v>0</v>
      </c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>
        <v>9.9999999999999995E-7</v>
      </c>
      <c r="V50" s="19">
        <v>9.9999999999999995E-7</v>
      </c>
      <c r="W50" s="19"/>
      <c r="X50" s="20"/>
      <c r="Y50" s="19"/>
      <c r="Z50" s="19"/>
      <c r="AA50" s="19"/>
      <c r="AB50" s="13"/>
      <c r="AC50" s="13"/>
      <c r="AD50" s="13"/>
      <c r="AE50" s="13"/>
      <c r="AF50" s="18">
        <v>1</v>
      </c>
      <c r="AG50" s="12"/>
      <c r="AH50" s="12"/>
      <c r="AI50" s="12"/>
      <c r="AJ50" s="12"/>
      <c r="AK50" s="12"/>
      <c r="AL50" s="18"/>
      <c r="AM50" s="18"/>
      <c r="AN50" s="18"/>
      <c r="AX50" s="17">
        <v>45</v>
      </c>
    </row>
    <row r="51" spans="1:50" s="17" customFormat="1" x14ac:dyDescent="0.25">
      <c r="A51" s="19" t="s">
        <v>606</v>
      </c>
      <c r="B51" s="19"/>
      <c r="C51" s="19"/>
      <c r="D51" s="19" t="s">
        <v>349</v>
      </c>
      <c r="E51" s="19">
        <v>1.032428777136829E-6</v>
      </c>
      <c r="F51" s="19">
        <v>0</v>
      </c>
      <c r="G51" s="19">
        <v>0</v>
      </c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>
        <v>9.9999999999999995E-7</v>
      </c>
      <c r="V51" s="19">
        <v>9.9999999999999995E-7</v>
      </c>
      <c r="W51" s="19"/>
      <c r="X51" s="20"/>
      <c r="Y51" s="19"/>
      <c r="Z51" s="19"/>
      <c r="AA51" s="19"/>
      <c r="AB51" s="13"/>
      <c r="AC51" s="13"/>
      <c r="AD51" s="13"/>
      <c r="AE51" s="13"/>
      <c r="AF51" s="18">
        <v>1</v>
      </c>
      <c r="AG51" s="12"/>
      <c r="AH51" s="12"/>
      <c r="AI51" s="12"/>
      <c r="AJ51" s="12"/>
      <c r="AK51" s="12"/>
      <c r="AL51" s="18"/>
      <c r="AM51" s="18"/>
      <c r="AN51" s="18"/>
      <c r="AX51" s="17">
        <v>46</v>
      </c>
    </row>
    <row r="52" spans="1:50" s="17" customFormat="1" x14ac:dyDescent="0.25">
      <c r="A52" s="19" t="s">
        <v>607</v>
      </c>
      <c r="B52" s="19"/>
      <c r="C52" s="19"/>
      <c r="D52" s="19" t="s">
        <v>349</v>
      </c>
      <c r="E52" s="19">
        <v>-2.0415511201576919E-6</v>
      </c>
      <c r="F52" s="19">
        <v>0</v>
      </c>
      <c r="G52" s="19">
        <v>0</v>
      </c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>
        <v>9.9999999999999995E-7</v>
      </c>
      <c r="V52" s="19">
        <v>9.9999999999999995E-7</v>
      </c>
      <c r="W52" s="19"/>
      <c r="X52" s="20"/>
      <c r="Y52" s="19"/>
      <c r="Z52" s="19"/>
      <c r="AA52" s="19"/>
      <c r="AB52" s="13"/>
      <c r="AC52" s="13"/>
      <c r="AD52" s="13"/>
      <c r="AE52" s="13"/>
      <c r="AF52" s="18">
        <v>1</v>
      </c>
      <c r="AG52" s="12"/>
      <c r="AH52" s="12"/>
      <c r="AI52" s="12"/>
      <c r="AJ52" s="12"/>
      <c r="AK52" s="12"/>
      <c r="AL52" s="18"/>
      <c r="AM52" s="18"/>
      <c r="AN52" s="18"/>
      <c r="AX52" s="17">
        <v>47</v>
      </c>
    </row>
    <row r="53" spans="1:50" s="17" customFormat="1" x14ac:dyDescent="0.25">
      <c r="A53" s="19" t="s">
        <v>608</v>
      </c>
      <c r="B53" s="19"/>
      <c r="C53" s="19"/>
      <c r="D53" s="19" t="s">
        <v>349</v>
      </c>
      <c r="E53" s="19">
        <v>1.6174894881260116E-6</v>
      </c>
      <c r="F53" s="19">
        <v>0</v>
      </c>
      <c r="G53" s="19">
        <v>0</v>
      </c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>
        <v>9.9999999999999995E-7</v>
      </c>
      <c r="V53" s="19">
        <v>9.9999999999999995E-7</v>
      </c>
      <c r="W53" s="19"/>
      <c r="X53" s="20"/>
      <c r="Y53" s="19"/>
      <c r="Z53" s="19"/>
      <c r="AA53" s="19"/>
      <c r="AB53" s="13"/>
      <c r="AC53" s="13"/>
      <c r="AD53" s="13"/>
      <c r="AE53" s="13"/>
      <c r="AF53" s="18">
        <v>1</v>
      </c>
      <c r="AG53" s="12"/>
      <c r="AH53" s="12"/>
      <c r="AI53" s="12"/>
      <c r="AJ53" s="12"/>
      <c r="AK53" s="12"/>
      <c r="AL53" s="18"/>
      <c r="AM53" s="18"/>
      <c r="AN53" s="18"/>
      <c r="AX53" s="17">
        <v>48</v>
      </c>
    </row>
    <row r="54" spans="1:50" s="17" customFormat="1" x14ac:dyDescent="0.25">
      <c r="A54" s="19" t="s">
        <v>609</v>
      </c>
      <c r="B54" s="19"/>
      <c r="C54" s="19"/>
      <c r="D54" s="19" t="s">
        <v>349</v>
      </c>
      <c r="E54" s="19">
        <v>9.1291582926089632E-5</v>
      </c>
      <c r="F54" s="19">
        <v>0</v>
      </c>
      <c r="G54" s="19">
        <v>0</v>
      </c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>
        <v>9.9999999999999995E-7</v>
      </c>
      <c r="V54" s="19">
        <v>9.9999999999999995E-7</v>
      </c>
      <c r="W54" s="19"/>
      <c r="X54" s="20"/>
      <c r="Y54" s="19"/>
      <c r="Z54" s="19"/>
      <c r="AA54" s="19"/>
      <c r="AB54" s="13"/>
      <c r="AC54" s="13"/>
      <c r="AD54" s="13"/>
      <c r="AE54" s="13"/>
      <c r="AF54" s="18">
        <v>1</v>
      </c>
      <c r="AG54" s="12"/>
      <c r="AH54" s="12"/>
      <c r="AI54" s="12"/>
      <c r="AJ54" s="12"/>
      <c r="AK54" s="12"/>
      <c r="AL54" s="18"/>
      <c r="AM54" s="18"/>
      <c r="AN54" s="18"/>
      <c r="AX54" s="17">
        <v>49</v>
      </c>
    </row>
    <row r="55" spans="1:50" s="17" customFormat="1" x14ac:dyDescent="0.25">
      <c r="A55" s="19" t="s">
        <v>610</v>
      </c>
      <c r="B55" s="19"/>
      <c r="C55" s="19"/>
      <c r="D55" s="19" t="s">
        <v>349</v>
      </c>
      <c r="E55" s="19">
        <v>5.2190364968396352E-5</v>
      </c>
      <c r="F55" s="19">
        <v>0</v>
      </c>
      <c r="G55" s="19">
        <v>0</v>
      </c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>
        <v>9.9999999999999995E-7</v>
      </c>
      <c r="V55" s="19">
        <v>9.9999999999999995E-7</v>
      </c>
      <c r="W55" s="19"/>
      <c r="X55" s="20"/>
      <c r="Y55" s="19"/>
      <c r="Z55" s="19"/>
      <c r="AA55" s="19"/>
      <c r="AB55" s="13"/>
      <c r="AC55" s="13"/>
      <c r="AD55" s="13"/>
      <c r="AE55" s="13"/>
      <c r="AF55" s="18">
        <v>1</v>
      </c>
      <c r="AG55" s="12"/>
      <c r="AH55" s="12"/>
      <c r="AI55" s="12"/>
      <c r="AJ55" s="12"/>
      <c r="AK55" s="12"/>
      <c r="AL55" s="18"/>
      <c r="AM55" s="18"/>
      <c r="AN55" s="18"/>
      <c r="AX55" s="17">
        <v>50</v>
      </c>
    </row>
    <row r="56" spans="1:50" s="17" customFormat="1" x14ac:dyDescent="0.25">
      <c r="A56" s="19" t="s">
        <v>611</v>
      </c>
      <c r="B56" s="19"/>
      <c r="C56" s="19"/>
      <c r="D56" s="19" t="s">
        <v>349</v>
      </c>
      <c r="E56" s="19">
        <v>1.1738389872562038E-5</v>
      </c>
      <c r="F56" s="19">
        <v>0</v>
      </c>
      <c r="G56" s="19">
        <v>0</v>
      </c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>
        <v>9.9999999999999995E-7</v>
      </c>
      <c r="V56" s="19">
        <v>9.9999999999999995E-7</v>
      </c>
      <c r="W56" s="19"/>
      <c r="X56" s="20"/>
      <c r="Y56" s="19"/>
      <c r="Z56" s="19"/>
      <c r="AA56" s="19"/>
      <c r="AB56" s="13"/>
      <c r="AC56" s="13"/>
      <c r="AD56" s="13"/>
      <c r="AE56" s="13"/>
      <c r="AF56" s="18">
        <v>1</v>
      </c>
      <c r="AG56" s="12"/>
      <c r="AH56" s="12"/>
      <c r="AI56" s="12"/>
      <c r="AJ56" s="12"/>
      <c r="AK56" s="12"/>
      <c r="AL56" s="18"/>
      <c r="AM56" s="18"/>
      <c r="AN56" s="18"/>
      <c r="AX56" s="17">
        <v>51</v>
      </c>
    </row>
    <row r="57" spans="1:50" s="17" customFormat="1" x14ac:dyDescent="0.25">
      <c r="A57" s="19" t="s">
        <v>612</v>
      </c>
      <c r="B57" s="19"/>
      <c r="C57" s="19"/>
      <c r="D57" s="19" t="s">
        <v>349</v>
      </c>
      <c r="E57" s="19">
        <v>3.0243052560763317E-4</v>
      </c>
      <c r="F57" s="19">
        <v>0</v>
      </c>
      <c r="G57" s="19">
        <v>0</v>
      </c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>
        <v>9.9999999999999995E-7</v>
      </c>
      <c r="V57" s="19">
        <v>9.9999999999999995E-7</v>
      </c>
      <c r="W57" s="19"/>
      <c r="X57" s="20"/>
      <c r="Y57" s="19"/>
      <c r="Z57" s="19"/>
      <c r="AA57" s="19"/>
      <c r="AB57" s="13"/>
      <c r="AC57" s="13"/>
      <c r="AD57" s="13"/>
      <c r="AE57" s="13"/>
      <c r="AF57" s="18">
        <v>1</v>
      </c>
      <c r="AG57" s="12"/>
      <c r="AH57" s="12"/>
      <c r="AI57" s="12"/>
      <c r="AJ57" s="12"/>
      <c r="AK57" s="12"/>
      <c r="AL57" s="18"/>
      <c r="AM57" s="18"/>
      <c r="AN57" s="18"/>
      <c r="AX57" s="17">
        <v>52</v>
      </c>
    </row>
    <row r="58" spans="1:50" s="17" customFormat="1" x14ac:dyDescent="0.25">
      <c r="A58" s="19" t="s">
        <v>613</v>
      </c>
      <c r="B58" s="19"/>
      <c r="C58" s="19"/>
      <c r="D58" s="19" t="s">
        <v>349</v>
      </c>
      <c r="E58" s="19">
        <v>-5.6522936574765481E-5</v>
      </c>
      <c r="F58" s="19">
        <v>0</v>
      </c>
      <c r="G58" s="19">
        <v>0</v>
      </c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>
        <v>9.9999999999999995E-7</v>
      </c>
      <c r="V58" s="19">
        <v>9.9999999999999995E-7</v>
      </c>
      <c r="W58" s="19"/>
      <c r="X58" s="20"/>
      <c r="Y58" s="19"/>
      <c r="Z58" s="19"/>
      <c r="AA58" s="19"/>
      <c r="AB58" s="13"/>
      <c r="AC58" s="13"/>
      <c r="AD58" s="13"/>
      <c r="AE58" s="13"/>
      <c r="AF58" s="18">
        <v>1</v>
      </c>
      <c r="AG58" s="12"/>
      <c r="AH58" s="12"/>
      <c r="AI58" s="12"/>
      <c r="AJ58" s="12"/>
      <c r="AK58" s="12"/>
      <c r="AL58" s="18"/>
      <c r="AM58" s="18"/>
      <c r="AN58" s="18"/>
      <c r="AX58" s="17">
        <v>53</v>
      </c>
    </row>
    <row r="59" spans="1:50" s="17" customFormat="1" x14ac:dyDescent="0.25">
      <c r="A59" s="19" t="s">
        <v>614</v>
      </c>
      <c r="B59" s="19"/>
      <c r="C59" s="19"/>
      <c r="D59" s="19" t="s">
        <v>349</v>
      </c>
      <c r="E59" s="19">
        <v>-7.7354325185297057E-5</v>
      </c>
      <c r="F59" s="19">
        <v>0</v>
      </c>
      <c r="G59" s="19">
        <v>0</v>
      </c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>
        <v>9.9999999999999995E-7</v>
      </c>
      <c r="V59" s="19">
        <v>9.9999999999999995E-7</v>
      </c>
      <c r="W59" s="19"/>
      <c r="X59" s="20"/>
      <c r="Y59" s="19"/>
      <c r="Z59" s="19"/>
      <c r="AA59" s="19"/>
      <c r="AB59" s="13"/>
      <c r="AC59" s="13"/>
      <c r="AD59" s="13"/>
      <c r="AE59" s="13"/>
      <c r="AF59" s="18">
        <v>1</v>
      </c>
      <c r="AG59" s="12"/>
      <c r="AH59" s="12"/>
      <c r="AI59" s="12"/>
      <c r="AJ59" s="12"/>
      <c r="AK59" s="12"/>
      <c r="AL59" s="18"/>
      <c r="AM59" s="18"/>
      <c r="AN59" s="18"/>
      <c r="AX59" s="17">
        <v>54</v>
      </c>
    </row>
    <row r="60" spans="1:50" s="17" customFormat="1" x14ac:dyDescent="0.25">
      <c r="A60" s="19" t="s">
        <v>615</v>
      </c>
      <c r="B60" s="19"/>
      <c r="C60" s="19"/>
      <c r="D60" s="19" t="s">
        <v>349</v>
      </c>
      <c r="E60" s="19">
        <v>6.2623026140045113E-3</v>
      </c>
      <c r="F60" s="19">
        <v>0</v>
      </c>
      <c r="G60" s="19">
        <v>0</v>
      </c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>
        <v>9.9999999999999995E-7</v>
      </c>
      <c r="V60" s="19">
        <v>9.9999999999999995E-7</v>
      </c>
      <c r="W60" s="19"/>
      <c r="X60" s="20"/>
      <c r="Y60" s="19"/>
      <c r="Z60" s="19"/>
      <c r="AA60" s="19"/>
      <c r="AB60" s="13"/>
      <c r="AC60" s="13"/>
      <c r="AD60" s="13"/>
      <c r="AE60" s="13"/>
      <c r="AF60" s="18">
        <v>1</v>
      </c>
      <c r="AG60" s="12"/>
      <c r="AH60" s="12"/>
      <c r="AI60" s="12"/>
      <c r="AJ60" s="12"/>
      <c r="AK60" s="12"/>
      <c r="AL60" s="18"/>
      <c r="AM60" s="18"/>
      <c r="AN60" s="18"/>
      <c r="AX60" s="17">
        <v>55</v>
      </c>
    </row>
    <row r="61" spans="1:50" s="17" customFormat="1" x14ac:dyDescent="0.25">
      <c r="A61" s="19" t="s">
        <v>616</v>
      </c>
      <c r="B61" s="19"/>
      <c r="C61" s="19"/>
      <c r="D61" s="19" t="s">
        <v>349</v>
      </c>
      <c r="E61" s="19">
        <v>-9.0176757930748863E-4</v>
      </c>
      <c r="F61" s="19">
        <v>0</v>
      </c>
      <c r="G61" s="19">
        <v>0</v>
      </c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>
        <v>9.9999999999999995E-7</v>
      </c>
      <c r="V61" s="19">
        <v>9.9999999999999995E-7</v>
      </c>
      <c r="W61" s="19"/>
      <c r="X61" s="20"/>
      <c r="Y61" s="19"/>
      <c r="Z61" s="19"/>
      <c r="AA61" s="19"/>
      <c r="AB61" s="13"/>
      <c r="AC61" s="13"/>
      <c r="AD61" s="13"/>
      <c r="AE61" s="13"/>
      <c r="AF61" s="18">
        <v>1</v>
      </c>
      <c r="AG61" s="12"/>
      <c r="AH61" s="12"/>
      <c r="AI61" s="12"/>
      <c r="AJ61" s="12"/>
      <c r="AK61" s="12"/>
      <c r="AL61" s="18"/>
      <c r="AM61" s="18"/>
      <c r="AN61" s="18"/>
      <c r="AX61" s="17">
        <v>56</v>
      </c>
    </row>
    <row r="62" spans="1:50" s="17" customFormat="1" x14ac:dyDescent="0.25">
      <c r="A62" s="19" t="s">
        <v>617</v>
      </c>
      <c r="B62" s="19"/>
      <c r="C62" s="19"/>
      <c r="D62" s="19" t="s">
        <v>349</v>
      </c>
      <c r="E62" s="19">
        <v>-1.234666555660624E-7</v>
      </c>
      <c r="F62" s="19">
        <v>0</v>
      </c>
      <c r="G62" s="19">
        <v>0</v>
      </c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>
        <v>9.9999999999999995E-7</v>
      </c>
      <c r="V62" s="19">
        <v>9.9999999999999995E-7</v>
      </c>
      <c r="W62" s="19"/>
      <c r="X62" s="20"/>
      <c r="Y62" s="19"/>
      <c r="Z62" s="19"/>
      <c r="AA62" s="19"/>
      <c r="AB62" s="13"/>
      <c r="AC62" s="13"/>
      <c r="AD62" s="13"/>
      <c r="AE62" s="13"/>
      <c r="AF62" s="18">
        <v>1</v>
      </c>
      <c r="AG62" s="12"/>
      <c r="AH62" s="12"/>
      <c r="AI62" s="12"/>
      <c r="AJ62" s="12"/>
      <c r="AK62" s="12"/>
      <c r="AL62" s="18"/>
      <c r="AM62" s="18"/>
      <c r="AN62" s="18"/>
      <c r="AX62" s="17">
        <v>57</v>
      </c>
    </row>
    <row r="63" spans="1:50" s="17" customFormat="1" x14ac:dyDescent="0.25">
      <c r="A63" s="19" t="s">
        <v>618</v>
      </c>
      <c r="B63" s="19"/>
      <c r="C63" s="19"/>
      <c r="D63" s="19" t="s">
        <v>349</v>
      </c>
      <c r="E63" s="19">
        <v>8.6544868516114093E-7</v>
      </c>
      <c r="F63" s="19">
        <v>0</v>
      </c>
      <c r="G63" s="19">
        <v>0</v>
      </c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>
        <v>9.9999999999999995E-7</v>
      </c>
      <c r="V63" s="19">
        <v>9.9999999999999995E-7</v>
      </c>
      <c r="W63" s="19"/>
      <c r="X63" s="20"/>
      <c r="Y63" s="19"/>
      <c r="Z63" s="19"/>
      <c r="AA63" s="19"/>
      <c r="AB63" s="13"/>
      <c r="AC63" s="13"/>
      <c r="AD63" s="13"/>
      <c r="AE63" s="13"/>
      <c r="AF63" s="18">
        <v>1</v>
      </c>
      <c r="AG63" s="12"/>
      <c r="AH63" s="12"/>
      <c r="AI63" s="12"/>
      <c r="AJ63" s="12"/>
      <c r="AK63" s="12"/>
      <c r="AL63" s="18"/>
      <c r="AM63" s="18"/>
      <c r="AN63" s="18"/>
      <c r="AX63" s="17">
        <v>58</v>
      </c>
    </row>
    <row r="64" spans="1:50" s="17" customFormat="1" x14ac:dyDescent="0.25">
      <c r="A64" s="19" t="s">
        <v>619</v>
      </c>
      <c r="B64" s="19"/>
      <c r="C64" s="19"/>
      <c r="D64" s="19" t="s">
        <v>349</v>
      </c>
      <c r="E64" s="19">
        <v>3.1178624482208761E-7</v>
      </c>
      <c r="F64" s="19">
        <v>0</v>
      </c>
      <c r="G64" s="19">
        <v>0</v>
      </c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>
        <v>9.9999999999999995E-7</v>
      </c>
      <c r="V64" s="19">
        <v>9.9999999999999995E-7</v>
      </c>
      <c r="W64" s="19"/>
      <c r="X64" s="20"/>
      <c r="Y64" s="19"/>
      <c r="Z64" s="19"/>
      <c r="AA64" s="19"/>
      <c r="AB64" s="13"/>
      <c r="AC64" s="13"/>
      <c r="AD64" s="13"/>
      <c r="AE64" s="13"/>
      <c r="AF64" s="18">
        <v>1</v>
      </c>
      <c r="AG64" s="12"/>
      <c r="AH64" s="12"/>
      <c r="AI64" s="12"/>
      <c r="AJ64" s="12"/>
      <c r="AK64" s="12"/>
      <c r="AL64" s="18"/>
      <c r="AM64" s="18"/>
      <c r="AN64" s="18"/>
      <c r="AX64" s="17">
        <v>59</v>
      </c>
    </row>
    <row r="65" spans="1:50" s="17" customFormat="1" x14ac:dyDescent="0.25">
      <c r="A65" s="19" t="s">
        <v>620</v>
      </c>
      <c r="B65" s="19"/>
      <c r="C65" s="19"/>
      <c r="D65" s="19" t="s">
        <v>349</v>
      </c>
      <c r="E65" s="19">
        <v>0</v>
      </c>
      <c r="F65" s="19">
        <v>0</v>
      </c>
      <c r="G65" s="19">
        <v>0</v>
      </c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>
        <v>9.9999999999999995E-7</v>
      </c>
      <c r="V65" s="19">
        <v>9.9999999999999995E-7</v>
      </c>
      <c r="W65" s="19"/>
      <c r="X65" s="20"/>
      <c r="Y65" s="19"/>
      <c r="Z65" s="19"/>
      <c r="AA65" s="19"/>
      <c r="AB65" s="13"/>
      <c r="AC65" s="13"/>
      <c r="AD65" s="13"/>
      <c r="AE65" s="13"/>
      <c r="AF65" s="18">
        <v>1</v>
      </c>
      <c r="AG65" s="12"/>
      <c r="AH65" s="12"/>
      <c r="AI65" s="12"/>
      <c r="AJ65" s="12"/>
      <c r="AK65" s="12"/>
      <c r="AL65" s="18"/>
      <c r="AM65" s="18"/>
      <c r="AN65" s="18"/>
      <c r="AX65" s="17">
        <v>60</v>
      </c>
    </row>
    <row r="66" spans="1:50" s="17" customFormat="1" x14ac:dyDescent="0.25">
      <c r="A66" s="19" t="s">
        <v>621</v>
      </c>
      <c r="B66" s="19"/>
      <c r="C66" s="19"/>
      <c r="D66" s="19" t="s">
        <v>349</v>
      </c>
      <c r="E66" s="19">
        <v>0</v>
      </c>
      <c r="F66" s="19">
        <v>0</v>
      </c>
      <c r="G66" s="19">
        <v>0</v>
      </c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>
        <v>9.9999999999999995E-7</v>
      </c>
      <c r="V66" s="19">
        <v>9.9999999999999995E-7</v>
      </c>
      <c r="W66" s="19"/>
      <c r="X66" s="20"/>
      <c r="Y66" s="19"/>
      <c r="Z66" s="19"/>
      <c r="AA66" s="19"/>
      <c r="AB66" s="13"/>
      <c r="AC66" s="13"/>
      <c r="AD66" s="13"/>
      <c r="AE66" s="13"/>
      <c r="AF66" s="18">
        <v>1</v>
      </c>
      <c r="AG66" s="12"/>
      <c r="AH66" s="12"/>
      <c r="AI66" s="12"/>
      <c r="AJ66" s="12"/>
      <c r="AK66" s="12"/>
      <c r="AL66" s="18"/>
      <c r="AM66" s="18"/>
      <c r="AN66" s="18"/>
      <c r="AX66" s="17">
        <v>61</v>
      </c>
    </row>
    <row r="67" spans="1:50" s="17" customFormat="1" x14ac:dyDescent="0.25">
      <c r="A67" s="19" t="s">
        <v>622</v>
      </c>
      <c r="B67" s="19"/>
      <c r="C67" s="19"/>
      <c r="D67" s="19" t="s">
        <v>349</v>
      </c>
      <c r="E67" s="19">
        <v>0</v>
      </c>
      <c r="F67" s="19">
        <v>0</v>
      </c>
      <c r="G67" s="19">
        <v>0</v>
      </c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>
        <v>9.9999999999999995E-7</v>
      </c>
      <c r="V67" s="19">
        <v>9.9999999999999995E-7</v>
      </c>
      <c r="W67" s="19"/>
      <c r="X67" s="20"/>
      <c r="Y67" s="19"/>
      <c r="Z67" s="19"/>
      <c r="AA67" s="19"/>
      <c r="AB67" s="13"/>
      <c r="AC67" s="13"/>
      <c r="AD67" s="13"/>
      <c r="AE67" s="13"/>
      <c r="AF67" s="18">
        <v>1</v>
      </c>
      <c r="AG67" s="12"/>
      <c r="AH67" s="12"/>
      <c r="AI67" s="12"/>
      <c r="AJ67" s="12"/>
      <c r="AK67" s="12"/>
      <c r="AL67" s="18"/>
      <c r="AM67" s="18"/>
      <c r="AN67" s="18"/>
      <c r="AX67" s="17">
        <v>62</v>
      </c>
    </row>
    <row r="68" spans="1:50" s="17" customFormat="1" x14ac:dyDescent="0.25">
      <c r="A68" s="19" t="s">
        <v>556</v>
      </c>
      <c r="B68" s="19"/>
      <c r="C68" s="19"/>
      <c r="D68" s="19" t="s">
        <v>349</v>
      </c>
      <c r="E68" s="19">
        <v>0</v>
      </c>
      <c r="F68" s="19">
        <v>0</v>
      </c>
      <c r="G68" s="19">
        <v>0</v>
      </c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>
        <v>9.9999999999999995E-7</v>
      </c>
      <c r="V68" s="19">
        <v>9.9999999999999995E-7</v>
      </c>
      <c r="W68" s="19"/>
      <c r="X68" s="20"/>
      <c r="Y68" s="19"/>
      <c r="Z68" s="19"/>
      <c r="AA68" s="19"/>
      <c r="AB68" s="13"/>
      <c r="AC68" s="13"/>
      <c r="AD68" s="13"/>
      <c r="AE68" s="13"/>
      <c r="AF68" s="18">
        <v>1</v>
      </c>
      <c r="AG68" s="12"/>
      <c r="AH68" s="12"/>
      <c r="AI68" s="12"/>
      <c r="AJ68" s="12"/>
      <c r="AK68" s="12"/>
      <c r="AL68" s="18"/>
      <c r="AM68" s="18"/>
      <c r="AN68" s="18"/>
      <c r="AX68" s="17">
        <v>63</v>
      </c>
    </row>
    <row r="69" spans="1:50" s="17" customFormat="1" x14ac:dyDescent="0.25">
      <c r="A69" s="19" t="s">
        <v>658</v>
      </c>
      <c r="B69" s="19"/>
      <c r="C69" s="19"/>
      <c r="D69" s="19" t="s">
        <v>349</v>
      </c>
      <c r="E69" s="19">
        <v>0</v>
      </c>
      <c r="F69" s="19">
        <v>0</v>
      </c>
      <c r="G69" s="19">
        <v>0</v>
      </c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>
        <v>9.9999999999999995E-7</v>
      </c>
      <c r="V69" s="19">
        <v>9.9999999999999995E-7</v>
      </c>
      <c r="W69" s="19"/>
      <c r="X69" s="20"/>
      <c r="Y69" s="19"/>
      <c r="Z69" s="19"/>
      <c r="AA69" s="19"/>
      <c r="AB69" s="13"/>
      <c r="AC69" s="13"/>
      <c r="AD69" s="13"/>
      <c r="AE69" s="13"/>
      <c r="AF69" s="18">
        <v>1</v>
      </c>
      <c r="AG69" s="12"/>
      <c r="AH69" s="12"/>
      <c r="AI69" s="12"/>
      <c r="AJ69" s="12"/>
      <c r="AK69" s="12"/>
      <c r="AL69" s="18"/>
      <c r="AM69" s="18"/>
      <c r="AN69" s="18"/>
      <c r="AX69" s="17">
        <v>64</v>
      </c>
    </row>
    <row r="70" spans="1:50" s="17" customFormat="1" x14ac:dyDescent="0.25">
      <c r="A70" s="19" t="s">
        <v>659</v>
      </c>
      <c r="B70" s="19"/>
      <c r="C70" s="19"/>
      <c r="D70" s="19" t="s">
        <v>349</v>
      </c>
      <c r="E70" s="19">
        <v>0</v>
      </c>
      <c r="F70" s="19">
        <v>0</v>
      </c>
      <c r="G70" s="19">
        <v>0</v>
      </c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>
        <v>9.9999999999999995E-7</v>
      </c>
      <c r="V70" s="19">
        <v>9.9999999999999995E-7</v>
      </c>
      <c r="W70" s="19"/>
      <c r="X70" s="20"/>
      <c r="Y70" s="19"/>
      <c r="Z70" s="19"/>
      <c r="AA70" s="19"/>
      <c r="AB70" s="13"/>
      <c r="AC70" s="13"/>
      <c r="AD70" s="13"/>
      <c r="AE70" s="13"/>
      <c r="AF70" s="18">
        <v>1</v>
      </c>
      <c r="AG70" s="12"/>
      <c r="AH70" s="12"/>
      <c r="AI70" s="12"/>
      <c r="AJ70" s="12"/>
      <c r="AK70" s="12"/>
      <c r="AL70" s="18"/>
      <c r="AM70" s="18"/>
      <c r="AN70" s="18"/>
      <c r="AX70" s="17">
        <v>65</v>
      </c>
    </row>
    <row r="71" spans="1:50" s="17" customFormat="1" x14ac:dyDescent="0.25">
      <c r="A71" s="19" t="s">
        <v>660</v>
      </c>
      <c r="B71" s="19"/>
      <c r="C71" s="19"/>
      <c r="D71" s="19" t="s">
        <v>349</v>
      </c>
      <c r="E71" s="19">
        <v>0</v>
      </c>
      <c r="F71" s="19">
        <v>0</v>
      </c>
      <c r="G71" s="19">
        <v>0</v>
      </c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>
        <v>9.9999999999999995E-7</v>
      </c>
      <c r="V71" s="19">
        <v>9.9999999999999995E-7</v>
      </c>
      <c r="W71" s="19"/>
      <c r="X71" s="20"/>
      <c r="Y71" s="19"/>
      <c r="Z71" s="19"/>
      <c r="AA71" s="19"/>
      <c r="AB71" s="13"/>
      <c r="AC71" s="13"/>
      <c r="AD71" s="13"/>
      <c r="AE71" s="13"/>
      <c r="AF71" s="18">
        <v>1</v>
      </c>
      <c r="AG71" s="12"/>
      <c r="AH71" s="12"/>
      <c r="AI71" s="12"/>
      <c r="AJ71" s="12"/>
      <c r="AK71" s="12"/>
      <c r="AL71" s="18"/>
      <c r="AM71" s="18"/>
      <c r="AN71" s="18"/>
      <c r="AX71" s="17">
        <v>66</v>
      </c>
    </row>
    <row r="72" spans="1:50" s="17" customFormat="1" x14ac:dyDescent="0.25">
      <c r="A72" s="19" t="s">
        <v>661</v>
      </c>
      <c r="B72" s="19"/>
      <c r="C72" s="19"/>
      <c r="D72" s="19" t="s">
        <v>349</v>
      </c>
      <c r="E72" s="19">
        <v>0</v>
      </c>
      <c r="F72" s="19">
        <v>0</v>
      </c>
      <c r="G72" s="19">
        <v>0</v>
      </c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>
        <v>9.9999999999999995E-7</v>
      </c>
      <c r="V72" s="19">
        <v>9.9999999999999995E-7</v>
      </c>
      <c r="W72" s="19"/>
      <c r="X72" s="20"/>
      <c r="Y72" s="19"/>
      <c r="Z72" s="19"/>
      <c r="AA72" s="19"/>
      <c r="AB72" s="13"/>
      <c r="AC72" s="13"/>
      <c r="AD72" s="13"/>
      <c r="AE72" s="13"/>
      <c r="AF72" s="18">
        <v>1</v>
      </c>
      <c r="AG72" s="12"/>
      <c r="AH72" s="12"/>
      <c r="AI72" s="12"/>
      <c r="AJ72" s="12"/>
      <c r="AK72" s="12"/>
      <c r="AL72" s="18"/>
      <c r="AM72" s="18"/>
      <c r="AN72" s="18"/>
      <c r="AX72" s="17">
        <v>67</v>
      </c>
    </row>
    <row r="73" spans="1:50" s="17" customFormat="1" x14ac:dyDescent="0.25">
      <c r="A73" s="19" t="s">
        <v>1511</v>
      </c>
      <c r="B73" s="19"/>
      <c r="C73" s="19"/>
      <c r="D73" s="19" t="s">
        <v>349</v>
      </c>
      <c r="E73" s="19">
        <v>0</v>
      </c>
      <c r="F73" s="19">
        <v>0</v>
      </c>
      <c r="G73" s="19">
        <v>0</v>
      </c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>
        <v>9.9999999999999995E-7</v>
      </c>
      <c r="V73" s="19">
        <v>9.9999999999999995E-7</v>
      </c>
      <c r="W73" s="19"/>
      <c r="X73" s="20"/>
      <c r="Y73" s="19"/>
      <c r="Z73" s="19"/>
      <c r="AA73" s="19"/>
      <c r="AB73" s="13"/>
      <c r="AC73" s="13"/>
      <c r="AD73" s="13"/>
      <c r="AE73" s="13"/>
      <c r="AF73" s="18">
        <v>1</v>
      </c>
      <c r="AG73" s="12"/>
      <c r="AH73" s="12"/>
      <c r="AI73" s="12"/>
      <c r="AJ73" s="12"/>
      <c r="AK73" s="12"/>
      <c r="AL73" s="18"/>
      <c r="AM73" s="18"/>
      <c r="AN73" s="18"/>
      <c r="AX73" s="17">
        <v>68</v>
      </c>
    </row>
    <row r="74" spans="1:50" s="17" customFormat="1" x14ac:dyDescent="0.25">
      <c r="A74" s="19" t="s">
        <v>553</v>
      </c>
      <c r="B74" s="19"/>
      <c r="C74" s="19"/>
      <c r="D74" s="19" t="s">
        <v>349</v>
      </c>
      <c r="E74" s="19">
        <v>49.317179922630828</v>
      </c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20"/>
      <c r="Y74" s="19"/>
      <c r="Z74" s="19"/>
      <c r="AA74" s="19"/>
      <c r="AB74" s="13"/>
      <c r="AC74" s="13"/>
      <c r="AD74" s="13"/>
      <c r="AE74" s="13"/>
      <c r="AF74" s="18">
        <v>0</v>
      </c>
      <c r="AG74" s="12"/>
      <c r="AH74" s="12"/>
      <c r="AI74" s="12"/>
      <c r="AJ74" s="12"/>
      <c r="AK74" s="12"/>
      <c r="AL74" s="18"/>
      <c r="AM74" s="18"/>
      <c r="AN74" s="18"/>
      <c r="AX74" s="17">
        <v>69</v>
      </c>
    </row>
    <row r="75" spans="1:50" s="17" customFormat="1" x14ac:dyDescent="0.25">
      <c r="A75" s="19" t="s">
        <v>549</v>
      </c>
      <c r="B75" s="19"/>
      <c r="C75" s="19"/>
      <c r="D75" s="19" t="s">
        <v>349</v>
      </c>
      <c r="E75" s="19">
        <v>0.83919824192352221</v>
      </c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19"/>
      <c r="Z75" s="19"/>
      <c r="AA75" s="19"/>
      <c r="AB75" s="13"/>
      <c r="AC75" s="13"/>
      <c r="AD75" s="13"/>
      <c r="AE75" s="13"/>
      <c r="AF75" s="18">
        <v>0</v>
      </c>
      <c r="AG75" s="12"/>
      <c r="AH75" s="12"/>
      <c r="AI75" s="12"/>
      <c r="AJ75" s="12"/>
      <c r="AK75" s="12"/>
      <c r="AL75" s="18"/>
      <c r="AM75" s="18"/>
      <c r="AN75" s="18"/>
      <c r="AX75" s="17">
        <v>70</v>
      </c>
    </row>
    <row r="76" spans="1:50" s="17" customFormat="1" x14ac:dyDescent="0.25">
      <c r="A76" s="19" t="s">
        <v>552</v>
      </c>
      <c r="B76" s="19"/>
      <c r="C76" s="19"/>
      <c r="D76" s="19" t="s">
        <v>349</v>
      </c>
      <c r="E76" s="19">
        <v>3670.4598530801618</v>
      </c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20"/>
      <c r="Y76" s="19"/>
      <c r="Z76" s="19"/>
      <c r="AA76" s="19"/>
      <c r="AB76" s="13"/>
      <c r="AC76" s="13"/>
      <c r="AD76" s="13"/>
      <c r="AE76" s="13"/>
      <c r="AF76" s="18">
        <v>0</v>
      </c>
      <c r="AG76" s="12"/>
      <c r="AH76" s="12"/>
      <c r="AI76" s="12"/>
      <c r="AJ76" s="12"/>
      <c r="AK76" s="12"/>
      <c r="AL76" s="18"/>
      <c r="AM76" s="18"/>
      <c r="AN76" s="18"/>
      <c r="AX76" s="17">
        <v>71</v>
      </c>
    </row>
    <row r="77" spans="1:50" s="17" customFormat="1" x14ac:dyDescent="0.25">
      <c r="A77" s="19" t="s">
        <v>548</v>
      </c>
      <c r="B77" s="19"/>
      <c r="C77" s="19"/>
      <c r="D77" s="19" t="s">
        <v>349</v>
      </c>
      <c r="E77" s="19">
        <v>415.88234502490582</v>
      </c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20"/>
      <c r="Y77" s="19"/>
      <c r="Z77" s="19"/>
      <c r="AA77" s="19"/>
      <c r="AB77" s="13"/>
      <c r="AC77" s="13"/>
      <c r="AD77" s="13"/>
      <c r="AE77" s="13"/>
      <c r="AF77" s="18">
        <v>0</v>
      </c>
      <c r="AG77" s="12"/>
      <c r="AH77" s="12"/>
      <c r="AI77" s="12"/>
      <c r="AJ77" s="12"/>
      <c r="AK77" s="12"/>
      <c r="AL77" s="18"/>
      <c r="AM77" s="18"/>
      <c r="AN77" s="18"/>
      <c r="AX77" s="17">
        <v>72</v>
      </c>
    </row>
    <row r="78" spans="1:50" s="17" customFormat="1" x14ac:dyDescent="0.25">
      <c r="A78" s="19" t="s">
        <v>550</v>
      </c>
      <c r="B78" s="19"/>
      <c r="C78" s="19"/>
      <c r="D78" s="19" t="s">
        <v>349</v>
      </c>
      <c r="E78" s="19">
        <v>8.9685545655147827</v>
      </c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19"/>
      <c r="Z78" s="19"/>
      <c r="AA78" s="19"/>
      <c r="AB78" s="13"/>
      <c r="AC78" s="13"/>
      <c r="AD78" s="13"/>
      <c r="AE78" s="13"/>
      <c r="AF78" s="18">
        <v>0</v>
      </c>
      <c r="AG78" s="12"/>
      <c r="AH78" s="12"/>
      <c r="AI78" s="12"/>
      <c r="AJ78" s="12"/>
      <c r="AK78" s="12"/>
      <c r="AL78" s="18"/>
      <c r="AM78" s="18"/>
      <c r="AN78" s="18"/>
      <c r="AX78" s="17">
        <v>73</v>
      </c>
    </row>
    <row r="79" spans="1:50" s="17" customFormat="1" x14ac:dyDescent="0.25">
      <c r="A79" s="19" t="s">
        <v>551</v>
      </c>
      <c r="B79" s="19"/>
      <c r="C79" s="19"/>
      <c r="D79" s="19" t="s">
        <v>349</v>
      </c>
      <c r="E79" s="19">
        <v>66.837181433045899</v>
      </c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20"/>
      <c r="Y79" s="19"/>
      <c r="Z79" s="19"/>
      <c r="AA79" s="19"/>
      <c r="AB79" s="13"/>
      <c r="AC79" s="13"/>
      <c r="AD79" s="13"/>
      <c r="AE79" s="13"/>
      <c r="AF79" s="18">
        <v>0</v>
      </c>
      <c r="AG79" s="12"/>
      <c r="AH79" s="12"/>
      <c r="AI79" s="12"/>
      <c r="AJ79" s="12"/>
      <c r="AK79" s="12"/>
      <c r="AL79" s="18"/>
      <c r="AM79" s="18"/>
      <c r="AN79" s="18"/>
      <c r="AX79" s="17">
        <v>74</v>
      </c>
    </row>
    <row r="80" spans="1:50" s="17" customFormat="1" x14ac:dyDescent="0.25">
      <c r="A80" s="19" t="s">
        <v>1503</v>
      </c>
      <c r="B80" s="19"/>
      <c r="C80" s="19"/>
      <c r="D80" s="19" t="s">
        <v>349</v>
      </c>
      <c r="E80" s="19">
        <v>45</v>
      </c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20"/>
      <c r="Y80" s="19"/>
      <c r="Z80" s="19"/>
      <c r="AA80" s="19"/>
      <c r="AB80" s="13"/>
      <c r="AC80" s="13"/>
      <c r="AD80" s="13"/>
      <c r="AE80" s="13"/>
      <c r="AF80" s="18">
        <v>0</v>
      </c>
      <c r="AG80" s="12"/>
      <c r="AH80" s="12"/>
      <c r="AI80" s="12"/>
      <c r="AJ80" s="12"/>
      <c r="AK80" s="12"/>
      <c r="AL80" s="18"/>
      <c r="AM80" s="18"/>
      <c r="AN80" s="18"/>
      <c r="AX80" s="17">
        <v>75</v>
      </c>
    </row>
    <row r="81" spans="1:50" s="17" customFormat="1" x14ac:dyDescent="0.25">
      <c r="A81" s="19" t="s">
        <v>1497</v>
      </c>
      <c r="B81" s="19"/>
      <c r="C81" s="19"/>
      <c r="D81" s="19" t="s">
        <v>349</v>
      </c>
      <c r="E81" s="19">
        <v>0.8</v>
      </c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19"/>
      <c r="Z81" s="19"/>
      <c r="AA81" s="19"/>
      <c r="AB81" s="13"/>
      <c r="AC81" s="13"/>
      <c r="AD81" s="13"/>
      <c r="AE81" s="13"/>
      <c r="AF81" s="18">
        <v>0</v>
      </c>
      <c r="AG81" s="12"/>
      <c r="AH81" s="12"/>
      <c r="AI81" s="12"/>
      <c r="AJ81" s="12"/>
      <c r="AK81" s="12"/>
      <c r="AL81" s="18"/>
      <c r="AM81" s="18"/>
      <c r="AN81" s="18"/>
      <c r="AX81" s="17">
        <v>76</v>
      </c>
    </row>
    <row r="82" spans="1:50" s="17" customFormat="1" x14ac:dyDescent="0.25">
      <c r="A82" s="19" t="s">
        <v>1501</v>
      </c>
      <c r="B82" s="19"/>
      <c r="C82" s="19"/>
      <c r="D82" s="19" t="s">
        <v>349</v>
      </c>
      <c r="E82" s="19">
        <v>10</v>
      </c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20"/>
      <c r="Y82" s="19"/>
      <c r="Z82" s="19"/>
      <c r="AA82" s="19"/>
      <c r="AB82" s="13"/>
      <c r="AC82" s="13"/>
      <c r="AD82" s="13"/>
      <c r="AE82" s="13"/>
      <c r="AF82" s="18">
        <v>0</v>
      </c>
      <c r="AG82" s="12"/>
      <c r="AH82" s="12"/>
      <c r="AI82" s="12"/>
      <c r="AJ82" s="12"/>
      <c r="AK82" s="12"/>
      <c r="AL82" s="18"/>
      <c r="AM82" s="18"/>
      <c r="AN82" s="18"/>
      <c r="AX82" s="17">
        <v>77</v>
      </c>
    </row>
    <row r="83" spans="1:50" s="17" customFormat="1" x14ac:dyDescent="0.25">
      <c r="A83" s="19" t="s">
        <v>1498</v>
      </c>
      <c r="B83" s="19"/>
      <c r="C83" s="19"/>
      <c r="D83" s="19" t="s">
        <v>349</v>
      </c>
      <c r="E83" s="19">
        <v>300</v>
      </c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20"/>
      <c r="Y83" s="19"/>
      <c r="Z83" s="19"/>
      <c r="AA83" s="19"/>
      <c r="AB83" s="13"/>
      <c r="AC83" s="13"/>
      <c r="AD83" s="13"/>
      <c r="AE83" s="13"/>
      <c r="AF83" s="18">
        <v>0</v>
      </c>
      <c r="AG83" s="12"/>
      <c r="AH83" s="12"/>
      <c r="AI83" s="12"/>
      <c r="AJ83" s="12"/>
      <c r="AK83" s="12"/>
      <c r="AL83" s="18"/>
      <c r="AM83" s="18"/>
      <c r="AN83" s="18"/>
      <c r="AX83" s="17">
        <v>78</v>
      </c>
    </row>
    <row r="84" spans="1:50" s="17" customFormat="1" x14ac:dyDescent="0.25">
      <c r="A84" s="19" t="s">
        <v>1499</v>
      </c>
      <c r="B84" s="19"/>
      <c r="C84" s="19"/>
      <c r="D84" s="19" t="s">
        <v>349</v>
      </c>
      <c r="E84" s="19">
        <v>360</v>
      </c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20"/>
      <c r="Y84" s="19"/>
      <c r="Z84" s="19"/>
      <c r="AA84" s="19"/>
      <c r="AB84" s="13"/>
      <c r="AC84" s="13"/>
      <c r="AD84" s="13"/>
      <c r="AE84" s="13"/>
      <c r="AF84" s="18">
        <v>0</v>
      </c>
      <c r="AG84" s="12"/>
      <c r="AH84" s="12"/>
      <c r="AI84" s="12"/>
      <c r="AJ84" s="12"/>
      <c r="AK84" s="12"/>
      <c r="AL84" s="18"/>
      <c r="AM84" s="18"/>
      <c r="AN84" s="18"/>
      <c r="AX84" s="17">
        <v>79</v>
      </c>
    </row>
    <row r="85" spans="1:50" s="17" customFormat="1" x14ac:dyDescent="0.25">
      <c r="A85" s="19" t="s">
        <v>1500</v>
      </c>
      <c r="B85" s="19"/>
      <c r="C85" s="19"/>
      <c r="D85" s="19" t="s">
        <v>349</v>
      </c>
      <c r="E85" s="19">
        <v>0</v>
      </c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20"/>
      <c r="Y85" s="19"/>
      <c r="Z85" s="19"/>
      <c r="AA85" s="19"/>
      <c r="AB85" s="13"/>
      <c r="AC85" s="13"/>
      <c r="AD85" s="13"/>
      <c r="AE85" s="13"/>
      <c r="AF85" s="18">
        <v>0</v>
      </c>
      <c r="AG85" s="12"/>
      <c r="AH85" s="12"/>
      <c r="AI85" s="12"/>
      <c r="AJ85" s="12"/>
      <c r="AK85" s="12"/>
      <c r="AL85" s="18"/>
      <c r="AM85" s="18"/>
      <c r="AN85" s="18"/>
      <c r="AX85" s="17">
        <v>80</v>
      </c>
    </row>
    <row r="86" spans="1:50" s="17" customFormat="1" x14ac:dyDescent="0.25">
      <c r="A86" s="19" t="s">
        <v>1502</v>
      </c>
      <c r="B86" s="19"/>
      <c r="C86" s="19"/>
      <c r="D86" s="19" t="s">
        <v>349</v>
      </c>
      <c r="E86" s="19">
        <v>72</v>
      </c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19"/>
      <c r="Z86" s="19"/>
      <c r="AA86" s="19"/>
      <c r="AB86" s="13"/>
      <c r="AC86" s="13"/>
      <c r="AD86" s="13"/>
      <c r="AE86" s="13"/>
      <c r="AF86" s="18">
        <v>0</v>
      </c>
      <c r="AG86" s="12"/>
      <c r="AH86" s="12"/>
      <c r="AI86" s="12"/>
      <c r="AJ86" s="12"/>
      <c r="AK86" s="12"/>
      <c r="AL86" s="18"/>
      <c r="AM86" s="18"/>
      <c r="AN86" s="18"/>
      <c r="AX86" s="17">
        <v>81</v>
      </c>
    </row>
    <row r="87" spans="1:50" s="17" customFormat="1" x14ac:dyDescent="0.25">
      <c r="A87" s="19" t="s">
        <v>672</v>
      </c>
      <c r="B87" s="19"/>
      <c r="C87" s="19"/>
      <c r="D87" s="19" t="s">
        <v>349</v>
      </c>
      <c r="E87" s="19">
        <v>0</v>
      </c>
      <c r="F87" s="19">
        <v>0</v>
      </c>
      <c r="G87" s="19">
        <v>0</v>
      </c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>
        <v>9.9999999999999995E-7</v>
      </c>
      <c r="V87" s="19">
        <v>9.9999999999999995E-7</v>
      </c>
      <c r="W87" s="19"/>
      <c r="X87" s="20"/>
      <c r="Y87" s="19"/>
      <c r="Z87" s="19"/>
      <c r="AA87" s="19"/>
      <c r="AB87" s="13"/>
      <c r="AC87" s="13"/>
      <c r="AD87" s="13"/>
      <c r="AE87" s="13"/>
      <c r="AF87" s="18">
        <v>1</v>
      </c>
      <c r="AG87" s="12"/>
      <c r="AH87" s="12"/>
      <c r="AI87" s="12"/>
      <c r="AJ87" s="12"/>
      <c r="AK87" s="12"/>
      <c r="AL87" s="18"/>
      <c r="AM87" s="18"/>
      <c r="AN87" s="18"/>
      <c r="AX87" s="17">
        <v>82</v>
      </c>
    </row>
    <row r="88" spans="1:50" s="17" customFormat="1" x14ac:dyDescent="0.25">
      <c r="A88" s="19" t="s">
        <v>673</v>
      </c>
      <c r="B88" s="19"/>
      <c r="C88" s="19"/>
      <c r="D88" s="19" t="s">
        <v>349</v>
      </c>
      <c r="E88" s="19">
        <v>0</v>
      </c>
      <c r="F88" s="19">
        <v>0</v>
      </c>
      <c r="G88" s="19">
        <v>0</v>
      </c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>
        <v>9.9999999999999995E-7</v>
      </c>
      <c r="V88" s="19">
        <v>9.9999999999999995E-7</v>
      </c>
      <c r="W88" s="19"/>
      <c r="X88" s="20"/>
      <c r="Y88" s="19"/>
      <c r="Z88" s="19"/>
      <c r="AA88" s="19"/>
      <c r="AB88" s="13"/>
      <c r="AC88" s="13"/>
      <c r="AD88" s="13"/>
      <c r="AE88" s="13"/>
      <c r="AF88" s="18">
        <v>1</v>
      </c>
      <c r="AG88" s="12"/>
      <c r="AH88" s="12"/>
      <c r="AI88" s="12"/>
      <c r="AJ88" s="12"/>
      <c r="AK88" s="12"/>
      <c r="AL88" s="18"/>
      <c r="AM88" s="18"/>
      <c r="AN88" s="18"/>
      <c r="AX88" s="17">
        <v>83</v>
      </c>
    </row>
    <row r="89" spans="1:50" s="17" customFormat="1" x14ac:dyDescent="0.25">
      <c r="A89" s="19" t="s">
        <v>674</v>
      </c>
      <c r="B89" s="19"/>
      <c r="C89" s="19"/>
      <c r="D89" s="19" t="s">
        <v>349</v>
      </c>
      <c r="E89" s="19">
        <v>0</v>
      </c>
      <c r="F89" s="19">
        <v>0</v>
      </c>
      <c r="G89" s="19">
        <v>0</v>
      </c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>
        <v>9.9999999999999995E-7</v>
      </c>
      <c r="V89" s="19">
        <v>9.9999999999999995E-7</v>
      </c>
      <c r="W89" s="19"/>
      <c r="X89" s="20"/>
      <c r="Y89" s="19"/>
      <c r="Z89" s="19"/>
      <c r="AA89" s="19"/>
      <c r="AB89" s="13"/>
      <c r="AC89" s="13"/>
      <c r="AD89" s="13"/>
      <c r="AE89" s="13"/>
      <c r="AF89" s="18">
        <v>1</v>
      </c>
      <c r="AG89" s="12"/>
      <c r="AH89" s="12"/>
      <c r="AI89" s="12"/>
      <c r="AJ89" s="12"/>
      <c r="AK89" s="12"/>
      <c r="AL89" s="18"/>
      <c r="AM89" s="18"/>
      <c r="AN89" s="18"/>
      <c r="AX89" s="17">
        <v>84</v>
      </c>
    </row>
    <row r="90" spans="1:50" s="17" customFormat="1" x14ac:dyDescent="0.25">
      <c r="A90" s="19" t="s">
        <v>675</v>
      </c>
      <c r="B90" s="19"/>
      <c r="C90" s="19"/>
      <c r="D90" s="19" t="s">
        <v>349</v>
      </c>
      <c r="E90" s="19">
        <v>-1.5368290405604057E-5</v>
      </c>
      <c r="F90" s="19">
        <v>0</v>
      </c>
      <c r="G90" s="19">
        <v>0</v>
      </c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>
        <v>9.9999999999999995E-7</v>
      </c>
      <c r="V90" s="19">
        <v>9.9999999999999995E-7</v>
      </c>
      <c r="W90" s="19"/>
      <c r="X90" s="20"/>
      <c r="Y90" s="19"/>
      <c r="Z90" s="19"/>
      <c r="AA90" s="19"/>
      <c r="AB90" s="13"/>
      <c r="AC90" s="13"/>
      <c r="AD90" s="13"/>
      <c r="AE90" s="13"/>
      <c r="AF90" s="18">
        <v>1</v>
      </c>
      <c r="AG90" s="12"/>
      <c r="AH90" s="12"/>
      <c r="AI90" s="12"/>
      <c r="AJ90" s="12"/>
      <c r="AK90" s="12"/>
      <c r="AL90" s="18"/>
      <c r="AM90" s="18"/>
      <c r="AN90" s="18"/>
      <c r="AX90" s="17">
        <v>85</v>
      </c>
    </row>
    <row r="91" spans="1:50" s="17" customFormat="1" x14ac:dyDescent="0.25">
      <c r="A91" s="19" t="s">
        <v>676</v>
      </c>
      <c r="B91" s="19"/>
      <c r="C91" s="19"/>
      <c r="D91" s="19" t="s">
        <v>349</v>
      </c>
      <c r="E91" s="19">
        <v>2.0895084890071303E-4</v>
      </c>
      <c r="F91" s="19">
        <v>0</v>
      </c>
      <c r="G91" s="19">
        <v>0</v>
      </c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>
        <v>9.9999999999999995E-7</v>
      </c>
      <c r="V91" s="19">
        <v>9.9999999999999995E-7</v>
      </c>
      <c r="W91" s="19"/>
      <c r="X91" s="20"/>
      <c r="Y91" s="19"/>
      <c r="Z91" s="19"/>
      <c r="AA91" s="19"/>
      <c r="AB91" s="13"/>
      <c r="AC91" s="13"/>
      <c r="AD91" s="13"/>
      <c r="AE91" s="13"/>
      <c r="AF91" s="18">
        <v>1</v>
      </c>
      <c r="AG91" s="12"/>
      <c r="AH91" s="12"/>
      <c r="AI91" s="12"/>
      <c r="AJ91" s="12"/>
      <c r="AK91" s="12"/>
      <c r="AL91" s="18"/>
      <c r="AM91" s="18"/>
      <c r="AN91" s="18"/>
      <c r="AX91" s="17">
        <v>86</v>
      </c>
    </row>
    <row r="92" spans="1:50" s="17" customFormat="1" x14ac:dyDescent="0.25">
      <c r="A92" s="19" t="s">
        <v>677</v>
      </c>
      <c r="B92" s="19"/>
      <c r="C92" s="19"/>
      <c r="D92" s="19" t="s">
        <v>349</v>
      </c>
      <c r="E92" s="19">
        <v>3.0850308030494489E-4</v>
      </c>
      <c r="F92" s="19">
        <v>0</v>
      </c>
      <c r="G92" s="19">
        <v>0</v>
      </c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>
        <v>9.9999999999999995E-7</v>
      </c>
      <c r="V92" s="19">
        <v>9.9999999999999995E-7</v>
      </c>
      <c r="W92" s="19"/>
      <c r="X92" s="20"/>
      <c r="Y92" s="19"/>
      <c r="Z92" s="19"/>
      <c r="AA92" s="19"/>
      <c r="AB92" s="13"/>
      <c r="AC92" s="13"/>
      <c r="AD92" s="13"/>
      <c r="AE92" s="13"/>
      <c r="AF92" s="18">
        <v>1</v>
      </c>
      <c r="AG92" s="12"/>
      <c r="AH92" s="12"/>
      <c r="AI92" s="12"/>
      <c r="AJ92" s="12"/>
      <c r="AK92" s="12"/>
      <c r="AL92" s="18"/>
      <c r="AM92" s="18"/>
      <c r="AN92" s="18"/>
      <c r="AX92" s="17">
        <v>87</v>
      </c>
    </row>
    <row r="93" spans="1:50" s="17" customFormat="1" x14ac:dyDescent="0.25">
      <c r="A93" s="19" t="s">
        <v>1767</v>
      </c>
      <c r="B93" s="19"/>
      <c r="C93" s="19"/>
      <c r="D93" s="19" t="s">
        <v>349</v>
      </c>
      <c r="E93" s="19"/>
      <c r="F93" s="19">
        <v>0</v>
      </c>
      <c r="G93" s="19">
        <v>0</v>
      </c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>
        <v>9.9999999999999995E-7</v>
      </c>
      <c r="V93" s="19">
        <v>9.9999999999999995E-7</v>
      </c>
      <c r="W93" s="19"/>
      <c r="X93" s="20"/>
      <c r="Y93" s="19"/>
      <c r="Z93" s="19"/>
      <c r="AA93" s="19"/>
      <c r="AB93" s="13"/>
      <c r="AC93" s="13"/>
      <c r="AD93" s="13"/>
      <c r="AE93" s="13"/>
      <c r="AF93" s="18">
        <v>1</v>
      </c>
      <c r="AG93" s="12"/>
      <c r="AH93" s="12"/>
      <c r="AI93" s="12"/>
      <c r="AJ93" s="12"/>
      <c r="AK93" s="12"/>
      <c r="AL93" s="18"/>
      <c r="AM93" s="18"/>
      <c r="AN93" s="18"/>
      <c r="AX93" s="17">
        <v>88</v>
      </c>
    </row>
    <row r="94" spans="1:50" s="17" customFormat="1" x14ac:dyDescent="0.25">
      <c r="A94" s="19" t="s">
        <v>678</v>
      </c>
      <c r="B94" s="19"/>
      <c r="C94" s="19"/>
      <c r="D94" s="19" t="s">
        <v>349</v>
      </c>
      <c r="E94" s="19">
        <v>0</v>
      </c>
      <c r="F94" s="19">
        <v>0</v>
      </c>
      <c r="G94" s="19">
        <v>0</v>
      </c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>
        <v>9.9999999999999995E-7</v>
      </c>
      <c r="V94" s="19">
        <v>9.9999999999999995E-7</v>
      </c>
      <c r="W94" s="19"/>
      <c r="X94" s="20"/>
      <c r="Y94" s="19"/>
      <c r="Z94" s="19"/>
      <c r="AA94" s="19"/>
      <c r="AB94" s="13"/>
      <c r="AC94" s="13"/>
      <c r="AD94" s="13"/>
      <c r="AE94" s="13"/>
      <c r="AF94" s="18">
        <v>1</v>
      </c>
      <c r="AG94" s="12"/>
      <c r="AH94" s="12"/>
      <c r="AI94" s="12"/>
      <c r="AJ94" s="12"/>
      <c r="AK94" s="12"/>
      <c r="AL94" s="18"/>
      <c r="AM94" s="18"/>
      <c r="AN94" s="18"/>
      <c r="AX94" s="17">
        <v>89</v>
      </c>
    </row>
    <row r="95" spans="1:50" s="17" customFormat="1" x14ac:dyDescent="0.25">
      <c r="A95" s="19" t="s">
        <v>679</v>
      </c>
      <c r="B95" s="19"/>
      <c r="C95" s="19"/>
      <c r="D95" s="19" t="s">
        <v>349</v>
      </c>
      <c r="E95" s="19">
        <v>0</v>
      </c>
      <c r="F95" s="19">
        <v>0</v>
      </c>
      <c r="G95" s="19">
        <v>0</v>
      </c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>
        <v>9.9999999999999995E-7</v>
      </c>
      <c r="V95" s="19">
        <v>9.9999999999999995E-7</v>
      </c>
      <c r="W95" s="19"/>
      <c r="X95" s="20"/>
      <c r="Y95" s="19"/>
      <c r="Z95" s="19"/>
      <c r="AA95" s="19"/>
      <c r="AB95" s="13"/>
      <c r="AC95" s="13"/>
      <c r="AD95" s="13"/>
      <c r="AE95" s="13"/>
      <c r="AF95" s="18">
        <v>1</v>
      </c>
      <c r="AG95" s="12"/>
      <c r="AH95" s="12"/>
      <c r="AI95" s="12"/>
      <c r="AJ95" s="12"/>
      <c r="AK95" s="12"/>
      <c r="AL95" s="18"/>
      <c r="AM95" s="18"/>
      <c r="AN95" s="18"/>
      <c r="AX95" s="17">
        <v>90</v>
      </c>
    </row>
    <row r="96" spans="1:50" s="17" customFormat="1" x14ac:dyDescent="0.25">
      <c r="A96" s="19" t="s">
        <v>680</v>
      </c>
      <c r="B96" s="19"/>
      <c r="C96" s="19"/>
      <c r="D96" s="19" t="s">
        <v>349</v>
      </c>
      <c r="E96" s="19">
        <v>0</v>
      </c>
      <c r="F96" s="19">
        <v>0</v>
      </c>
      <c r="G96" s="19">
        <v>0</v>
      </c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>
        <v>9.9999999999999995E-7</v>
      </c>
      <c r="V96" s="19">
        <v>9.9999999999999995E-7</v>
      </c>
      <c r="W96" s="19"/>
      <c r="X96" s="20"/>
      <c r="Y96" s="19"/>
      <c r="Z96" s="19"/>
      <c r="AA96" s="19"/>
      <c r="AB96" s="13"/>
      <c r="AC96" s="13"/>
      <c r="AD96" s="13"/>
      <c r="AE96" s="13"/>
      <c r="AF96" s="18">
        <v>1</v>
      </c>
      <c r="AG96" s="12"/>
      <c r="AH96" s="12"/>
      <c r="AI96" s="12"/>
      <c r="AJ96" s="12"/>
      <c r="AK96" s="12"/>
      <c r="AL96" s="18"/>
      <c r="AM96" s="18"/>
      <c r="AN96" s="18"/>
      <c r="AX96" s="17">
        <v>91</v>
      </c>
    </row>
    <row r="97" spans="1:50" s="17" customFormat="1" x14ac:dyDescent="0.25">
      <c r="A97" s="19" t="s">
        <v>681</v>
      </c>
      <c r="B97" s="19"/>
      <c r="C97" s="19"/>
      <c r="D97" s="19" t="s">
        <v>349</v>
      </c>
      <c r="E97" s="19">
        <v>0</v>
      </c>
      <c r="F97" s="19">
        <v>0</v>
      </c>
      <c r="G97" s="19">
        <v>0</v>
      </c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>
        <v>9.9999999999999995E-7</v>
      </c>
      <c r="V97" s="19">
        <v>9.9999999999999995E-7</v>
      </c>
      <c r="W97" s="19"/>
      <c r="X97" s="20"/>
      <c r="Y97" s="19"/>
      <c r="Z97" s="19"/>
      <c r="AA97" s="19"/>
      <c r="AB97" s="13"/>
      <c r="AC97" s="13"/>
      <c r="AD97" s="13"/>
      <c r="AE97" s="13"/>
      <c r="AF97" s="18">
        <v>1</v>
      </c>
      <c r="AG97" s="12"/>
      <c r="AH97" s="12"/>
      <c r="AI97" s="12"/>
      <c r="AJ97" s="12"/>
      <c r="AK97" s="12"/>
      <c r="AL97" s="18"/>
      <c r="AM97" s="18"/>
      <c r="AN97" s="18"/>
      <c r="AX97" s="17">
        <v>92</v>
      </c>
    </row>
    <row r="98" spans="1:50" s="17" customFormat="1" x14ac:dyDescent="0.25">
      <c r="A98" s="19" t="s">
        <v>682</v>
      </c>
      <c r="B98" s="19"/>
      <c r="C98" s="19"/>
      <c r="D98" s="19" t="s">
        <v>349</v>
      </c>
      <c r="E98" s="19">
        <v>0</v>
      </c>
      <c r="F98" s="19">
        <v>0</v>
      </c>
      <c r="G98" s="19">
        <v>0</v>
      </c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>
        <v>9.9999999999999995E-7</v>
      </c>
      <c r="V98" s="19">
        <v>9.9999999999999995E-7</v>
      </c>
      <c r="W98" s="19"/>
      <c r="X98" s="20"/>
      <c r="Y98" s="19"/>
      <c r="Z98" s="19"/>
      <c r="AA98" s="19"/>
      <c r="AB98" s="13"/>
      <c r="AC98" s="13"/>
      <c r="AD98" s="13"/>
      <c r="AE98" s="13"/>
      <c r="AF98" s="18">
        <v>1</v>
      </c>
      <c r="AG98" s="12"/>
      <c r="AH98" s="12"/>
      <c r="AI98" s="12"/>
      <c r="AJ98" s="12"/>
      <c r="AK98" s="12"/>
      <c r="AL98" s="18"/>
      <c r="AM98" s="18"/>
      <c r="AN98" s="18"/>
      <c r="AX98" s="17">
        <v>93</v>
      </c>
    </row>
    <row r="99" spans="1:50" s="17" customFormat="1" x14ac:dyDescent="0.25">
      <c r="A99" s="19" t="s">
        <v>1520</v>
      </c>
      <c r="B99" s="19"/>
      <c r="C99" s="19"/>
      <c r="D99" s="19" t="s">
        <v>349</v>
      </c>
      <c r="E99" s="19">
        <v>1.9942099314107509E-5</v>
      </c>
      <c r="F99" s="19">
        <v>0</v>
      </c>
      <c r="G99" s="19">
        <v>0</v>
      </c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>
        <v>9.9999999999999995E-7</v>
      </c>
      <c r="V99" s="19">
        <v>9.9999999999999995E-7</v>
      </c>
      <c r="W99" s="19"/>
      <c r="X99" s="20"/>
      <c r="Y99" s="19"/>
      <c r="Z99" s="19"/>
      <c r="AA99" s="19"/>
      <c r="AB99" s="13"/>
      <c r="AC99" s="13"/>
      <c r="AD99" s="13"/>
      <c r="AE99" s="13"/>
      <c r="AF99" s="18">
        <v>1</v>
      </c>
      <c r="AG99" s="12"/>
      <c r="AH99" s="12"/>
      <c r="AI99" s="12"/>
      <c r="AJ99" s="12"/>
      <c r="AK99" s="12"/>
      <c r="AL99" s="18"/>
      <c r="AM99" s="18"/>
      <c r="AN99" s="18"/>
      <c r="AX99" s="17">
        <v>94</v>
      </c>
    </row>
    <row r="100" spans="1:50" s="17" customFormat="1" x14ac:dyDescent="0.25">
      <c r="A100" s="19" t="s">
        <v>1521</v>
      </c>
      <c r="B100" s="19"/>
      <c r="C100" s="19"/>
      <c r="D100" s="19" t="s">
        <v>349</v>
      </c>
      <c r="E100" s="19">
        <v>1.6026867641016906E-5</v>
      </c>
      <c r="F100" s="19">
        <v>0</v>
      </c>
      <c r="G100" s="19">
        <v>0</v>
      </c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>
        <v>9.9999999999999995E-7</v>
      </c>
      <c r="V100" s="19">
        <v>9.9999999999999995E-7</v>
      </c>
      <c r="W100" s="19"/>
      <c r="X100" s="20"/>
      <c r="Y100" s="19"/>
      <c r="Z100" s="19"/>
      <c r="AA100" s="19"/>
      <c r="AB100" s="13"/>
      <c r="AC100" s="13"/>
      <c r="AD100" s="13"/>
      <c r="AE100" s="13"/>
      <c r="AF100" s="18">
        <v>1</v>
      </c>
      <c r="AG100" s="12"/>
      <c r="AH100" s="12"/>
      <c r="AI100" s="12"/>
      <c r="AJ100" s="12"/>
      <c r="AK100" s="12"/>
      <c r="AL100" s="18"/>
      <c r="AM100" s="18"/>
      <c r="AN100" s="18"/>
      <c r="AX100" s="17">
        <v>95</v>
      </c>
    </row>
    <row r="101" spans="1:50" s="17" customFormat="1" x14ac:dyDescent="0.25">
      <c r="A101" s="19" t="s">
        <v>1522</v>
      </c>
      <c r="B101" s="19"/>
      <c r="C101" s="19"/>
      <c r="D101" s="19" t="s">
        <v>349</v>
      </c>
      <c r="E101" s="19">
        <v>1.0929570208872974E-6</v>
      </c>
      <c r="F101" s="19">
        <v>0</v>
      </c>
      <c r="G101" s="19">
        <v>0</v>
      </c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>
        <v>9.9999999999999995E-7</v>
      </c>
      <c r="V101" s="19">
        <v>9.9999999999999995E-7</v>
      </c>
      <c r="W101" s="19"/>
      <c r="X101" s="20"/>
      <c r="Y101" s="19"/>
      <c r="Z101" s="19"/>
      <c r="AA101" s="19"/>
      <c r="AB101" s="13"/>
      <c r="AC101" s="13"/>
      <c r="AD101" s="13"/>
      <c r="AE101" s="13"/>
      <c r="AF101" s="18">
        <v>1</v>
      </c>
      <c r="AG101" s="12"/>
      <c r="AH101" s="12"/>
      <c r="AI101" s="12"/>
      <c r="AJ101" s="12"/>
      <c r="AK101" s="12"/>
      <c r="AL101" s="18"/>
      <c r="AM101" s="18"/>
      <c r="AN101" s="18"/>
      <c r="AX101" s="17">
        <v>96</v>
      </c>
    </row>
    <row r="102" spans="1:50" s="17" customFormat="1" x14ac:dyDescent="0.25">
      <c r="A102" s="19" t="s">
        <v>1768</v>
      </c>
      <c r="B102" s="19"/>
      <c r="C102" s="19"/>
      <c r="D102" s="19" t="s">
        <v>349</v>
      </c>
      <c r="E102" s="19"/>
      <c r="F102" s="19">
        <v>0</v>
      </c>
      <c r="G102" s="19">
        <v>0</v>
      </c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>
        <v>9.9999999999999995E-7</v>
      </c>
      <c r="V102" s="19">
        <v>9.9999999999999995E-7</v>
      </c>
      <c r="W102" s="19"/>
      <c r="X102" s="20"/>
      <c r="Y102" s="19"/>
      <c r="Z102" s="19"/>
      <c r="AA102" s="19"/>
      <c r="AB102" s="13"/>
      <c r="AC102" s="13"/>
      <c r="AD102" s="13"/>
      <c r="AE102" s="13"/>
      <c r="AF102" s="18">
        <v>1</v>
      </c>
      <c r="AG102" s="12"/>
      <c r="AH102" s="12"/>
      <c r="AI102" s="12"/>
      <c r="AJ102" s="12"/>
      <c r="AK102" s="12"/>
      <c r="AL102" s="18"/>
      <c r="AM102" s="18"/>
      <c r="AN102" s="18"/>
      <c r="AX102" s="17">
        <v>97</v>
      </c>
    </row>
    <row r="103" spans="1:50" s="17" customFormat="1" x14ac:dyDescent="0.25">
      <c r="A103" s="19" t="s">
        <v>1523</v>
      </c>
      <c r="B103" s="19"/>
      <c r="C103" s="19"/>
      <c r="D103" s="19" t="s">
        <v>349</v>
      </c>
      <c r="E103" s="19">
        <v>0</v>
      </c>
      <c r="F103" s="19">
        <v>0</v>
      </c>
      <c r="G103" s="19">
        <v>0</v>
      </c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>
        <v>9.9999999999999995E-7</v>
      </c>
      <c r="V103" s="19">
        <v>9.9999999999999995E-7</v>
      </c>
      <c r="W103" s="19"/>
      <c r="X103" s="20"/>
      <c r="Y103" s="19"/>
      <c r="Z103" s="19"/>
      <c r="AA103" s="19"/>
      <c r="AB103" s="13"/>
      <c r="AC103" s="13"/>
      <c r="AD103" s="13"/>
      <c r="AE103" s="13"/>
      <c r="AF103" s="18">
        <v>1</v>
      </c>
      <c r="AG103" s="12"/>
      <c r="AH103" s="12"/>
      <c r="AI103" s="12"/>
      <c r="AJ103" s="12"/>
      <c r="AK103" s="12"/>
      <c r="AL103" s="18"/>
      <c r="AM103" s="18"/>
      <c r="AN103" s="18"/>
      <c r="AX103" s="17">
        <v>98</v>
      </c>
    </row>
    <row r="104" spans="1:50" s="17" customFormat="1" x14ac:dyDescent="0.25">
      <c r="A104" s="19" t="s">
        <v>1301</v>
      </c>
      <c r="B104" s="19"/>
      <c r="C104" s="19"/>
      <c r="D104" s="19" t="s">
        <v>349</v>
      </c>
      <c r="E104" s="19">
        <v>0</v>
      </c>
      <c r="F104" s="19">
        <v>0</v>
      </c>
      <c r="G104" s="19">
        <v>0</v>
      </c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>
        <v>9.9999999999999995E-7</v>
      </c>
      <c r="V104" s="19">
        <v>9.9999999999999995E-7</v>
      </c>
      <c r="W104" s="19"/>
      <c r="X104" s="20"/>
      <c r="Y104" s="19"/>
      <c r="Z104" s="19"/>
      <c r="AA104" s="19"/>
      <c r="AB104" s="13"/>
      <c r="AC104" s="13"/>
      <c r="AD104" s="13"/>
      <c r="AE104" s="13"/>
      <c r="AF104" s="18">
        <v>1</v>
      </c>
      <c r="AG104" s="12"/>
      <c r="AH104" s="12"/>
      <c r="AI104" s="12"/>
      <c r="AJ104" s="12"/>
      <c r="AK104" s="12"/>
      <c r="AL104" s="18"/>
      <c r="AM104" s="18"/>
      <c r="AN104" s="18"/>
      <c r="AX104" s="17">
        <v>99</v>
      </c>
    </row>
    <row r="105" spans="1:50" s="17" customFormat="1" x14ac:dyDescent="0.25">
      <c r="A105" s="19" t="s">
        <v>1302</v>
      </c>
      <c r="B105" s="19"/>
      <c r="C105" s="19"/>
      <c r="D105" s="19" t="s">
        <v>349</v>
      </c>
      <c r="E105" s="19">
        <v>0</v>
      </c>
      <c r="F105" s="19">
        <v>0</v>
      </c>
      <c r="G105" s="19">
        <v>0</v>
      </c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>
        <v>9.9999999999999995E-7</v>
      </c>
      <c r="V105" s="19">
        <v>9.9999999999999995E-7</v>
      </c>
      <c r="W105" s="19"/>
      <c r="X105" s="20"/>
      <c r="Y105" s="19"/>
      <c r="Z105" s="19"/>
      <c r="AA105" s="19"/>
      <c r="AB105" s="13"/>
      <c r="AC105" s="13"/>
      <c r="AD105" s="13"/>
      <c r="AE105" s="13"/>
      <c r="AF105" s="18">
        <v>1</v>
      </c>
      <c r="AG105" s="12"/>
      <c r="AH105" s="12"/>
      <c r="AI105" s="12"/>
      <c r="AJ105" s="12"/>
      <c r="AK105" s="12"/>
      <c r="AL105" s="18"/>
      <c r="AM105" s="18"/>
      <c r="AN105" s="18"/>
      <c r="AX105" s="17">
        <v>100</v>
      </c>
    </row>
    <row r="106" spans="1:50" s="17" customFormat="1" x14ac:dyDescent="0.25">
      <c r="A106" s="19" t="s">
        <v>1303</v>
      </c>
      <c r="B106" s="19"/>
      <c r="C106" s="19"/>
      <c r="D106" s="19" t="s">
        <v>349</v>
      </c>
      <c r="E106" s="19">
        <v>0</v>
      </c>
      <c r="F106" s="19">
        <v>0</v>
      </c>
      <c r="G106" s="19">
        <v>0</v>
      </c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>
        <v>9.9999999999999995E-7</v>
      </c>
      <c r="V106" s="19">
        <v>9.9999999999999995E-7</v>
      </c>
      <c r="W106" s="19"/>
      <c r="X106" s="20"/>
      <c r="Y106" s="19"/>
      <c r="Z106" s="19"/>
      <c r="AA106" s="19"/>
      <c r="AB106" s="13"/>
      <c r="AC106" s="13"/>
      <c r="AD106" s="13"/>
      <c r="AE106" s="13"/>
      <c r="AF106" s="18">
        <v>1</v>
      </c>
      <c r="AG106" s="12"/>
      <c r="AH106" s="12"/>
      <c r="AI106" s="12"/>
      <c r="AJ106" s="12"/>
      <c r="AK106" s="12"/>
      <c r="AL106" s="18"/>
      <c r="AM106" s="18"/>
      <c r="AN106" s="18"/>
      <c r="AX106" s="17">
        <v>101</v>
      </c>
    </row>
    <row r="107" spans="1:50" s="17" customFormat="1" x14ac:dyDescent="0.25">
      <c r="A107" s="19" t="s">
        <v>1304</v>
      </c>
      <c r="B107" s="19"/>
      <c r="C107" s="19"/>
      <c r="D107" s="19" t="s">
        <v>349</v>
      </c>
      <c r="E107" s="19">
        <v>0</v>
      </c>
      <c r="F107" s="19">
        <v>0</v>
      </c>
      <c r="G107" s="19">
        <v>0</v>
      </c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>
        <v>9.9999999999999995E-7</v>
      </c>
      <c r="V107" s="19">
        <v>9.9999999999999995E-7</v>
      </c>
      <c r="W107" s="19"/>
      <c r="X107" s="20"/>
      <c r="Y107" s="19"/>
      <c r="Z107" s="19"/>
      <c r="AA107" s="19"/>
      <c r="AB107" s="13"/>
      <c r="AC107" s="13"/>
      <c r="AD107" s="13"/>
      <c r="AE107" s="13"/>
      <c r="AF107" s="18">
        <v>1</v>
      </c>
      <c r="AG107" s="12"/>
      <c r="AH107" s="12"/>
      <c r="AI107" s="12"/>
      <c r="AJ107" s="12"/>
      <c r="AK107" s="12"/>
      <c r="AL107" s="18"/>
      <c r="AM107" s="18"/>
      <c r="AN107" s="18"/>
      <c r="AX107" s="17">
        <v>102</v>
      </c>
    </row>
    <row r="108" spans="1:50" s="17" customFormat="1" x14ac:dyDescent="0.25">
      <c r="A108" s="19" t="s">
        <v>1305</v>
      </c>
      <c r="B108" s="19"/>
      <c r="C108" s="19"/>
      <c r="D108" s="19" t="s">
        <v>349</v>
      </c>
      <c r="E108" s="19">
        <v>0</v>
      </c>
      <c r="F108" s="19">
        <v>0</v>
      </c>
      <c r="G108" s="19">
        <v>0</v>
      </c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>
        <v>9.9999999999999995E-7</v>
      </c>
      <c r="V108" s="19">
        <v>9.9999999999999995E-7</v>
      </c>
      <c r="W108" s="19"/>
      <c r="X108" s="20"/>
      <c r="Y108" s="19"/>
      <c r="Z108" s="19"/>
      <c r="AA108" s="19"/>
      <c r="AB108" s="13"/>
      <c r="AC108" s="13"/>
      <c r="AD108" s="13"/>
      <c r="AE108" s="13"/>
      <c r="AF108" s="18">
        <v>1</v>
      </c>
      <c r="AG108" s="12"/>
      <c r="AH108" s="12"/>
      <c r="AI108" s="12"/>
      <c r="AJ108" s="12"/>
      <c r="AK108" s="12"/>
      <c r="AL108" s="18"/>
      <c r="AM108" s="18"/>
      <c r="AN108" s="18"/>
      <c r="AX108" s="17">
        <v>103</v>
      </c>
    </row>
    <row r="109" spans="1:50" s="17" customFormat="1" x14ac:dyDescent="0.25">
      <c r="A109" s="19" t="s">
        <v>1290</v>
      </c>
      <c r="B109" s="19"/>
      <c r="C109" s="19"/>
      <c r="D109" s="19" t="s">
        <v>349</v>
      </c>
      <c r="E109" s="19">
        <v>10</v>
      </c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20"/>
      <c r="Y109" s="19"/>
      <c r="Z109" s="19"/>
      <c r="AA109" s="19"/>
      <c r="AB109" s="13"/>
      <c r="AC109" s="13"/>
      <c r="AD109" s="13"/>
      <c r="AE109" s="13"/>
      <c r="AF109" s="18">
        <v>0</v>
      </c>
      <c r="AG109" s="12"/>
      <c r="AH109" s="12"/>
      <c r="AI109" s="12"/>
      <c r="AJ109" s="12"/>
      <c r="AK109" s="12"/>
      <c r="AL109" s="18"/>
      <c r="AM109" s="18"/>
      <c r="AN109" s="18"/>
      <c r="AX109" s="17">
        <v>104</v>
      </c>
    </row>
    <row r="110" spans="1:50" s="17" customFormat="1" x14ac:dyDescent="0.25">
      <c r="A110" s="19" t="s">
        <v>1293</v>
      </c>
      <c r="B110" s="19"/>
      <c r="C110" s="19"/>
      <c r="D110" s="19" t="s">
        <v>349</v>
      </c>
      <c r="E110" s="19">
        <v>0.8</v>
      </c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20"/>
      <c r="Y110" s="19"/>
      <c r="Z110" s="19"/>
      <c r="AA110" s="19"/>
      <c r="AB110" s="13"/>
      <c r="AC110" s="13"/>
      <c r="AD110" s="13"/>
      <c r="AE110" s="13"/>
      <c r="AF110" s="18">
        <v>0</v>
      </c>
      <c r="AG110" s="12"/>
      <c r="AH110" s="12"/>
      <c r="AI110" s="12"/>
      <c r="AJ110" s="12"/>
      <c r="AK110" s="12"/>
      <c r="AL110" s="18"/>
      <c r="AM110" s="18"/>
      <c r="AN110" s="18"/>
      <c r="AX110" s="17">
        <v>105</v>
      </c>
    </row>
    <row r="111" spans="1:50" s="17" customFormat="1" x14ac:dyDescent="0.25">
      <c r="A111" s="19" t="s">
        <v>1294</v>
      </c>
      <c r="B111" s="19"/>
      <c r="C111" s="19"/>
      <c r="D111" s="19" t="s">
        <v>349</v>
      </c>
      <c r="E111" s="19">
        <v>0</v>
      </c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20"/>
      <c r="Y111" s="19"/>
      <c r="Z111" s="19"/>
      <c r="AA111" s="19"/>
      <c r="AB111" s="13"/>
      <c r="AC111" s="13"/>
      <c r="AD111" s="13"/>
      <c r="AE111" s="13"/>
      <c r="AF111" s="18">
        <v>0</v>
      </c>
      <c r="AG111" s="12"/>
      <c r="AH111" s="12"/>
      <c r="AI111" s="12"/>
      <c r="AJ111" s="12"/>
      <c r="AK111" s="12"/>
      <c r="AL111" s="18"/>
      <c r="AM111" s="18"/>
      <c r="AN111" s="18"/>
      <c r="AX111" s="17">
        <v>106</v>
      </c>
    </row>
    <row r="112" spans="1:50" s="17" customFormat="1" x14ac:dyDescent="0.25">
      <c r="A112" s="19" t="s">
        <v>1296</v>
      </c>
      <c r="B112" s="19"/>
      <c r="C112" s="19"/>
      <c r="D112" s="19" t="s">
        <v>349</v>
      </c>
      <c r="E112" s="19">
        <v>0</v>
      </c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20"/>
      <c r="Y112" s="19"/>
      <c r="Z112" s="19"/>
      <c r="AA112" s="19"/>
      <c r="AB112" s="13"/>
      <c r="AC112" s="13"/>
      <c r="AD112" s="13"/>
      <c r="AE112" s="13"/>
      <c r="AF112" s="18">
        <v>0</v>
      </c>
      <c r="AG112" s="12"/>
      <c r="AH112" s="12"/>
      <c r="AI112" s="12"/>
      <c r="AJ112" s="12"/>
      <c r="AK112" s="12"/>
      <c r="AL112" s="18"/>
      <c r="AM112" s="18"/>
      <c r="AN112" s="18"/>
      <c r="AX112" s="17">
        <v>107</v>
      </c>
    </row>
    <row r="113" spans="1:50" s="17" customFormat="1" x14ac:dyDescent="0.25">
      <c r="A113" s="19" t="s">
        <v>1295</v>
      </c>
      <c r="B113" s="19"/>
      <c r="C113" s="19"/>
      <c r="D113" s="19" t="s">
        <v>349</v>
      </c>
      <c r="E113" s="19">
        <v>72</v>
      </c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20"/>
      <c r="Y113" s="19"/>
      <c r="Z113" s="19"/>
      <c r="AA113" s="19"/>
      <c r="AB113" s="13"/>
      <c r="AC113" s="13"/>
      <c r="AD113" s="13"/>
      <c r="AE113" s="13"/>
      <c r="AF113" s="18">
        <v>0</v>
      </c>
      <c r="AG113" s="12"/>
      <c r="AH113" s="12"/>
      <c r="AI113" s="12"/>
      <c r="AJ113" s="12"/>
      <c r="AK113" s="12"/>
      <c r="AL113" s="18"/>
      <c r="AM113" s="18"/>
      <c r="AN113" s="18"/>
      <c r="AX113" s="17">
        <v>108</v>
      </c>
    </row>
    <row r="114" spans="1:50" s="17" customFormat="1" x14ac:dyDescent="0.25">
      <c r="A114" s="19" t="s">
        <v>1310</v>
      </c>
      <c r="B114" s="19"/>
      <c r="C114" s="19"/>
      <c r="D114" s="19" t="s">
        <v>349</v>
      </c>
      <c r="E114" s="19">
        <v>2.162805951222424E-6</v>
      </c>
      <c r="F114" s="19">
        <v>0</v>
      </c>
      <c r="G114" s="19">
        <v>0</v>
      </c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>
        <v>9.9999999999999995E-7</v>
      </c>
      <c r="V114" s="19">
        <v>9.9999999999999995E-7</v>
      </c>
      <c r="W114" s="19"/>
      <c r="X114" s="20"/>
      <c r="Y114" s="19"/>
      <c r="Z114" s="19"/>
      <c r="AA114" s="19"/>
      <c r="AB114" s="13"/>
      <c r="AC114" s="13"/>
      <c r="AD114" s="13"/>
      <c r="AE114" s="13"/>
      <c r="AF114" s="18">
        <v>1</v>
      </c>
      <c r="AG114" s="12"/>
      <c r="AH114" s="12"/>
      <c r="AI114" s="12"/>
      <c r="AJ114" s="12"/>
      <c r="AK114" s="12"/>
      <c r="AL114" s="18"/>
      <c r="AM114" s="18"/>
      <c r="AN114" s="18"/>
      <c r="AX114" s="17">
        <v>109</v>
      </c>
    </row>
    <row r="115" spans="1:50" s="17" customFormat="1" x14ac:dyDescent="0.25">
      <c r="A115" s="19" t="s">
        <v>1311</v>
      </c>
      <c r="B115" s="19"/>
      <c r="C115" s="19"/>
      <c r="D115" s="19" t="s">
        <v>349</v>
      </c>
      <c r="E115" s="19">
        <v>0</v>
      </c>
      <c r="F115" s="19">
        <v>0</v>
      </c>
      <c r="G115" s="19">
        <v>0</v>
      </c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>
        <v>9.9999999999999995E-7</v>
      </c>
      <c r="V115" s="19">
        <v>9.9999999999999995E-7</v>
      </c>
      <c r="W115" s="19"/>
      <c r="X115" s="20"/>
      <c r="Y115" s="19"/>
      <c r="Z115" s="19"/>
      <c r="AA115" s="19"/>
      <c r="AB115" s="13"/>
      <c r="AC115" s="13"/>
      <c r="AD115" s="13"/>
      <c r="AE115" s="13"/>
      <c r="AF115" s="18">
        <v>1</v>
      </c>
      <c r="AG115" s="12"/>
      <c r="AH115" s="12"/>
      <c r="AI115" s="12"/>
      <c r="AJ115" s="12"/>
      <c r="AK115" s="12"/>
      <c r="AL115" s="18"/>
      <c r="AM115" s="18"/>
      <c r="AN115" s="18"/>
      <c r="AX115" s="17">
        <v>110</v>
      </c>
    </row>
    <row r="116" spans="1:50" s="17" customFormat="1" x14ac:dyDescent="0.25">
      <c r="A116" s="19" t="s">
        <v>1312</v>
      </c>
      <c r="B116" s="19"/>
      <c r="C116" s="19"/>
      <c r="D116" s="19" t="s">
        <v>349</v>
      </c>
      <c r="E116" s="19">
        <v>0</v>
      </c>
      <c r="F116" s="19">
        <v>0</v>
      </c>
      <c r="G116" s="19">
        <v>0</v>
      </c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>
        <v>9.9999999999999995E-7</v>
      </c>
      <c r="V116" s="19">
        <v>9.9999999999999995E-7</v>
      </c>
      <c r="W116" s="19"/>
      <c r="X116" s="20"/>
      <c r="Y116" s="19"/>
      <c r="Z116" s="19"/>
      <c r="AA116" s="19"/>
      <c r="AB116" s="13"/>
      <c r="AC116" s="13"/>
      <c r="AD116" s="13"/>
      <c r="AE116" s="13"/>
      <c r="AF116" s="18">
        <v>1</v>
      </c>
      <c r="AG116" s="12"/>
      <c r="AH116" s="12"/>
      <c r="AI116" s="12"/>
      <c r="AJ116" s="12"/>
      <c r="AK116" s="12"/>
      <c r="AL116" s="18"/>
      <c r="AM116" s="18"/>
      <c r="AN116" s="18"/>
      <c r="AX116" s="17">
        <v>111</v>
      </c>
    </row>
    <row r="117" spans="1:50" s="17" customFormat="1" x14ac:dyDescent="0.25">
      <c r="A117" s="19" t="s">
        <v>1313</v>
      </c>
      <c r="B117" s="19"/>
      <c r="C117" s="19"/>
      <c r="D117" s="19" t="s">
        <v>349</v>
      </c>
      <c r="E117" s="19">
        <v>1.5020217838355165E-3</v>
      </c>
      <c r="F117" s="19">
        <v>0</v>
      </c>
      <c r="G117" s="19">
        <v>0</v>
      </c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>
        <v>9.9999999999999995E-7</v>
      </c>
      <c r="V117" s="19">
        <v>9.9999999999999995E-7</v>
      </c>
      <c r="W117" s="19"/>
      <c r="X117" s="20"/>
      <c r="Y117" s="19"/>
      <c r="Z117" s="19"/>
      <c r="AA117" s="19"/>
      <c r="AB117" s="13"/>
      <c r="AC117" s="13"/>
      <c r="AD117" s="13"/>
      <c r="AE117" s="13"/>
      <c r="AF117" s="18">
        <v>1</v>
      </c>
      <c r="AG117" s="12"/>
      <c r="AH117" s="12"/>
      <c r="AI117" s="12"/>
      <c r="AJ117" s="12"/>
      <c r="AK117" s="12"/>
      <c r="AL117" s="18"/>
      <c r="AM117" s="18"/>
      <c r="AN117" s="18"/>
      <c r="AX117" s="17">
        <v>112</v>
      </c>
    </row>
    <row r="118" spans="1:50" s="17" customFormat="1" x14ac:dyDescent="0.25">
      <c r="A118" s="19" t="s">
        <v>1314</v>
      </c>
      <c r="B118" s="19"/>
      <c r="C118" s="19"/>
      <c r="D118" s="19" t="s">
        <v>349</v>
      </c>
      <c r="E118" s="19">
        <v>-2.6809160654011066E-3</v>
      </c>
      <c r="F118" s="19">
        <v>0</v>
      </c>
      <c r="G118" s="19">
        <v>0</v>
      </c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>
        <v>9.9999999999999995E-7</v>
      </c>
      <c r="V118" s="19">
        <v>9.9999999999999995E-7</v>
      </c>
      <c r="W118" s="19"/>
      <c r="X118" s="20"/>
      <c r="Y118" s="19"/>
      <c r="Z118" s="19"/>
      <c r="AA118" s="19"/>
      <c r="AB118" s="13"/>
      <c r="AC118" s="13"/>
      <c r="AD118" s="13"/>
      <c r="AE118" s="13"/>
      <c r="AF118" s="18">
        <v>1</v>
      </c>
      <c r="AG118" s="12"/>
      <c r="AH118" s="12"/>
      <c r="AI118" s="12"/>
      <c r="AJ118" s="12"/>
      <c r="AK118" s="12"/>
      <c r="AL118" s="18"/>
      <c r="AM118" s="18"/>
      <c r="AN118" s="18"/>
      <c r="AX118" s="17">
        <v>113</v>
      </c>
    </row>
    <row r="119" spans="1:50" s="17" customFormat="1" x14ac:dyDescent="0.25">
      <c r="A119" s="19" t="s">
        <v>1315</v>
      </c>
      <c r="B119" s="19"/>
      <c r="C119" s="19"/>
      <c r="D119" s="19" t="s">
        <v>349</v>
      </c>
      <c r="E119" s="19">
        <v>0</v>
      </c>
      <c r="F119" s="19">
        <v>0</v>
      </c>
      <c r="G119" s="19">
        <v>0</v>
      </c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>
        <v>9.9999999999999995E-7</v>
      </c>
      <c r="V119" s="19">
        <v>9.9999999999999995E-7</v>
      </c>
      <c r="W119" s="19"/>
      <c r="X119" s="20"/>
      <c r="Y119" s="19"/>
      <c r="Z119" s="19"/>
      <c r="AA119" s="19"/>
      <c r="AB119" s="13"/>
      <c r="AC119" s="13"/>
      <c r="AD119" s="13"/>
      <c r="AE119" s="13"/>
      <c r="AF119" s="18">
        <v>1</v>
      </c>
      <c r="AG119" s="12"/>
      <c r="AH119" s="12"/>
      <c r="AI119" s="12"/>
      <c r="AJ119" s="12"/>
      <c r="AK119" s="12"/>
      <c r="AL119" s="18"/>
      <c r="AM119" s="18"/>
      <c r="AN119" s="18"/>
      <c r="AX119" s="17">
        <v>114</v>
      </c>
    </row>
    <row r="120" spans="1:50" s="17" customFormat="1" x14ac:dyDescent="0.25">
      <c r="A120" s="19" t="s">
        <v>1316</v>
      </c>
      <c r="B120" s="19"/>
      <c r="C120" s="19"/>
      <c r="D120" s="19" t="s">
        <v>349</v>
      </c>
      <c r="E120" s="19">
        <v>0</v>
      </c>
      <c r="F120" s="19">
        <v>0</v>
      </c>
      <c r="G120" s="19">
        <v>0</v>
      </c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>
        <v>9.9999999999999995E-7</v>
      </c>
      <c r="V120" s="19">
        <v>9.9999999999999995E-7</v>
      </c>
      <c r="W120" s="19"/>
      <c r="X120" s="20"/>
      <c r="Y120" s="19"/>
      <c r="Z120" s="19"/>
      <c r="AA120" s="19"/>
      <c r="AB120" s="13"/>
      <c r="AC120" s="13"/>
      <c r="AD120" s="13"/>
      <c r="AE120" s="13"/>
      <c r="AF120" s="18">
        <v>1</v>
      </c>
      <c r="AG120" s="12"/>
      <c r="AH120" s="12"/>
      <c r="AI120" s="12"/>
      <c r="AJ120" s="12"/>
      <c r="AK120" s="12"/>
      <c r="AL120" s="18"/>
      <c r="AM120" s="18"/>
      <c r="AN120" s="18"/>
      <c r="AX120" s="17">
        <v>115</v>
      </c>
    </row>
    <row r="121" spans="1:50" s="17" customFormat="1" x14ac:dyDescent="0.25">
      <c r="A121" s="19" t="s">
        <v>1317</v>
      </c>
      <c r="B121" s="19"/>
      <c r="C121" s="19"/>
      <c r="D121" s="19" t="s">
        <v>349</v>
      </c>
      <c r="E121" s="19">
        <v>0</v>
      </c>
      <c r="F121" s="19">
        <v>0</v>
      </c>
      <c r="G121" s="19">
        <v>0</v>
      </c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>
        <v>9.9999999999999995E-7</v>
      </c>
      <c r="V121" s="19">
        <v>9.9999999999999995E-7</v>
      </c>
      <c r="W121" s="19"/>
      <c r="X121" s="20"/>
      <c r="Y121" s="19"/>
      <c r="Z121" s="19"/>
      <c r="AA121" s="19"/>
      <c r="AB121" s="13"/>
      <c r="AC121" s="13"/>
      <c r="AD121" s="13"/>
      <c r="AE121" s="13"/>
      <c r="AF121" s="18">
        <v>1</v>
      </c>
      <c r="AG121" s="12"/>
      <c r="AH121" s="12"/>
      <c r="AI121" s="12"/>
      <c r="AJ121" s="12"/>
      <c r="AK121" s="12"/>
      <c r="AL121" s="18"/>
      <c r="AM121" s="18"/>
      <c r="AN121" s="18"/>
      <c r="AX121" s="17">
        <v>116</v>
      </c>
    </row>
    <row r="122" spans="1:50" s="17" customFormat="1" x14ac:dyDescent="0.25">
      <c r="A122" s="19" t="s">
        <v>1528</v>
      </c>
      <c r="B122" s="19"/>
      <c r="C122" s="19"/>
      <c r="D122" s="19" t="s">
        <v>349</v>
      </c>
      <c r="E122" s="19">
        <v>0</v>
      </c>
      <c r="F122" s="19">
        <v>0</v>
      </c>
      <c r="G122" s="19">
        <v>0</v>
      </c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>
        <v>9.9999999999999995E-7</v>
      </c>
      <c r="V122" s="19">
        <v>9.9999999999999995E-7</v>
      </c>
      <c r="W122" s="19"/>
      <c r="X122" s="20"/>
      <c r="Y122" s="19"/>
      <c r="Z122" s="19"/>
      <c r="AA122" s="19"/>
      <c r="AB122" s="13"/>
      <c r="AC122" s="13"/>
      <c r="AD122" s="13"/>
      <c r="AE122" s="13"/>
      <c r="AF122" s="18">
        <v>1</v>
      </c>
      <c r="AG122" s="12"/>
      <c r="AH122" s="12"/>
      <c r="AI122" s="12"/>
      <c r="AJ122" s="12"/>
      <c r="AK122" s="12"/>
      <c r="AL122" s="18"/>
      <c r="AM122" s="18"/>
      <c r="AN122" s="18"/>
      <c r="AX122" s="17">
        <v>117</v>
      </c>
    </row>
    <row r="123" spans="1:50" s="17" customFormat="1" x14ac:dyDescent="0.25">
      <c r="A123" s="19" t="s">
        <v>1529</v>
      </c>
      <c r="B123" s="19"/>
      <c r="C123" s="19"/>
      <c r="D123" s="19" t="s">
        <v>349</v>
      </c>
      <c r="E123" s="19">
        <v>0</v>
      </c>
      <c r="F123" s="19">
        <v>0</v>
      </c>
      <c r="G123" s="19">
        <v>0</v>
      </c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>
        <v>9.9999999999999995E-7</v>
      </c>
      <c r="V123" s="19">
        <v>9.9999999999999995E-7</v>
      </c>
      <c r="W123" s="19"/>
      <c r="X123" s="20"/>
      <c r="Y123" s="19"/>
      <c r="Z123" s="19"/>
      <c r="AA123" s="19"/>
      <c r="AB123" s="13"/>
      <c r="AC123" s="13"/>
      <c r="AD123" s="13"/>
      <c r="AE123" s="13"/>
      <c r="AF123" s="18">
        <v>1</v>
      </c>
      <c r="AG123" s="12"/>
      <c r="AH123" s="12"/>
      <c r="AI123" s="12"/>
      <c r="AJ123" s="12"/>
      <c r="AK123" s="12"/>
      <c r="AL123" s="18"/>
      <c r="AM123" s="18"/>
      <c r="AN123" s="18"/>
      <c r="AX123" s="17">
        <v>118</v>
      </c>
    </row>
    <row r="124" spans="1:50" s="17" customFormat="1" x14ac:dyDescent="0.25">
      <c r="A124" s="19" t="s">
        <v>1530</v>
      </c>
      <c r="B124" s="19"/>
      <c r="C124" s="19"/>
      <c r="D124" s="19" t="s">
        <v>349</v>
      </c>
      <c r="E124" s="19">
        <v>0</v>
      </c>
      <c r="F124" s="19">
        <v>0</v>
      </c>
      <c r="G124" s="19">
        <v>0</v>
      </c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>
        <v>9.9999999999999995E-7</v>
      </c>
      <c r="V124" s="19">
        <v>9.9999999999999995E-7</v>
      </c>
      <c r="W124" s="19"/>
      <c r="X124" s="20"/>
      <c r="Y124" s="19"/>
      <c r="Z124" s="19"/>
      <c r="AA124" s="19"/>
      <c r="AB124" s="13"/>
      <c r="AC124" s="13"/>
      <c r="AD124" s="13"/>
      <c r="AE124" s="13"/>
      <c r="AF124" s="18">
        <v>1</v>
      </c>
      <c r="AG124" s="12"/>
      <c r="AH124" s="12"/>
      <c r="AI124" s="12"/>
      <c r="AJ124" s="12"/>
      <c r="AK124" s="12"/>
      <c r="AL124" s="18"/>
      <c r="AM124" s="18"/>
      <c r="AN124" s="18"/>
      <c r="AX124" s="17">
        <v>119</v>
      </c>
    </row>
    <row r="125" spans="1:50" s="17" customFormat="1" x14ac:dyDescent="0.25">
      <c r="A125" s="19" t="s">
        <v>1531</v>
      </c>
      <c r="B125" s="19"/>
      <c r="C125" s="19"/>
      <c r="D125" s="19" t="s">
        <v>349</v>
      </c>
      <c r="E125" s="19">
        <v>0</v>
      </c>
      <c r="F125" s="19">
        <v>0</v>
      </c>
      <c r="G125" s="19">
        <v>0</v>
      </c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>
        <v>9.9999999999999995E-7</v>
      </c>
      <c r="V125" s="19">
        <v>9.9999999999999995E-7</v>
      </c>
      <c r="W125" s="19"/>
      <c r="X125" s="20"/>
      <c r="Y125" s="19"/>
      <c r="Z125" s="19"/>
      <c r="AA125" s="19"/>
      <c r="AB125" s="13"/>
      <c r="AC125" s="13"/>
      <c r="AD125" s="13"/>
      <c r="AE125" s="13"/>
      <c r="AF125" s="18">
        <v>1</v>
      </c>
      <c r="AG125" s="12"/>
      <c r="AH125" s="12"/>
      <c r="AI125" s="12"/>
      <c r="AJ125" s="12"/>
      <c r="AK125" s="12"/>
      <c r="AL125" s="18"/>
      <c r="AM125" s="18"/>
      <c r="AN125" s="18"/>
      <c r="AX125" s="17">
        <v>120</v>
      </c>
    </row>
    <row r="126" spans="1:50" s="17" customFormat="1" x14ac:dyDescent="0.25">
      <c r="A126" s="19" t="s">
        <v>1532</v>
      </c>
      <c r="B126" s="19"/>
      <c r="C126" s="19"/>
      <c r="D126" s="19" t="s">
        <v>349</v>
      </c>
      <c r="E126" s="19">
        <v>0</v>
      </c>
      <c r="F126" s="19">
        <v>0</v>
      </c>
      <c r="G126" s="19">
        <v>0</v>
      </c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>
        <v>9.9999999999999995E-7</v>
      </c>
      <c r="V126" s="19">
        <v>9.9999999999999995E-7</v>
      </c>
      <c r="W126" s="19"/>
      <c r="X126" s="20"/>
      <c r="Y126" s="19"/>
      <c r="Z126" s="19"/>
      <c r="AA126" s="19"/>
      <c r="AB126" s="13"/>
      <c r="AC126" s="13"/>
      <c r="AD126" s="13"/>
      <c r="AE126" s="13"/>
      <c r="AF126" s="18">
        <v>1</v>
      </c>
      <c r="AG126" s="12"/>
      <c r="AH126" s="12"/>
      <c r="AI126" s="12"/>
      <c r="AJ126" s="12"/>
      <c r="AK126" s="12"/>
      <c r="AL126" s="18"/>
      <c r="AM126" s="18"/>
      <c r="AN126" s="18"/>
      <c r="AX126" s="17">
        <v>121</v>
      </c>
    </row>
    <row r="127" spans="1:50" s="17" customFormat="1" x14ac:dyDescent="0.25">
      <c r="A127" s="19" t="s">
        <v>1287</v>
      </c>
      <c r="B127" s="19"/>
      <c r="C127" s="19"/>
      <c r="D127" s="19" t="s">
        <v>349</v>
      </c>
      <c r="E127" s="19">
        <v>10</v>
      </c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20"/>
      <c r="Y127" s="19"/>
      <c r="Z127" s="19"/>
      <c r="AA127" s="19"/>
      <c r="AB127" s="13"/>
      <c r="AC127" s="13"/>
      <c r="AD127" s="13"/>
      <c r="AE127" s="13"/>
      <c r="AF127" s="18">
        <v>0</v>
      </c>
      <c r="AG127" s="12"/>
      <c r="AH127" s="12"/>
      <c r="AI127" s="12"/>
      <c r="AJ127" s="12"/>
      <c r="AK127" s="12"/>
      <c r="AL127" s="18"/>
      <c r="AM127" s="18"/>
      <c r="AN127" s="18"/>
      <c r="AX127" s="17">
        <v>122</v>
      </c>
    </row>
    <row r="128" spans="1:50" s="17" customFormat="1" x14ac:dyDescent="0.25">
      <c r="A128" s="19" t="s">
        <v>1300</v>
      </c>
      <c r="B128" s="19"/>
      <c r="C128" s="19"/>
      <c r="D128" s="19" t="s">
        <v>349</v>
      </c>
      <c r="E128" s="19">
        <v>12</v>
      </c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20"/>
      <c r="Y128" s="19"/>
      <c r="Z128" s="19"/>
      <c r="AA128" s="19"/>
      <c r="AB128" s="13"/>
      <c r="AC128" s="13"/>
      <c r="AD128" s="13"/>
      <c r="AE128" s="13"/>
      <c r="AF128" s="18">
        <v>0</v>
      </c>
      <c r="AG128" s="12"/>
      <c r="AH128" s="12"/>
      <c r="AI128" s="12"/>
      <c r="AJ128" s="12"/>
      <c r="AK128" s="12"/>
      <c r="AL128" s="18"/>
      <c r="AM128" s="18"/>
      <c r="AN128" s="18"/>
      <c r="AX128" s="17">
        <v>123</v>
      </c>
    </row>
    <row r="129" spans="1:50" s="17" customFormat="1" x14ac:dyDescent="0.25">
      <c r="A129" s="19" t="s">
        <v>1297</v>
      </c>
      <c r="B129" s="19"/>
      <c r="C129" s="19"/>
      <c r="D129" s="19" t="s">
        <v>349</v>
      </c>
      <c r="E129" s="19">
        <v>0.8</v>
      </c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20"/>
      <c r="Y129" s="19"/>
      <c r="Z129" s="19"/>
      <c r="AA129" s="19"/>
      <c r="AB129" s="13"/>
      <c r="AC129" s="13"/>
      <c r="AD129" s="13"/>
      <c r="AE129" s="13"/>
      <c r="AF129" s="18">
        <v>0</v>
      </c>
      <c r="AG129" s="12"/>
      <c r="AH129" s="12"/>
      <c r="AI129" s="12"/>
      <c r="AJ129" s="12"/>
      <c r="AK129" s="12"/>
      <c r="AL129" s="18"/>
      <c r="AM129" s="18"/>
      <c r="AN129" s="18"/>
      <c r="AX129" s="17">
        <v>124</v>
      </c>
    </row>
    <row r="130" spans="1:50" s="17" customFormat="1" x14ac:dyDescent="0.25">
      <c r="A130" s="19" t="s">
        <v>1298</v>
      </c>
      <c r="B130" s="19"/>
      <c r="C130" s="19"/>
      <c r="D130" s="19" t="s">
        <v>349</v>
      </c>
      <c r="E130" s="19">
        <v>0</v>
      </c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20"/>
      <c r="Y130" s="19"/>
      <c r="Z130" s="19"/>
      <c r="AA130" s="19"/>
      <c r="AB130" s="13"/>
      <c r="AC130" s="13"/>
      <c r="AD130" s="13"/>
      <c r="AE130" s="13"/>
      <c r="AF130" s="18">
        <v>0</v>
      </c>
      <c r="AG130" s="12"/>
      <c r="AH130" s="12"/>
      <c r="AI130" s="12"/>
      <c r="AJ130" s="12"/>
      <c r="AK130" s="12"/>
      <c r="AL130" s="18"/>
      <c r="AM130" s="18"/>
      <c r="AN130" s="18"/>
      <c r="AX130" s="17">
        <v>125</v>
      </c>
    </row>
    <row r="131" spans="1:50" s="17" customFormat="1" x14ac:dyDescent="0.25">
      <c r="A131" s="19" t="s">
        <v>1299</v>
      </c>
      <c r="B131" s="19"/>
      <c r="C131" s="19"/>
      <c r="D131" s="19" t="s">
        <v>349</v>
      </c>
      <c r="E131" s="19">
        <v>72</v>
      </c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20"/>
      <c r="Y131" s="19"/>
      <c r="Z131" s="19"/>
      <c r="AA131" s="19"/>
      <c r="AB131" s="13"/>
      <c r="AC131" s="13"/>
      <c r="AD131" s="13"/>
      <c r="AE131" s="13"/>
      <c r="AF131" s="18">
        <v>0</v>
      </c>
      <c r="AG131" s="12"/>
      <c r="AH131" s="12"/>
      <c r="AI131" s="12"/>
      <c r="AJ131" s="12"/>
      <c r="AK131" s="12"/>
      <c r="AL131" s="18"/>
      <c r="AM131" s="18"/>
      <c r="AN131" s="18"/>
      <c r="AX131" s="17">
        <v>126</v>
      </c>
    </row>
    <row r="132" spans="1:50" s="17" customFormat="1" x14ac:dyDescent="0.25">
      <c r="A132" s="19" t="s">
        <v>1537</v>
      </c>
      <c r="B132" s="19"/>
      <c r="C132" s="19"/>
      <c r="D132" s="19" t="s">
        <v>349</v>
      </c>
      <c r="E132" s="19">
        <v>1.8995380379749349E-8</v>
      </c>
      <c r="F132" s="19">
        <v>0</v>
      </c>
      <c r="G132" s="19">
        <v>0</v>
      </c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>
        <v>9.9999999999999995E-7</v>
      </c>
      <c r="V132" s="19">
        <v>9.9999999999999995E-7</v>
      </c>
      <c r="W132" s="19"/>
      <c r="X132" s="20"/>
      <c r="Y132" s="19"/>
      <c r="Z132" s="19"/>
      <c r="AA132" s="19"/>
      <c r="AB132" s="13"/>
      <c r="AC132" s="13"/>
      <c r="AD132" s="13"/>
      <c r="AE132" s="13"/>
      <c r="AF132" s="18">
        <v>1</v>
      </c>
      <c r="AG132" s="12"/>
      <c r="AH132" s="12"/>
      <c r="AI132" s="12"/>
      <c r="AJ132" s="12"/>
      <c r="AK132" s="12"/>
      <c r="AL132" s="18"/>
      <c r="AM132" s="18"/>
      <c r="AN132" s="18"/>
      <c r="AX132" s="17">
        <v>127</v>
      </c>
    </row>
    <row r="133" spans="1:50" s="17" customFormat="1" x14ac:dyDescent="0.25">
      <c r="A133" s="19" t="s">
        <v>1538</v>
      </c>
      <c r="B133" s="19"/>
      <c r="C133" s="19"/>
      <c r="D133" s="19" t="s">
        <v>349</v>
      </c>
      <c r="E133" s="19">
        <v>0</v>
      </c>
      <c r="F133" s="19">
        <v>0</v>
      </c>
      <c r="G133" s="19">
        <v>0</v>
      </c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>
        <v>9.9999999999999995E-7</v>
      </c>
      <c r="V133" s="19">
        <v>9.9999999999999995E-7</v>
      </c>
      <c r="W133" s="19"/>
      <c r="X133" s="20"/>
      <c r="Y133" s="19"/>
      <c r="Z133" s="19"/>
      <c r="AA133" s="19"/>
      <c r="AB133" s="13"/>
      <c r="AC133" s="13"/>
      <c r="AD133" s="13"/>
      <c r="AE133" s="13"/>
      <c r="AF133" s="18">
        <v>1</v>
      </c>
      <c r="AG133" s="12"/>
      <c r="AH133" s="12"/>
      <c r="AI133" s="12"/>
      <c r="AJ133" s="12"/>
      <c r="AK133" s="12"/>
      <c r="AL133" s="18"/>
      <c r="AM133" s="18"/>
      <c r="AN133" s="18"/>
      <c r="AX133" s="17">
        <v>128</v>
      </c>
    </row>
    <row r="134" spans="1:50" s="17" customFormat="1" x14ac:dyDescent="0.25">
      <c r="A134" s="19" t="s">
        <v>1539</v>
      </c>
      <c r="B134" s="19"/>
      <c r="C134" s="19"/>
      <c r="D134" s="19" t="s">
        <v>349</v>
      </c>
      <c r="E134" s="19">
        <v>0</v>
      </c>
      <c r="F134" s="19">
        <v>0</v>
      </c>
      <c r="G134" s="19">
        <v>0</v>
      </c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>
        <v>9.9999999999999995E-7</v>
      </c>
      <c r="V134" s="19">
        <v>9.9999999999999995E-7</v>
      </c>
      <c r="W134" s="19"/>
      <c r="X134" s="20"/>
      <c r="Y134" s="19"/>
      <c r="Z134" s="19"/>
      <c r="AA134" s="19"/>
      <c r="AB134" s="13"/>
      <c r="AC134" s="13"/>
      <c r="AD134" s="13"/>
      <c r="AE134" s="13"/>
      <c r="AF134" s="18">
        <v>1</v>
      </c>
      <c r="AG134" s="12"/>
      <c r="AH134" s="12"/>
      <c r="AI134" s="12"/>
      <c r="AJ134" s="12"/>
      <c r="AK134" s="12"/>
      <c r="AL134" s="18"/>
      <c r="AM134" s="18"/>
      <c r="AN134" s="18"/>
      <c r="AX134" s="17">
        <v>129</v>
      </c>
    </row>
    <row r="135" spans="1:50" s="17" customFormat="1" x14ac:dyDescent="0.25">
      <c r="A135" s="19" t="s">
        <v>1540</v>
      </c>
      <c r="B135" s="19"/>
      <c r="C135" s="19"/>
      <c r="D135" s="19" t="s">
        <v>349</v>
      </c>
      <c r="E135" s="19">
        <v>0</v>
      </c>
      <c r="F135" s="19">
        <v>0</v>
      </c>
      <c r="G135" s="19">
        <v>0</v>
      </c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>
        <v>9.9999999999999995E-7</v>
      </c>
      <c r="V135" s="19">
        <v>9.9999999999999995E-7</v>
      </c>
      <c r="W135" s="19"/>
      <c r="X135" s="20"/>
      <c r="Y135" s="19"/>
      <c r="Z135" s="19"/>
      <c r="AA135" s="19"/>
      <c r="AB135" s="13"/>
      <c r="AC135" s="13"/>
      <c r="AD135" s="13"/>
      <c r="AE135" s="13"/>
      <c r="AF135" s="18">
        <v>1</v>
      </c>
      <c r="AG135" s="12"/>
      <c r="AH135" s="12"/>
      <c r="AI135" s="12"/>
      <c r="AJ135" s="12"/>
      <c r="AK135" s="12"/>
      <c r="AL135" s="18"/>
      <c r="AM135" s="18"/>
      <c r="AN135" s="18"/>
      <c r="AX135" s="17">
        <v>130</v>
      </c>
    </row>
    <row r="136" spans="1:50" s="17" customFormat="1" x14ac:dyDescent="0.25">
      <c r="A136" s="19" t="s">
        <v>1541</v>
      </c>
      <c r="B136" s="19"/>
      <c r="C136" s="19"/>
      <c r="D136" s="19" t="s">
        <v>349</v>
      </c>
      <c r="E136" s="19">
        <v>-3.2141523097379832E-3</v>
      </c>
      <c r="F136" s="19">
        <v>0</v>
      </c>
      <c r="G136" s="19">
        <v>0</v>
      </c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>
        <v>9.9999999999999995E-7</v>
      </c>
      <c r="V136" s="19">
        <v>9.9999999999999995E-7</v>
      </c>
      <c r="W136" s="19"/>
      <c r="X136" s="20"/>
      <c r="Y136" s="19"/>
      <c r="Z136" s="19"/>
      <c r="AA136" s="19"/>
      <c r="AB136" s="13"/>
      <c r="AC136" s="13"/>
      <c r="AD136" s="13"/>
      <c r="AE136" s="13"/>
      <c r="AF136" s="18">
        <v>1</v>
      </c>
      <c r="AG136" s="12"/>
      <c r="AH136" s="12"/>
      <c r="AI136" s="12"/>
      <c r="AJ136" s="12"/>
      <c r="AK136" s="12"/>
      <c r="AL136" s="18"/>
      <c r="AM136" s="18"/>
      <c r="AN136" s="18"/>
      <c r="AX136" s="17">
        <v>131</v>
      </c>
    </row>
    <row r="137" spans="1:50" s="17" customFormat="1" x14ac:dyDescent="0.25">
      <c r="A137" s="19" t="s">
        <v>1542</v>
      </c>
      <c r="B137" s="19"/>
      <c r="C137" s="19"/>
      <c r="D137" s="19" t="s">
        <v>349</v>
      </c>
      <c r="E137" s="19">
        <v>-1.2349652624834562E-2</v>
      </c>
      <c r="F137" s="19">
        <v>0</v>
      </c>
      <c r="G137" s="19">
        <v>0</v>
      </c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>
        <v>9.9999999999999995E-7</v>
      </c>
      <c r="V137" s="19">
        <v>9.9999999999999995E-7</v>
      </c>
      <c r="W137" s="19"/>
      <c r="X137" s="20"/>
      <c r="Y137" s="19"/>
      <c r="Z137" s="19"/>
      <c r="AA137" s="19"/>
      <c r="AB137" s="13"/>
      <c r="AC137" s="13"/>
      <c r="AD137" s="13"/>
      <c r="AE137" s="13"/>
      <c r="AF137" s="18">
        <v>1</v>
      </c>
      <c r="AG137" s="12"/>
      <c r="AH137" s="12"/>
      <c r="AI137" s="12"/>
      <c r="AJ137" s="12"/>
      <c r="AK137" s="12"/>
      <c r="AL137" s="18"/>
      <c r="AM137" s="18"/>
      <c r="AN137" s="18"/>
      <c r="AX137" s="17">
        <v>132</v>
      </c>
    </row>
    <row r="138" spans="1:50" s="17" customFormat="1" x14ac:dyDescent="0.25">
      <c r="A138" s="19" t="s">
        <v>1543</v>
      </c>
      <c r="B138" s="19"/>
      <c r="C138" s="19"/>
      <c r="D138" s="19" t="s">
        <v>349</v>
      </c>
      <c r="E138" s="19">
        <v>4.9116351874545217E-8</v>
      </c>
      <c r="F138" s="19">
        <v>0</v>
      </c>
      <c r="G138" s="19">
        <v>0</v>
      </c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>
        <v>9.9999999999999995E-7</v>
      </c>
      <c r="V138" s="19">
        <v>9.9999999999999995E-7</v>
      </c>
      <c r="W138" s="19"/>
      <c r="X138" s="20"/>
      <c r="Y138" s="19"/>
      <c r="Z138" s="19"/>
      <c r="AA138" s="19"/>
      <c r="AB138" s="13"/>
      <c r="AC138" s="13"/>
      <c r="AD138" s="13"/>
      <c r="AE138" s="13"/>
      <c r="AF138" s="18">
        <v>1</v>
      </c>
      <c r="AG138" s="12"/>
      <c r="AH138" s="12"/>
      <c r="AI138" s="12"/>
      <c r="AJ138" s="12"/>
      <c r="AK138" s="12"/>
      <c r="AL138" s="18"/>
      <c r="AM138" s="18"/>
      <c r="AN138" s="18"/>
      <c r="AX138" s="17">
        <v>133</v>
      </c>
    </row>
    <row r="139" spans="1:50" s="17" customFormat="1" x14ac:dyDescent="0.25">
      <c r="A139" s="19" t="s">
        <v>1771</v>
      </c>
      <c r="B139" s="19"/>
      <c r="C139" s="19"/>
      <c r="D139" s="19" t="s">
        <v>349</v>
      </c>
      <c r="E139" s="19"/>
      <c r="F139" s="19">
        <v>0</v>
      </c>
      <c r="G139" s="19">
        <v>0</v>
      </c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>
        <v>9.9999999999999995E-7</v>
      </c>
      <c r="V139" s="19">
        <v>9.9999999999999995E-7</v>
      </c>
      <c r="W139" s="19"/>
      <c r="X139" s="20"/>
      <c r="Y139" s="19"/>
      <c r="Z139" s="19"/>
      <c r="AA139" s="19"/>
      <c r="AB139" s="13"/>
      <c r="AC139" s="13"/>
      <c r="AD139" s="13"/>
      <c r="AE139" s="13"/>
      <c r="AF139" s="18">
        <v>1</v>
      </c>
      <c r="AG139" s="12"/>
      <c r="AH139" s="12"/>
      <c r="AI139" s="12"/>
      <c r="AJ139" s="12"/>
      <c r="AK139" s="12"/>
      <c r="AL139" s="18"/>
      <c r="AM139" s="18"/>
      <c r="AN139" s="18"/>
      <c r="AX139" s="17">
        <v>134</v>
      </c>
    </row>
    <row r="140" spans="1:50" s="17" customFormat="1" x14ac:dyDescent="0.25">
      <c r="A140" s="19" t="s">
        <v>1544</v>
      </c>
      <c r="B140" s="19"/>
      <c r="C140" s="19"/>
      <c r="D140" s="19" t="s">
        <v>349</v>
      </c>
      <c r="E140" s="19">
        <v>0</v>
      </c>
      <c r="F140" s="19">
        <v>0</v>
      </c>
      <c r="G140" s="19">
        <v>0</v>
      </c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>
        <v>9.9999999999999995E-7</v>
      </c>
      <c r="V140" s="19">
        <v>9.9999999999999995E-7</v>
      </c>
      <c r="W140" s="19"/>
      <c r="X140" s="20"/>
      <c r="Y140" s="19"/>
      <c r="Z140" s="19"/>
      <c r="AA140" s="19"/>
      <c r="AB140" s="13"/>
      <c r="AC140" s="13"/>
      <c r="AD140" s="13"/>
      <c r="AE140" s="13"/>
      <c r="AF140" s="18">
        <v>1</v>
      </c>
      <c r="AG140" s="12"/>
      <c r="AH140" s="12"/>
      <c r="AI140" s="12"/>
      <c r="AJ140" s="12"/>
      <c r="AK140" s="12"/>
      <c r="AL140" s="18"/>
      <c r="AM140" s="18"/>
      <c r="AN140" s="18"/>
      <c r="AX140" s="17">
        <v>135</v>
      </c>
    </row>
    <row r="141" spans="1:50" s="17" customFormat="1" x14ac:dyDescent="0.25">
      <c r="A141" s="19" t="s">
        <v>1545</v>
      </c>
      <c r="B141" s="19"/>
      <c r="C141" s="19"/>
      <c r="D141" s="19" t="s">
        <v>349</v>
      </c>
      <c r="E141" s="19">
        <v>1.4210854715202004E-14</v>
      </c>
      <c r="F141" s="19">
        <v>0</v>
      </c>
      <c r="G141" s="19">
        <v>0</v>
      </c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>
        <v>9.9999999999999995E-7</v>
      </c>
      <c r="V141" s="19">
        <v>9.9999999999999995E-7</v>
      </c>
      <c r="W141" s="19"/>
      <c r="X141" s="20"/>
      <c r="Y141" s="19"/>
      <c r="Z141" s="19"/>
      <c r="AA141" s="19"/>
      <c r="AB141" s="13"/>
      <c r="AC141" s="13"/>
      <c r="AD141" s="13"/>
      <c r="AE141" s="13"/>
      <c r="AF141" s="18">
        <v>1</v>
      </c>
      <c r="AG141" s="12"/>
      <c r="AH141" s="12"/>
      <c r="AI141" s="12"/>
      <c r="AJ141" s="12"/>
      <c r="AK141" s="12"/>
      <c r="AL141" s="18"/>
      <c r="AM141" s="18"/>
      <c r="AN141" s="18"/>
      <c r="AX141" s="17">
        <v>136</v>
      </c>
    </row>
    <row r="142" spans="1:50" s="17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20"/>
      <c r="Y142" s="19"/>
      <c r="Z142" s="19"/>
      <c r="AA142" s="19"/>
      <c r="AB142" s="13"/>
      <c r="AC142" s="13"/>
      <c r="AD142" s="13"/>
      <c r="AE142" s="13"/>
      <c r="AF142" s="18"/>
      <c r="AG142" s="12"/>
      <c r="AH142" s="12"/>
      <c r="AI142" s="12"/>
      <c r="AJ142" s="12"/>
      <c r="AK142" s="12"/>
    </row>
    <row r="143" spans="1:50" s="17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20"/>
      <c r="Y143" s="19"/>
      <c r="Z143" s="19"/>
      <c r="AA143" s="19"/>
      <c r="AB143" s="13"/>
      <c r="AC143" s="13"/>
      <c r="AD143" s="13"/>
      <c r="AE143" s="13"/>
      <c r="AF143" s="18"/>
      <c r="AG143" s="12"/>
      <c r="AH143" s="12"/>
      <c r="AI143" s="12"/>
      <c r="AJ143" s="12"/>
      <c r="AK143" s="12"/>
    </row>
    <row r="144" spans="1:50" s="17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19"/>
      <c r="Z144" s="19"/>
      <c r="AA144" s="19"/>
      <c r="AB144" s="13"/>
      <c r="AC144" s="13"/>
      <c r="AD144" s="13"/>
      <c r="AE144" s="13"/>
      <c r="AF144" s="18"/>
      <c r="AG144" s="12"/>
      <c r="AH144" s="12"/>
      <c r="AI144" s="12"/>
      <c r="AJ144" s="12"/>
      <c r="AK144" s="12"/>
    </row>
    <row r="145" spans="1:37" s="17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20"/>
      <c r="Y145" s="19"/>
      <c r="Z145" s="19"/>
      <c r="AA145" s="19"/>
      <c r="AB145" s="13"/>
      <c r="AC145" s="13"/>
      <c r="AD145" s="13"/>
      <c r="AE145" s="13"/>
      <c r="AF145" s="18"/>
      <c r="AG145" s="12"/>
      <c r="AH145" s="12"/>
      <c r="AI145" s="12"/>
      <c r="AJ145" s="12"/>
      <c r="AK145" s="12"/>
    </row>
    <row r="146" spans="1:37" s="17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20"/>
      <c r="Y146" s="19"/>
      <c r="Z146" s="19"/>
      <c r="AA146" s="19"/>
      <c r="AB146" s="13"/>
      <c r="AC146" s="13"/>
      <c r="AD146" s="13"/>
      <c r="AE146" s="13"/>
      <c r="AF146" s="18"/>
      <c r="AG146" s="12"/>
      <c r="AH146" s="12"/>
      <c r="AI146" s="12"/>
      <c r="AJ146" s="12"/>
      <c r="AK146" s="33"/>
    </row>
    <row r="147" spans="1:37" s="17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19"/>
      <c r="Z147" s="19"/>
      <c r="AA147" s="19"/>
      <c r="AB147" s="13"/>
      <c r="AC147" s="13"/>
      <c r="AD147" s="13"/>
      <c r="AE147" s="13"/>
      <c r="AF147" s="18"/>
      <c r="AG147" s="12"/>
      <c r="AH147" s="12"/>
      <c r="AI147" s="12"/>
      <c r="AJ147" s="12"/>
      <c r="AK147" s="12"/>
    </row>
    <row r="148" spans="1:37" s="17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20"/>
      <c r="Y148" s="19"/>
      <c r="Z148" s="19"/>
      <c r="AA148" s="19"/>
      <c r="AB148" s="13"/>
      <c r="AC148" s="13"/>
      <c r="AD148" s="13"/>
      <c r="AE148" s="13"/>
      <c r="AF148" s="18"/>
      <c r="AG148" s="12"/>
      <c r="AH148" s="12"/>
      <c r="AI148" s="12"/>
      <c r="AJ148" s="12"/>
      <c r="AK148" s="12"/>
    </row>
    <row r="149" spans="1:37" s="17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20"/>
      <c r="Y149" s="19"/>
      <c r="Z149" s="19"/>
      <c r="AA149" s="19"/>
      <c r="AB149" s="13"/>
      <c r="AC149" s="13"/>
      <c r="AD149" s="13"/>
      <c r="AE149" s="13"/>
      <c r="AF149" s="18"/>
      <c r="AG149" s="12"/>
      <c r="AH149" s="12"/>
      <c r="AI149" s="12"/>
      <c r="AJ149" s="12"/>
      <c r="AK149" s="12"/>
    </row>
    <row r="150" spans="1:37" s="17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20"/>
      <c r="Y150" s="19"/>
      <c r="Z150" s="19"/>
      <c r="AA150" s="19"/>
      <c r="AB150" s="13"/>
      <c r="AC150" s="13"/>
      <c r="AD150" s="13"/>
      <c r="AE150" s="13"/>
      <c r="AF150" s="18"/>
      <c r="AG150" s="12"/>
      <c r="AH150" s="12"/>
      <c r="AI150" s="12"/>
      <c r="AJ150" s="12"/>
      <c r="AK150" s="12"/>
    </row>
    <row r="151" spans="1:37" customFormat="1" x14ac:dyDescent="0.2"/>
  </sheetData>
  <sheetProtection formatCells="0" formatColumns="0" formatRows="0" insertRows="0" deleteRows="0"/>
  <sortState xmlns:xlrd2="http://schemas.microsoft.com/office/spreadsheetml/2017/richdata2" ref="A6:AX141">
    <sortCondition ref="AX6:AX141"/>
  </sortState>
  <phoneticPr fontId="2" type="noConversion"/>
  <pageMargins left="0.75" right="0.75" top="1" bottom="1" header="0.5" footer="0.5"/>
  <pageSetup paperSize="9" orientation="portrait" horizontalDpi="4294967294" verticalDpi="0" r:id="rId1"/>
  <headerFooter alignWithMargins="0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F23"/>
  <sheetViews>
    <sheetView workbookViewId="0">
      <selection activeCell="F18" sqref="F18:F21"/>
    </sheetView>
  </sheetViews>
  <sheetFormatPr defaultRowHeight="12.75" x14ac:dyDescent="0.2"/>
  <cols>
    <col min="1" max="1" width="9.140625" style="25"/>
    <col min="2" max="2" width="25.85546875" style="7" customWidth="1"/>
    <col min="3" max="3" width="14.7109375" style="7" customWidth="1"/>
    <col min="4" max="4" width="14.5703125" style="7" customWidth="1"/>
    <col min="5" max="5" width="19.85546875" style="7" bestFit="1" customWidth="1"/>
    <col min="6" max="6" width="9.140625" style="7"/>
  </cols>
  <sheetData>
    <row r="1" spans="1:6" x14ac:dyDescent="0.2">
      <c r="A1" s="30" t="s">
        <v>79</v>
      </c>
      <c r="B1" s="29" t="s">
        <v>80</v>
      </c>
      <c r="C1" s="29" t="s">
        <v>26</v>
      </c>
      <c r="D1" s="29" t="s">
        <v>27</v>
      </c>
      <c r="E1" s="29" t="s">
        <v>30</v>
      </c>
      <c r="F1" s="29" t="s">
        <v>11</v>
      </c>
    </row>
    <row r="2" spans="1:6" ht="13.5" x14ac:dyDescent="0.25">
      <c r="A2" s="10">
        <v>1</v>
      </c>
      <c r="B2" s="8" t="s">
        <v>1239</v>
      </c>
      <c r="C2" s="8" t="s">
        <v>1731</v>
      </c>
      <c r="D2" s="8" t="s">
        <v>1070</v>
      </c>
      <c r="E2" s="8" t="s">
        <v>2212</v>
      </c>
      <c r="F2" s="8" t="e">
        <f ca="1">CDU1.GFDP!FD_CL_PAR3</f>
        <v>#NAME?</v>
      </c>
    </row>
    <row r="3" spans="1:6" ht="13.5" x14ac:dyDescent="0.25">
      <c r="A3" s="10">
        <v>2</v>
      </c>
      <c r="B3" s="8" t="s">
        <v>1241</v>
      </c>
      <c r="C3" s="8" t="s">
        <v>1731</v>
      </c>
      <c r="D3" s="8" t="s">
        <v>1070</v>
      </c>
      <c r="E3" s="8" t="s">
        <v>2213</v>
      </c>
      <c r="F3" s="8" t="e">
        <f ca="1">CDU1.GFDP!FD_CL_PAR4</f>
        <v>#NAME?</v>
      </c>
    </row>
    <row r="4" spans="1:6" ht="13.5" x14ac:dyDescent="0.25">
      <c r="A4" s="10">
        <v>3</v>
      </c>
      <c r="B4" s="8" t="s">
        <v>1243</v>
      </c>
      <c r="C4" s="8" t="s">
        <v>1731</v>
      </c>
      <c r="D4" s="8" t="s">
        <v>1070</v>
      </c>
      <c r="E4" s="8" t="s">
        <v>2214</v>
      </c>
      <c r="F4" s="8" t="e">
        <f ca="1">CDU1.GFDP!FD_FZ_PAR3</f>
        <v>#NAME?</v>
      </c>
    </row>
    <row r="5" spans="1:6" ht="13.5" x14ac:dyDescent="0.25">
      <c r="A5" s="10">
        <v>4</v>
      </c>
      <c r="B5" s="8" t="s">
        <v>1244</v>
      </c>
      <c r="C5" s="8" t="s">
        <v>1731</v>
      </c>
      <c r="D5" s="8" t="s">
        <v>1070</v>
      </c>
      <c r="E5" s="8" t="s">
        <v>2215</v>
      </c>
      <c r="F5" s="8" t="e">
        <f ca="1">CDU1.GFDP!FD_FZ_PAR4</f>
        <v>#NAME?</v>
      </c>
    </row>
    <row r="6" spans="1:6" ht="13.5" x14ac:dyDescent="0.25">
      <c r="A6" s="10">
        <v>5</v>
      </c>
      <c r="B6" s="8" t="s">
        <v>1245</v>
      </c>
      <c r="C6" s="8" t="s">
        <v>1731</v>
      </c>
      <c r="D6" s="8" t="s">
        <v>1070</v>
      </c>
      <c r="E6" s="8" t="s">
        <v>2216</v>
      </c>
      <c r="F6" s="8" t="e">
        <f ca="1">CDU1.GFDP!FD_FL_PAR3</f>
        <v>#NAME?</v>
      </c>
    </row>
    <row r="7" spans="1:6" ht="13.5" x14ac:dyDescent="0.25">
      <c r="A7" s="10">
        <v>6</v>
      </c>
      <c r="B7" s="8" t="s">
        <v>1246</v>
      </c>
      <c r="C7" s="8" t="s">
        <v>1731</v>
      </c>
      <c r="D7" s="8" t="s">
        <v>1070</v>
      </c>
      <c r="E7" s="8" t="s">
        <v>1248</v>
      </c>
      <c r="F7" s="8" t="e">
        <f ca="1">CDU1.GFDP!FD_FL_PAR4</f>
        <v>#NAME?</v>
      </c>
    </row>
    <row r="8" spans="1:6" ht="13.5" x14ac:dyDescent="0.25">
      <c r="A8" s="10">
        <v>7</v>
      </c>
      <c r="B8" s="8" t="s">
        <v>1247</v>
      </c>
      <c r="C8" s="8" t="s">
        <v>1731</v>
      </c>
      <c r="D8" s="8" t="s">
        <v>1070</v>
      </c>
      <c r="E8" s="8" t="s">
        <v>1240</v>
      </c>
      <c r="F8" s="8" t="e">
        <f ca="1">CDU1.GFDP!FD_SUL_PAR3</f>
        <v>#NAME?</v>
      </c>
    </row>
    <row r="9" spans="1:6" ht="13.5" x14ac:dyDescent="0.25">
      <c r="A9" s="10">
        <v>8</v>
      </c>
      <c r="B9" s="8" t="s">
        <v>1249</v>
      </c>
      <c r="C9" s="8" t="s">
        <v>1731</v>
      </c>
      <c r="D9" s="8" t="s">
        <v>1070</v>
      </c>
      <c r="E9" s="8" t="s">
        <v>1242</v>
      </c>
      <c r="F9" s="8" t="e">
        <f ca="1">CDU1.GFDP!FD_SUL_PAR4</f>
        <v>#NAME?</v>
      </c>
    </row>
    <row r="10" spans="1:6" ht="13.5" x14ac:dyDescent="0.25">
      <c r="A10" s="10">
        <v>9</v>
      </c>
      <c r="B10" s="8" t="s">
        <v>1250</v>
      </c>
      <c r="C10" s="8" t="s">
        <v>1731</v>
      </c>
      <c r="D10" s="8" t="s">
        <v>1070</v>
      </c>
      <c r="E10" s="8" t="s">
        <v>2217</v>
      </c>
      <c r="F10" s="8" t="e">
        <f ca="1">CDU1.GFDP!FD_PAR2</f>
        <v>#NAME?</v>
      </c>
    </row>
    <row r="11" spans="1:6" ht="13.5" x14ac:dyDescent="0.25">
      <c r="A11" s="10">
        <v>10</v>
      </c>
      <c r="B11" s="8" t="s">
        <v>1251</v>
      </c>
      <c r="C11" s="8" t="s">
        <v>1731</v>
      </c>
      <c r="D11" s="8" t="s">
        <v>1070</v>
      </c>
      <c r="E11" s="8" t="s">
        <v>1252</v>
      </c>
      <c r="F11" s="8">
        <f>CDU1.GFDP!SC1_T951</f>
        <v>392</v>
      </c>
    </row>
    <row r="12" spans="1:6" x14ac:dyDescent="0.2">
      <c r="A12" s="25">
        <v>11</v>
      </c>
      <c r="B12" s="7" t="s">
        <v>1253</v>
      </c>
      <c r="C12" s="7" t="s">
        <v>1731</v>
      </c>
      <c r="D12" s="7" t="s">
        <v>1070</v>
      </c>
      <c r="E12" s="7" t="s">
        <v>1254</v>
      </c>
      <c r="F12" s="7">
        <f>CDU1.GFDP!SC1_T952</f>
        <v>89.923265029659888</v>
      </c>
    </row>
    <row r="13" spans="1:6" x14ac:dyDescent="0.2">
      <c r="A13" s="25">
        <v>12</v>
      </c>
      <c r="B13" s="7" t="s">
        <v>1255</v>
      </c>
      <c r="C13" s="7" t="s">
        <v>1731</v>
      </c>
      <c r="D13" s="7" t="s">
        <v>1070</v>
      </c>
      <c r="E13" s="7" t="s">
        <v>1256</v>
      </c>
      <c r="F13" s="7">
        <f>CDU1.GFDP!SC1_T953</f>
        <v>0</v>
      </c>
    </row>
    <row r="14" spans="1:6" x14ac:dyDescent="0.2">
      <c r="A14" s="25">
        <v>13</v>
      </c>
      <c r="B14" s="7" t="s">
        <v>1257</v>
      </c>
      <c r="C14" s="7" t="s">
        <v>1731</v>
      </c>
      <c r="D14" s="7" t="s">
        <v>1070</v>
      </c>
      <c r="E14" s="7" t="s">
        <v>1258</v>
      </c>
      <c r="F14" s="7">
        <f>CDU1.GFDP!SC2_T951</f>
        <v>572</v>
      </c>
    </row>
    <row r="15" spans="1:6" x14ac:dyDescent="0.2">
      <c r="A15" s="25">
        <v>14</v>
      </c>
      <c r="B15" s="7" t="s">
        <v>1259</v>
      </c>
      <c r="C15" s="7" t="s">
        <v>1731</v>
      </c>
      <c r="D15" s="7" t="s">
        <v>1070</v>
      </c>
      <c r="E15" s="7" t="s">
        <v>1260</v>
      </c>
      <c r="F15" s="7">
        <f>CDU1.GFDP!SC2_T952</f>
        <v>72</v>
      </c>
    </row>
    <row r="16" spans="1:6" x14ac:dyDescent="0.2">
      <c r="A16" s="25">
        <v>15</v>
      </c>
      <c r="B16" s="7" t="s">
        <v>1261</v>
      </c>
      <c r="C16" s="7" t="s">
        <v>1731</v>
      </c>
      <c r="D16" s="7" t="s">
        <v>1070</v>
      </c>
      <c r="E16" s="7" t="s">
        <v>1262</v>
      </c>
      <c r="F16" s="7">
        <f>CDU1.GFDP!SC2_T953</f>
        <v>17.912786256099366</v>
      </c>
    </row>
    <row r="17" spans="1:6" x14ac:dyDescent="0.2">
      <c r="A17" s="25">
        <v>16</v>
      </c>
      <c r="B17" s="7" t="s">
        <v>1263</v>
      </c>
      <c r="C17" s="7" t="s">
        <v>1731</v>
      </c>
      <c r="D17" s="7" t="s">
        <v>1070</v>
      </c>
      <c r="E17" s="7" t="s">
        <v>1264</v>
      </c>
      <c r="F17" s="7">
        <f>CDU1.GFDP!SC2_T954</f>
        <v>0</v>
      </c>
    </row>
    <row r="18" spans="1:6" x14ac:dyDescent="0.2">
      <c r="A18" s="25">
        <v>17</v>
      </c>
      <c r="B18" s="7" t="s">
        <v>1265</v>
      </c>
      <c r="C18" s="7" t="s">
        <v>1731</v>
      </c>
      <c r="D18" s="7" t="s">
        <v>1070</v>
      </c>
      <c r="E18" s="7" t="s">
        <v>1268</v>
      </c>
      <c r="F18" s="7">
        <f>CDU1.GFDP!SC3_T951</f>
        <v>572</v>
      </c>
    </row>
    <row r="19" spans="1:6" x14ac:dyDescent="0.2">
      <c r="A19" s="25">
        <v>18</v>
      </c>
      <c r="B19" s="7" t="s">
        <v>1267</v>
      </c>
      <c r="C19" s="7" t="s">
        <v>1731</v>
      </c>
      <c r="D19" s="7" t="s">
        <v>1070</v>
      </c>
      <c r="E19" s="7" t="s">
        <v>1270</v>
      </c>
      <c r="F19" s="7">
        <f>CDU1.GFDP!SC3_T952</f>
        <v>72</v>
      </c>
    </row>
    <row r="20" spans="1:6" x14ac:dyDescent="0.2">
      <c r="A20" s="25">
        <v>19</v>
      </c>
      <c r="B20" s="7" t="s">
        <v>1269</v>
      </c>
      <c r="C20" s="7" t="s">
        <v>1731</v>
      </c>
      <c r="D20" s="7" t="s">
        <v>1070</v>
      </c>
      <c r="E20" s="7" t="s">
        <v>1272</v>
      </c>
      <c r="F20" s="7">
        <f>CDU1.GFDP!SC3_T953</f>
        <v>156</v>
      </c>
    </row>
    <row r="21" spans="1:6" x14ac:dyDescent="0.2">
      <c r="A21" s="25">
        <v>20</v>
      </c>
      <c r="B21" s="7" t="s">
        <v>1271</v>
      </c>
      <c r="C21" s="7" t="s">
        <v>1731</v>
      </c>
      <c r="D21" s="7" t="s">
        <v>1070</v>
      </c>
      <c r="E21" s="7" t="s">
        <v>2218</v>
      </c>
      <c r="F21" s="7">
        <f>CDU1.GFDP!SC3_T954</f>
        <v>41.905242065419543</v>
      </c>
    </row>
    <row r="22" spans="1:6" x14ac:dyDescent="0.2">
      <c r="A22" s="25">
        <v>21</v>
      </c>
      <c r="B22" s="7" t="s">
        <v>2219</v>
      </c>
      <c r="C22" s="7" t="s">
        <v>1731</v>
      </c>
      <c r="D22" s="7" t="s">
        <v>1070</v>
      </c>
      <c r="E22" s="7" t="s">
        <v>1266</v>
      </c>
      <c r="F22" s="7">
        <f>CDU1.GFDP!SC2_T955</f>
        <v>0</v>
      </c>
    </row>
    <row r="23" spans="1:6" x14ac:dyDescent="0.2">
      <c r="A23" s="25">
        <v>22</v>
      </c>
      <c r="B23" s="7" t="s">
        <v>2220</v>
      </c>
      <c r="C23" s="7" t="s">
        <v>1731</v>
      </c>
      <c r="D23" s="7" t="s">
        <v>1070</v>
      </c>
      <c r="E23" s="7" t="s">
        <v>2221</v>
      </c>
      <c r="F23" s="7">
        <f>CDU1.GFDP!SC3_T955</f>
        <v>0</v>
      </c>
    </row>
  </sheetData>
  <sheetProtection selectLockedCells="1"/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7"/>
  <dimension ref="A2:M341"/>
  <sheetViews>
    <sheetView topLeftCell="A298" workbookViewId="0">
      <selection activeCell="H151" sqref="H151:H319"/>
    </sheetView>
  </sheetViews>
  <sheetFormatPr defaultColWidth="9.140625" defaultRowHeight="12.75" x14ac:dyDescent="0.2"/>
  <cols>
    <col min="2" max="2" width="43.7109375" customWidth="1"/>
    <col min="3" max="3" width="15.7109375" customWidth="1"/>
    <col min="4" max="4" width="22.28515625" bestFit="1" customWidth="1"/>
    <col min="5" max="6" width="15.7109375" customWidth="1"/>
    <col min="7" max="7" width="16.7109375" customWidth="1"/>
    <col min="8" max="8" width="15.7109375" customWidth="1"/>
    <col min="9" max="9" width="24.5703125" customWidth="1"/>
    <col min="10" max="10" width="16.42578125" customWidth="1"/>
    <col min="11" max="11" width="19.140625" customWidth="1"/>
  </cols>
  <sheetData>
    <row r="2" spans="1:13" x14ac:dyDescent="0.2">
      <c r="B2" t="s">
        <v>28</v>
      </c>
      <c r="F2" t="s">
        <v>29</v>
      </c>
      <c r="K2" t="s">
        <v>135</v>
      </c>
    </row>
    <row r="3" spans="1:13" x14ac:dyDescent="0.2">
      <c r="B3" t="s">
        <v>2</v>
      </c>
      <c r="C3">
        <v>0.33</v>
      </c>
      <c r="D3" t="s">
        <v>24</v>
      </c>
      <c r="F3" t="s">
        <v>23</v>
      </c>
      <c r="G3" t="s">
        <v>1759</v>
      </c>
      <c r="K3" t="s">
        <v>136</v>
      </c>
      <c r="L3">
        <v>1400</v>
      </c>
      <c r="M3" t="s">
        <v>137</v>
      </c>
    </row>
    <row r="4" spans="1:13" x14ac:dyDescent="0.2">
      <c r="B4" t="s">
        <v>3</v>
      </c>
      <c r="C4">
        <v>3</v>
      </c>
      <c r="D4" t="s">
        <v>4</v>
      </c>
      <c r="F4" t="s">
        <v>2</v>
      </c>
      <c r="G4">
        <v>0.33</v>
      </c>
      <c r="H4" t="s">
        <v>24</v>
      </c>
      <c r="K4" t="s">
        <v>155</v>
      </c>
      <c r="L4" t="s">
        <v>45</v>
      </c>
    </row>
    <row r="5" spans="1:13" x14ac:dyDescent="0.2">
      <c r="B5" t="s">
        <v>91</v>
      </c>
      <c r="C5" t="s">
        <v>510</v>
      </c>
      <c r="D5" t="str">
        <f>ApplicationType</f>
        <v>GDOT_DR</v>
      </c>
      <c r="F5" t="s">
        <v>3</v>
      </c>
      <c r="G5">
        <v>3</v>
      </c>
      <c r="H5" t="s">
        <v>4</v>
      </c>
    </row>
    <row r="6" spans="1:13" x14ac:dyDescent="0.2">
      <c r="B6" t="s">
        <v>89</v>
      </c>
      <c r="C6" t="s">
        <v>90</v>
      </c>
      <c r="F6" t="s">
        <v>33</v>
      </c>
      <c r="G6" t="s">
        <v>1758</v>
      </c>
    </row>
    <row r="7" spans="1:13" x14ac:dyDescent="0.2">
      <c r="F7" t="s">
        <v>39</v>
      </c>
      <c r="G7" t="s">
        <v>2222</v>
      </c>
    </row>
    <row r="8" spans="1:13" x14ac:dyDescent="0.2">
      <c r="B8" t="s">
        <v>75</v>
      </c>
      <c r="C8">
        <v>136</v>
      </c>
      <c r="F8" t="s">
        <v>36</v>
      </c>
    </row>
    <row r="9" spans="1:13" x14ac:dyDescent="0.2">
      <c r="B9" t="s">
        <v>76</v>
      </c>
      <c r="C9">
        <v>169</v>
      </c>
      <c r="F9" t="s">
        <v>38</v>
      </c>
      <c r="J9" s="70"/>
    </row>
    <row r="10" spans="1:13" x14ac:dyDescent="0.2">
      <c r="B10" t="s">
        <v>111</v>
      </c>
      <c r="C10">
        <v>0</v>
      </c>
      <c r="F10" t="s">
        <v>112</v>
      </c>
      <c r="G10" t="str">
        <f>G12</f>
        <v>MD_CDU_HYDROTREATERS_ENG</v>
      </c>
    </row>
    <row r="11" spans="1:13" x14ac:dyDescent="0.2">
      <c r="B11" t="s">
        <v>87</v>
      </c>
      <c r="C11">
        <v>22</v>
      </c>
      <c r="F11" t="s">
        <v>58</v>
      </c>
      <c r="G11" t="str">
        <f>CONCATENATE(Folder_Location,"\GDOT Apps\",ApplicationName)</f>
        <v>C:\GDOT Apps\MD_CDU_HYDROTREATERS_ENG</v>
      </c>
    </row>
    <row r="12" spans="1:13" x14ac:dyDescent="0.2">
      <c r="F12" t="s">
        <v>108</v>
      </c>
      <c r="G12" t="s">
        <v>1733</v>
      </c>
    </row>
    <row r="13" spans="1:13" x14ac:dyDescent="0.2">
      <c r="B13" t="s">
        <v>13</v>
      </c>
    </row>
    <row r="14" spans="1:13" x14ac:dyDescent="0.2">
      <c r="A14" t="s">
        <v>34</v>
      </c>
      <c r="B14" t="s">
        <v>12</v>
      </c>
      <c r="C14" t="s">
        <v>15</v>
      </c>
      <c r="D14" t="s">
        <v>30</v>
      </c>
      <c r="E14" t="s">
        <v>35</v>
      </c>
      <c r="F14" t="s">
        <v>31</v>
      </c>
      <c r="G14" t="s">
        <v>32</v>
      </c>
      <c r="H14" t="s">
        <v>37</v>
      </c>
    </row>
    <row r="15" spans="1:13" x14ac:dyDescent="0.2">
      <c r="A15">
        <v>1</v>
      </c>
      <c r="B15" t="s">
        <v>1731</v>
      </c>
      <c r="C15" t="s">
        <v>1070</v>
      </c>
      <c r="D15" t="s">
        <v>1071</v>
      </c>
      <c r="E15">
        <v>0</v>
      </c>
      <c r="F15">
        <v>192</v>
      </c>
      <c r="G15" s="78">
        <v>44008.679988425924</v>
      </c>
      <c r="H15">
        <v>0</v>
      </c>
      <c r="I15" t="s">
        <v>557</v>
      </c>
    </row>
    <row r="16" spans="1:13" x14ac:dyDescent="0.2">
      <c r="A16">
        <v>2</v>
      </c>
      <c r="B16" t="s">
        <v>1731</v>
      </c>
      <c r="C16" t="s">
        <v>1070</v>
      </c>
      <c r="D16" t="s">
        <v>1072</v>
      </c>
      <c r="E16">
        <v>0</v>
      </c>
      <c r="F16">
        <v>192</v>
      </c>
      <c r="G16" s="78">
        <v>44008.679988425924</v>
      </c>
      <c r="H16">
        <v>0</v>
      </c>
      <c r="I16" t="s">
        <v>558</v>
      </c>
    </row>
    <row r="17" spans="1:9" x14ac:dyDescent="0.2">
      <c r="A17">
        <v>3</v>
      </c>
      <c r="B17" t="s">
        <v>1731</v>
      </c>
      <c r="C17" t="s">
        <v>1070</v>
      </c>
      <c r="D17" t="s">
        <v>1073</v>
      </c>
      <c r="E17">
        <v>0</v>
      </c>
      <c r="F17">
        <v>192</v>
      </c>
      <c r="G17" s="78">
        <v>44008.679988425924</v>
      </c>
      <c r="H17">
        <v>0</v>
      </c>
      <c r="I17" t="s">
        <v>559</v>
      </c>
    </row>
    <row r="18" spans="1:9" x14ac:dyDescent="0.2">
      <c r="A18">
        <v>4</v>
      </c>
      <c r="B18" t="s">
        <v>1731</v>
      </c>
      <c r="C18" t="s">
        <v>1070</v>
      </c>
      <c r="D18" t="s">
        <v>1074</v>
      </c>
      <c r="E18">
        <v>0</v>
      </c>
      <c r="F18">
        <v>192</v>
      </c>
      <c r="G18" s="78">
        <v>44008.679988425924</v>
      </c>
      <c r="H18">
        <v>0</v>
      </c>
      <c r="I18" t="s">
        <v>560</v>
      </c>
    </row>
    <row r="19" spans="1:9" x14ac:dyDescent="0.2">
      <c r="A19">
        <v>5</v>
      </c>
      <c r="B19" t="s">
        <v>1731</v>
      </c>
      <c r="C19" t="s">
        <v>1070</v>
      </c>
      <c r="D19" t="s">
        <v>1075</v>
      </c>
      <c r="E19">
        <v>0</v>
      </c>
      <c r="F19">
        <v>192</v>
      </c>
      <c r="G19" s="78">
        <v>44008.679988425924</v>
      </c>
      <c r="H19">
        <v>0</v>
      </c>
      <c r="I19" t="s">
        <v>561</v>
      </c>
    </row>
    <row r="20" spans="1:9" x14ac:dyDescent="0.2">
      <c r="A20">
        <v>6</v>
      </c>
      <c r="B20" t="s">
        <v>1731</v>
      </c>
      <c r="C20" t="s">
        <v>1070</v>
      </c>
      <c r="D20" t="s">
        <v>1076</v>
      </c>
      <c r="E20">
        <v>0</v>
      </c>
      <c r="F20">
        <v>192</v>
      </c>
      <c r="G20" s="78">
        <v>44008.679988425924</v>
      </c>
      <c r="H20">
        <v>0</v>
      </c>
      <c r="I20" t="s">
        <v>562</v>
      </c>
    </row>
    <row r="21" spans="1:9" x14ac:dyDescent="0.2">
      <c r="A21">
        <v>7</v>
      </c>
      <c r="B21" t="s">
        <v>1731</v>
      </c>
      <c r="C21" t="s">
        <v>1070</v>
      </c>
      <c r="D21" t="s">
        <v>1077</v>
      </c>
      <c r="E21">
        <v>0</v>
      </c>
      <c r="F21">
        <v>192</v>
      </c>
      <c r="G21" s="78">
        <v>44008.679988425924</v>
      </c>
      <c r="H21">
        <v>0</v>
      </c>
      <c r="I21" t="s">
        <v>563</v>
      </c>
    </row>
    <row r="22" spans="1:9" x14ac:dyDescent="0.2">
      <c r="A22">
        <v>8</v>
      </c>
      <c r="B22" t="s">
        <v>1731</v>
      </c>
      <c r="C22" t="s">
        <v>1070</v>
      </c>
      <c r="D22" t="s">
        <v>1078</v>
      </c>
      <c r="E22">
        <v>302</v>
      </c>
      <c r="F22">
        <v>192</v>
      </c>
      <c r="G22" s="78">
        <v>44008.679988425924</v>
      </c>
      <c r="H22">
        <v>302</v>
      </c>
      <c r="I22" t="s">
        <v>521</v>
      </c>
    </row>
    <row r="23" spans="1:9" x14ac:dyDescent="0.2">
      <c r="A23">
        <v>9</v>
      </c>
      <c r="B23" t="s">
        <v>1731</v>
      </c>
      <c r="C23" t="s">
        <v>1070</v>
      </c>
      <c r="D23" t="s">
        <v>1079</v>
      </c>
      <c r="E23">
        <v>0.78691463946754203</v>
      </c>
      <c r="F23">
        <v>192</v>
      </c>
      <c r="G23" s="78">
        <v>44008.679988425924</v>
      </c>
      <c r="H23">
        <v>0.78691463946754203</v>
      </c>
      <c r="I23" t="s">
        <v>535</v>
      </c>
    </row>
    <row r="24" spans="1:9" x14ac:dyDescent="0.2">
      <c r="A24">
        <v>10</v>
      </c>
      <c r="B24" t="s">
        <v>1731</v>
      </c>
      <c r="C24" t="s">
        <v>1070</v>
      </c>
      <c r="D24" t="s">
        <v>1080</v>
      </c>
      <c r="E24">
        <v>2448.4359202393998</v>
      </c>
      <c r="F24">
        <v>192</v>
      </c>
      <c r="G24" s="78">
        <v>44008.679988425924</v>
      </c>
      <c r="H24">
        <v>2448.4359202393998</v>
      </c>
      <c r="I24" t="s">
        <v>538</v>
      </c>
    </row>
    <row r="25" spans="1:9" x14ac:dyDescent="0.2">
      <c r="A25">
        <v>11</v>
      </c>
      <c r="B25" t="s">
        <v>1731</v>
      </c>
      <c r="C25" t="s">
        <v>1070</v>
      </c>
      <c r="D25" t="s">
        <v>1081</v>
      </c>
      <c r="E25">
        <v>482</v>
      </c>
      <c r="F25">
        <v>192</v>
      </c>
      <c r="G25" s="78">
        <v>44008.679988425924</v>
      </c>
      <c r="H25">
        <v>482</v>
      </c>
      <c r="I25" t="s">
        <v>534</v>
      </c>
    </row>
    <row r="26" spans="1:9" x14ac:dyDescent="0.2">
      <c r="A26">
        <v>12</v>
      </c>
      <c r="B26" t="s">
        <v>1731</v>
      </c>
      <c r="C26" t="s">
        <v>1070</v>
      </c>
      <c r="D26" t="s">
        <v>1082</v>
      </c>
      <c r="E26">
        <v>-60.368271634673597</v>
      </c>
      <c r="F26">
        <v>192</v>
      </c>
      <c r="G26" s="78">
        <v>44008.679988425924</v>
      </c>
      <c r="H26">
        <v>-60.368271634673597</v>
      </c>
      <c r="I26" t="s">
        <v>536</v>
      </c>
    </row>
    <row r="27" spans="1:9" x14ac:dyDescent="0.2">
      <c r="A27">
        <v>13</v>
      </c>
      <c r="B27" t="s">
        <v>1731</v>
      </c>
      <c r="C27" t="s">
        <v>1070</v>
      </c>
      <c r="D27" t="s">
        <v>1083</v>
      </c>
      <c r="E27">
        <v>-44.1073881934444</v>
      </c>
      <c r="F27">
        <v>192</v>
      </c>
      <c r="G27" s="78">
        <v>44008.679988425924</v>
      </c>
      <c r="H27">
        <v>-44.1073881934444</v>
      </c>
      <c r="I27" t="s">
        <v>539</v>
      </c>
    </row>
    <row r="28" spans="1:9" x14ac:dyDescent="0.2">
      <c r="A28">
        <v>14</v>
      </c>
      <c r="B28" t="s">
        <v>1731</v>
      </c>
      <c r="C28" t="s">
        <v>1070</v>
      </c>
      <c r="D28" t="s">
        <v>1084</v>
      </c>
      <c r="E28">
        <v>107.761589851708</v>
      </c>
      <c r="F28">
        <v>192</v>
      </c>
      <c r="G28" s="78">
        <v>44008.679988425924</v>
      </c>
      <c r="H28">
        <v>107.761589851708</v>
      </c>
      <c r="I28" t="s">
        <v>537</v>
      </c>
    </row>
    <row r="29" spans="1:9" x14ac:dyDescent="0.2">
      <c r="A29">
        <v>15</v>
      </c>
      <c r="B29" t="s">
        <v>1731</v>
      </c>
      <c r="C29" t="s">
        <v>1070</v>
      </c>
      <c r="D29" t="s">
        <v>1085</v>
      </c>
      <c r="E29">
        <v>56.534183307583703</v>
      </c>
      <c r="F29">
        <v>192</v>
      </c>
      <c r="G29" s="78">
        <v>44008.679988425924</v>
      </c>
      <c r="H29">
        <v>56.534183307583703</v>
      </c>
      <c r="I29" t="s">
        <v>527</v>
      </c>
    </row>
    <row r="30" spans="1:9" x14ac:dyDescent="0.2">
      <c r="A30">
        <v>16</v>
      </c>
      <c r="B30" t="s">
        <v>1731</v>
      </c>
      <c r="C30" t="s">
        <v>1070</v>
      </c>
      <c r="D30" t="s">
        <v>1086</v>
      </c>
      <c r="E30">
        <v>0.83893847024218304</v>
      </c>
      <c r="F30">
        <v>192</v>
      </c>
      <c r="G30" s="78">
        <v>44008.679988425924</v>
      </c>
      <c r="H30">
        <v>0.83893847024218304</v>
      </c>
      <c r="I30" t="s">
        <v>523</v>
      </c>
    </row>
    <row r="31" spans="1:9" x14ac:dyDescent="0.2">
      <c r="A31">
        <v>17</v>
      </c>
      <c r="B31" t="s">
        <v>1731</v>
      </c>
      <c r="C31" t="s">
        <v>1070</v>
      </c>
      <c r="D31" t="s">
        <v>1087</v>
      </c>
      <c r="E31">
        <v>3999.9951392451198</v>
      </c>
      <c r="F31">
        <v>192</v>
      </c>
      <c r="G31" s="78">
        <v>44008.679988425924</v>
      </c>
      <c r="H31">
        <v>3999.9951392451198</v>
      </c>
      <c r="I31" t="s">
        <v>526</v>
      </c>
    </row>
    <row r="32" spans="1:9" x14ac:dyDescent="0.2">
      <c r="A32">
        <v>18</v>
      </c>
      <c r="B32" t="s">
        <v>1731</v>
      </c>
      <c r="C32" t="s">
        <v>1070</v>
      </c>
      <c r="D32" t="s">
        <v>1088</v>
      </c>
      <c r="E32">
        <v>662</v>
      </c>
      <c r="F32">
        <v>192</v>
      </c>
      <c r="G32" s="78">
        <v>44008.679988425924</v>
      </c>
      <c r="H32">
        <v>662</v>
      </c>
      <c r="I32" t="s">
        <v>522</v>
      </c>
    </row>
    <row r="33" spans="1:9" x14ac:dyDescent="0.2">
      <c r="A33">
        <v>19</v>
      </c>
      <c r="B33" t="s">
        <v>1731</v>
      </c>
      <c r="C33" t="s">
        <v>1070</v>
      </c>
      <c r="D33" t="s">
        <v>1089</v>
      </c>
      <c r="E33">
        <v>5.0000019223871801</v>
      </c>
      <c r="F33">
        <v>192</v>
      </c>
      <c r="G33" s="78">
        <v>44008.679988425924</v>
      </c>
      <c r="H33">
        <v>5.0000019223871801</v>
      </c>
      <c r="I33" t="s">
        <v>524</v>
      </c>
    </row>
    <row r="34" spans="1:9" x14ac:dyDescent="0.2">
      <c r="A34">
        <v>20</v>
      </c>
      <c r="B34" t="s">
        <v>1731</v>
      </c>
      <c r="C34" t="s">
        <v>1070</v>
      </c>
      <c r="D34" t="s">
        <v>1090</v>
      </c>
      <c r="E34">
        <v>217.91921301060401</v>
      </c>
      <c r="F34">
        <v>192</v>
      </c>
      <c r="G34" s="78">
        <v>44008.679988425924</v>
      </c>
      <c r="H34">
        <v>217.91921301060401</v>
      </c>
      <c r="I34" t="s">
        <v>525</v>
      </c>
    </row>
    <row r="35" spans="1:9" x14ac:dyDescent="0.2">
      <c r="A35">
        <v>21</v>
      </c>
      <c r="B35" t="s">
        <v>1731</v>
      </c>
      <c r="C35" t="s">
        <v>1070</v>
      </c>
      <c r="D35" t="s">
        <v>1091</v>
      </c>
      <c r="E35">
        <v>43.681552531437497</v>
      </c>
      <c r="F35">
        <v>192</v>
      </c>
      <c r="G35" s="78">
        <v>44008.679988425924</v>
      </c>
      <c r="H35">
        <v>43.681552531437497</v>
      </c>
      <c r="I35" t="s">
        <v>533</v>
      </c>
    </row>
    <row r="36" spans="1:9" x14ac:dyDescent="0.2">
      <c r="A36">
        <v>22</v>
      </c>
      <c r="B36" t="s">
        <v>1731</v>
      </c>
      <c r="C36" t="s">
        <v>1070</v>
      </c>
      <c r="D36" t="s">
        <v>1092</v>
      </c>
      <c r="E36">
        <v>0.85566489680874602</v>
      </c>
      <c r="F36">
        <v>192</v>
      </c>
      <c r="G36" s="78">
        <v>44008.679988425924</v>
      </c>
      <c r="H36">
        <v>0.85566489680874602</v>
      </c>
      <c r="I36" t="s">
        <v>529</v>
      </c>
    </row>
    <row r="37" spans="1:9" x14ac:dyDescent="0.2">
      <c r="A37">
        <v>23</v>
      </c>
      <c r="B37" t="s">
        <v>1731</v>
      </c>
      <c r="C37" t="s">
        <v>1070</v>
      </c>
      <c r="D37" t="s">
        <v>1093</v>
      </c>
      <c r="E37">
        <v>5554.6341589663398</v>
      </c>
      <c r="F37">
        <v>192</v>
      </c>
      <c r="G37" s="78">
        <v>44008.679988425924</v>
      </c>
      <c r="H37">
        <v>5554.6341589663398</v>
      </c>
      <c r="I37" t="s">
        <v>532</v>
      </c>
    </row>
    <row r="38" spans="1:9" x14ac:dyDescent="0.2">
      <c r="A38">
        <v>24</v>
      </c>
      <c r="B38" t="s">
        <v>1731</v>
      </c>
      <c r="C38" t="s">
        <v>1070</v>
      </c>
      <c r="D38" t="s">
        <v>1094</v>
      </c>
      <c r="E38">
        <v>842</v>
      </c>
      <c r="F38">
        <v>192</v>
      </c>
      <c r="G38" s="78">
        <v>44008.679988425924</v>
      </c>
      <c r="H38">
        <v>842</v>
      </c>
      <c r="I38" t="s">
        <v>528</v>
      </c>
    </row>
    <row r="39" spans="1:9" x14ac:dyDescent="0.2">
      <c r="A39">
        <v>25</v>
      </c>
      <c r="B39" t="s">
        <v>1731</v>
      </c>
      <c r="C39" t="s">
        <v>1070</v>
      </c>
      <c r="D39" t="s">
        <v>1095</v>
      </c>
      <c r="E39">
        <v>70.368275479031098</v>
      </c>
      <c r="F39">
        <v>192</v>
      </c>
      <c r="G39" s="78">
        <v>44008.679988425924</v>
      </c>
      <c r="H39">
        <v>70.368275479031098</v>
      </c>
      <c r="I39" t="s">
        <v>530</v>
      </c>
    </row>
    <row r="40" spans="1:9" x14ac:dyDescent="0.2">
      <c r="A40">
        <v>26</v>
      </c>
      <c r="B40" t="s">
        <v>1731</v>
      </c>
      <c r="C40" t="s">
        <v>1070</v>
      </c>
      <c r="D40" t="s">
        <v>1096</v>
      </c>
      <c r="E40">
        <v>323.62406847771803</v>
      </c>
      <c r="F40">
        <v>192</v>
      </c>
      <c r="G40" s="78">
        <v>44008.679988425924</v>
      </c>
      <c r="H40">
        <v>323.62406847771803</v>
      </c>
      <c r="I40" t="s">
        <v>531</v>
      </c>
    </row>
    <row r="41" spans="1:9" x14ac:dyDescent="0.2">
      <c r="A41">
        <v>27</v>
      </c>
      <c r="B41" t="s">
        <v>1731</v>
      </c>
      <c r="C41" t="s">
        <v>1070</v>
      </c>
      <c r="D41" t="s">
        <v>1097</v>
      </c>
      <c r="E41">
        <v>0</v>
      </c>
      <c r="F41">
        <v>192</v>
      </c>
      <c r="G41" s="78">
        <v>44008.679988425924</v>
      </c>
      <c r="H41">
        <v>0</v>
      </c>
      <c r="I41" t="s">
        <v>589</v>
      </c>
    </row>
    <row r="42" spans="1:9" x14ac:dyDescent="0.2">
      <c r="A42">
        <v>28</v>
      </c>
      <c r="B42" t="s">
        <v>1731</v>
      </c>
      <c r="C42" t="s">
        <v>1070</v>
      </c>
      <c r="D42" t="s">
        <v>1098</v>
      </c>
      <c r="E42">
        <v>0</v>
      </c>
      <c r="F42">
        <v>192</v>
      </c>
      <c r="G42" s="78">
        <v>44008.679988425924</v>
      </c>
      <c r="H42">
        <v>0</v>
      </c>
      <c r="I42" t="s">
        <v>590</v>
      </c>
    </row>
    <row r="43" spans="1:9" x14ac:dyDescent="0.2">
      <c r="A43">
        <v>29</v>
      </c>
      <c r="B43" t="s">
        <v>1731</v>
      </c>
      <c r="C43" t="s">
        <v>1070</v>
      </c>
      <c r="D43" t="s">
        <v>1099</v>
      </c>
      <c r="E43">
        <v>0</v>
      </c>
      <c r="F43">
        <v>192</v>
      </c>
      <c r="G43" s="78">
        <v>44008.679988425924</v>
      </c>
      <c r="H43">
        <v>0</v>
      </c>
      <c r="I43" t="s">
        <v>591</v>
      </c>
    </row>
    <row r="44" spans="1:9" x14ac:dyDescent="0.2">
      <c r="A44">
        <v>30</v>
      </c>
      <c r="B44" t="s">
        <v>1731</v>
      </c>
      <c r="C44" t="s">
        <v>1070</v>
      </c>
      <c r="D44" t="s">
        <v>1100</v>
      </c>
      <c r="E44">
        <v>7.5185588073708232E-2</v>
      </c>
      <c r="F44">
        <v>192</v>
      </c>
      <c r="G44" s="78">
        <v>44008.679988425924</v>
      </c>
      <c r="H44">
        <v>7.5185588073708232E-2</v>
      </c>
      <c r="I44" t="s">
        <v>592</v>
      </c>
    </row>
    <row r="45" spans="1:9" x14ac:dyDescent="0.2">
      <c r="A45">
        <v>31</v>
      </c>
      <c r="B45" t="s">
        <v>1731</v>
      </c>
      <c r="C45" t="s">
        <v>1070</v>
      </c>
      <c r="D45" t="s">
        <v>1101</v>
      </c>
      <c r="E45">
        <v>8.5251691177735012E-2</v>
      </c>
      <c r="F45">
        <v>192</v>
      </c>
      <c r="G45" s="78">
        <v>44008.679988425924</v>
      </c>
      <c r="H45">
        <v>8.5251691177735012E-2</v>
      </c>
      <c r="I45" t="s">
        <v>593</v>
      </c>
    </row>
    <row r="46" spans="1:9" x14ac:dyDescent="0.2">
      <c r="A46">
        <v>32</v>
      </c>
      <c r="B46" t="s">
        <v>1731</v>
      </c>
      <c r="C46" t="s">
        <v>1070</v>
      </c>
      <c r="D46" t="s">
        <v>1102</v>
      </c>
      <c r="E46">
        <v>9.1344641536657889E-2</v>
      </c>
      <c r="F46">
        <v>192</v>
      </c>
      <c r="G46" s="78">
        <v>44008.679988425924</v>
      </c>
      <c r="H46">
        <v>9.1344641536657889E-2</v>
      </c>
      <c r="I46" t="s">
        <v>594</v>
      </c>
    </row>
    <row r="47" spans="1:9" x14ac:dyDescent="0.2">
      <c r="A47">
        <v>33</v>
      </c>
      <c r="B47" t="s">
        <v>1731</v>
      </c>
      <c r="C47" t="s">
        <v>1070</v>
      </c>
      <c r="D47" t="s">
        <v>1103</v>
      </c>
      <c r="E47">
        <v>2.0894017804382638E-2</v>
      </c>
      <c r="F47">
        <v>192</v>
      </c>
      <c r="G47" s="78">
        <v>44008.679988425924</v>
      </c>
      <c r="H47">
        <v>2.0894017804382638E-2</v>
      </c>
      <c r="I47" t="s">
        <v>595</v>
      </c>
    </row>
    <row r="48" spans="1:9" x14ac:dyDescent="0.2">
      <c r="A48">
        <v>34</v>
      </c>
      <c r="B48" t="s">
        <v>1731</v>
      </c>
      <c r="C48" t="s">
        <v>1070</v>
      </c>
      <c r="D48" t="s">
        <v>1104</v>
      </c>
      <c r="E48">
        <v>0</v>
      </c>
      <c r="F48">
        <v>192</v>
      </c>
      <c r="G48" s="78">
        <v>44008.679988425924</v>
      </c>
      <c r="H48">
        <v>0</v>
      </c>
      <c r="I48" t="s">
        <v>596</v>
      </c>
    </row>
    <row r="49" spans="1:9" x14ac:dyDescent="0.2">
      <c r="A49">
        <v>35</v>
      </c>
      <c r="B49" t="s">
        <v>1731</v>
      </c>
      <c r="C49" t="s">
        <v>1070</v>
      </c>
      <c r="D49" t="s">
        <v>1105</v>
      </c>
      <c r="E49">
        <v>2.3692850630991771E-2</v>
      </c>
      <c r="F49">
        <v>192</v>
      </c>
      <c r="G49" s="78">
        <v>44008.679988425924</v>
      </c>
      <c r="H49">
        <v>2.3692850630991771E-2</v>
      </c>
      <c r="I49" t="s">
        <v>597</v>
      </c>
    </row>
    <row r="50" spans="1:9" x14ac:dyDescent="0.2">
      <c r="A50">
        <v>36</v>
      </c>
      <c r="B50" t="s">
        <v>1731</v>
      </c>
      <c r="C50" t="s">
        <v>1070</v>
      </c>
      <c r="D50" t="s">
        <v>1106</v>
      </c>
      <c r="E50">
        <v>4.2639183284458516E-2</v>
      </c>
      <c r="F50">
        <v>192</v>
      </c>
      <c r="G50" s="78">
        <v>44008.679988425924</v>
      </c>
      <c r="H50">
        <v>4.2639183284458516E-2</v>
      </c>
      <c r="I50" t="s">
        <v>598</v>
      </c>
    </row>
    <row r="51" spans="1:9" x14ac:dyDescent="0.2">
      <c r="A51">
        <v>37</v>
      </c>
      <c r="B51" t="s">
        <v>1731</v>
      </c>
      <c r="C51" t="s">
        <v>1070</v>
      </c>
      <c r="D51" t="s">
        <v>1107</v>
      </c>
      <c r="E51">
        <v>0</v>
      </c>
      <c r="F51">
        <v>192</v>
      </c>
      <c r="G51" s="78">
        <v>44008.679988425924</v>
      </c>
      <c r="H51">
        <v>0</v>
      </c>
      <c r="I51" t="s">
        <v>599</v>
      </c>
    </row>
    <row r="52" spans="1:9" x14ac:dyDescent="0.2">
      <c r="A52">
        <v>38</v>
      </c>
      <c r="B52" t="s">
        <v>1731</v>
      </c>
      <c r="C52" t="s">
        <v>1070</v>
      </c>
      <c r="D52" t="s">
        <v>1108</v>
      </c>
      <c r="E52">
        <v>0</v>
      </c>
      <c r="F52">
        <v>192</v>
      </c>
      <c r="G52" s="78">
        <v>44008.679988425924</v>
      </c>
      <c r="H52">
        <v>0</v>
      </c>
      <c r="I52" t="s">
        <v>1761</v>
      </c>
    </row>
    <row r="53" spans="1:9" x14ac:dyDescent="0.2">
      <c r="A53">
        <v>39</v>
      </c>
      <c r="B53" t="s">
        <v>1731</v>
      </c>
      <c r="C53" t="s">
        <v>1070</v>
      </c>
      <c r="D53" t="s">
        <v>1109</v>
      </c>
      <c r="E53">
        <v>0</v>
      </c>
      <c r="F53">
        <v>192</v>
      </c>
      <c r="G53" s="78">
        <v>44008.679988425924</v>
      </c>
      <c r="H53">
        <v>0</v>
      </c>
      <c r="I53" t="s">
        <v>600</v>
      </c>
    </row>
    <row r="54" spans="1:9" x14ac:dyDescent="0.2">
      <c r="A54">
        <v>40</v>
      </c>
      <c r="B54" t="s">
        <v>1731</v>
      </c>
      <c r="C54" t="s">
        <v>1070</v>
      </c>
      <c r="D54" t="s">
        <v>1110</v>
      </c>
      <c r="E54">
        <v>0</v>
      </c>
      <c r="F54">
        <v>192</v>
      </c>
      <c r="G54" s="78">
        <v>44008.679988425924</v>
      </c>
      <c r="H54">
        <v>0</v>
      </c>
      <c r="I54" t="s">
        <v>601</v>
      </c>
    </row>
    <row r="55" spans="1:9" x14ac:dyDescent="0.2">
      <c r="A55">
        <v>41</v>
      </c>
      <c r="B55" t="s">
        <v>1731</v>
      </c>
      <c r="C55" t="s">
        <v>1070</v>
      </c>
      <c r="D55" t="s">
        <v>1111</v>
      </c>
      <c r="E55">
        <v>3.8931924097256841E-2</v>
      </c>
      <c r="F55">
        <v>192</v>
      </c>
      <c r="G55" s="78">
        <v>44008.679988425924</v>
      </c>
      <c r="H55">
        <v>3.8931924097256841E-2</v>
      </c>
      <c r="I55" t="s">
        <v>602</v>
      </c>
    </row>
    <row r="56" spans="1:9" x14ac:dyDescent="0.2">
      <c r="A56">
        <v>42</v>
      </c>
      <c r="B56" t="s">
        <v>1731</v>
      </c>
      <c r="C56" t="s">
        <v>1070</v>
      </c>
      <c r="D56" t="s">
        <v>1112</v>
      </c>
      <c r="E56">
        <v>0</v>
      </c>
      <c r="F56">
        <v>192</v>
      </c>
      <c r="G56" s="78">
        <v>44008.679988425924</v>
      </c>
      <c r="H56">
        <v>0</v>
      </c>
      <c r="I56" t="s">
        <v>1762</v>
      </c>
    </row>
    <row r="57" spans="1:9" x14ac:dyDescent="0.2">
      <c r="A57">
        <v>43</v>
      </c>
      <c r="B57" t="s">
        <v>1731</v>
      </c>
      <c r="C57" t="s">
        <v>1070</v>
      </c>
      <c r="D57" t="s">
        <v>1113</v>
      </c>
      <c r="E57">
        <v>2.553648662637847E-15</v>
      </c>
      <c r="F57">
        <v>192</v>
      </c>
      <c r="G57" s="78">
        <v>44008.679988425924</v>
      </c>
      <c r="H57">
        <v>2.553648662637847E-15</v>
      </c>
      <c r="I57" t="s">
        <v>603</v>
      </c>
    </row>
    <row r="58" spans="1:9" x14ac:dyDescent="0.2">
      <c r="A58">
        <v>44</v>
      </c>
      <c r="B58" t="s">
        <v>1731</v>
      </c>
      <c r="C58" t="s">
        <v>1070</v>
      </c>
      <c r="D58" t="s">
        <v>1114</v>
      </c>
      <c r="E58">
        <v>2.7224833642159032E-15</v>
      </c>
      <c r="F58">
        <v>192</v>
      </c>
      <c r="G58" s="78">
        <v>44008.679988425924</v>
      </c>
      <c r="H58">
        <v>2.7224833642159032E-15</v>
      </c>
      <c r="I58" t="s">
        <v>604</v>
      </c>
    </row>
    <row r="59" spans="1:9" x14ac:dyDescent="0.2">
      <c r="A59">
        <v>45</v>
      </c>
      <c r="B59" t="s">
        <v>1731</v>
      </c>
      <c r="C59" t="s">
        <v>1070</v>
      </c>
      <c r="D59" t="s">
        <v>1115</v>
      </c>
      <c r="E59">
        <v>2.8725871472962007E-15</v>
      </c>
      <c r="F59">
        <v>192</v>
      </c>
      <c r="G59" s="78">
        <v>44008.679988425924</v>
      </c>
      <c r="H59">
        <v>2.8725871472962007E-15</v>
      </c>
      <c r="I59" t="s">
        <v>605</v>
      </c>
    </row>
    <row r="60" spans="1:9" x14ac:dyDescent="0.2">
      <c r="A60">
        <v>46</v>
      </c>
      <c r="B60" t="s">
        <v>1731</v>
      </c>
      <c r="C60" t="s">
        <v>1070</v>
      </c>
      <c r="D60" t="s">
        <v>1116</v>
      </c>
      <c r="E60">
        <v>-1.1928424470581885E-12</v>
      </c>
      <c r="F60">
        <v>192</v>
      </c>
      <c r="G60" s="78">
        <v>44008.679988425924</v>
      </c>
      <c r="H60">
        <v>-1.1928424470581885E-12</v>
      </c>
      <c r="I60" t="s">
        <v>606</v>
      </c>
    </row>
    <row r="61" spans="1:9" x14ac:dyDescent="0.2">
      <c r="A61">
        <v>47</v>
      </c>
      <c r="B61" t="s">
        <v>1731</v>
      </c>
      <c r="C61" t="s">
        <v>1070</v>
      </c>
      <c r="D61" t="s">
        <v>1117</v>
      </c>
      <c r="E61">
        <v>-9.4079167228130414E-13</v>
      </c>
      <c r="F61">
        <v>192</v>
      </c>
      <c r="G61" s="78">
        <v>44008.679988425924</v>
      </c>
      <c r="H61">
        <v>-9.4079167228130414E-13</v>
      </c>
      <c r="I61" t="s">
        <v>607</v>
      </c>
    </row>
    <row r="62" spans="1:9" x14ac:dyDescent="0.2">
      <c r="A62">
        <v>48</v>
      </c>
      <c r="B62" t="s">
        <v>1731</v>
      </c>
      <c r="C62" t="s">
        <v>1070</v>
      </c>
      <c r="D62" t="s">
        <v>1118</v>
      </c>
      <c r="E62">
        <v>-7.5715971044998443E-13</v>
      </c>
      <c r="F62">
        <v>192</v>
      </c>
      <c r="G62" s="78">
        <v>44008.679988425924</v>
      </c>
      <c r="H62">
        <v>-7.5715971044998443E-13</v>
      </c>
      <c r="I62" t="s">
        <v>608</v>
      </c>
    </row>
    <row r="63" spans="1:9" x14ac:dyDescent="0.2">
      <c r="A63">
        <v>49</v>
      </c>
      <c r="B63" t="s">
        <v>1731</v>
      </c>
      <c r="C63" t="s">
        <v>1070</v>
      </c>
      <c r="D63" t="s">
        <v>1119</v>
      </c>
      <c r="E63">
        <v>-1.2863754354071416E-13</v>
      </c>
      <c r="F63">
        <v>192</v>
      </c>
      <c r="G63" s="78">
        <v>44008.679988425924</v>
      </c>
      <c r="H63">
        <v>-1.2863754354071416E-13</v>
      </c>
      <c r="I63" t="s">
        <v>609</v>
      </c>
    </row>
    <row r="64" spans="1:9" x14ac:dyDescent="0.2">
      <c r="A64">
        <v>50</v>
      </c>
      <c r="B64" t="s">
        <v>1731</v>
      </c>
      <c r="C64" t="s">
        <v>1070</v>
      </c>
      <c r="D64" t="s">
        <v>1120</v>
      </c>
      <c r="E64">
        <v>-2.1464021749546199E-13</v>
      </c>
      <c r="F64">
        <v>192</v>
      </c>
      <c r="G64" s="78">
        <v>44008.679988425924</v>
      </c>
      <c r="H64">
        <v>-2.1464021749546199E-13</v>
      </c>
      <c r="I64" t="s">
        <v>610</v>
      </c>
    </row>
    <row r="65" spans="1:9" x14ac:dyDescent="0.2">
      <c r="A65">
        <v>51</v>
      </c>
      <c r="B65" t="s">
        <v>1731</v>
      </c>
      <c r="C65" t="s">
        <v>1070</v>
      </c>
      <c r="D65" t="s">
        <v>1121</v>
      </c>
      <c r="E65">
        <v>-2.9815930737668408E-13</v>
      </c>
      <c r="F65">
        <v>192</v>
      </c>
      <c r="G65" s="78">
        <v>44008.679988425924</v>
      </c>
      <c r="H65">
        <v>-2.9815930737668408E-13</v>
      </c>
      <c r="I65" t="s">
        <v>611</v>
      </c>
    </row>
    <row r="66" spans="1:9" x14ac:dyDescent="0.2">
      <c r="A66">
        <v>52</v>
      </c>
      <c r="B66" t="s">
        <v>1731</v>
      </c>
      <c r="C66" t="s">
        <v>1070</v>
      </c>
      <c r="D66" t="s">
        <v>1122</v>
      </c>
      <c r="E66">
        <v>4.7306666817155651E-13</v>
      </c>
      <c r="F66">
        <v>192</v>
      </c>
      <c r="G66" s="78">
        <v>44008.679988425924</v>
      </c>
      <c r="H66">
        <v>4.7306666817155651E-13</v>
      </c>
      <c r="I66" t="s">
        <v>612</v>
      </c>
    </row>
    <row r="67" spans="1:9" x14ac:dyDescent="0.2">
      <c r="A67">
        <v>53</v>
      </c>
      <c r="B67" t="s">
        <v>1731</v>
      </c>
      <c r="C67" t="s">
        <v>1070</v>
      </c>
      <c r="D67" t="s">
        <v>1123</v>
      </c>
      <c r="E67">
        <v>7.9150460442049383E-13</v>
      </c>
      <c r="F67">
        <v>192</v>
      </c>
      <c r="G67" s="78">
        <v>44008.679988425924</v>
      </c>
      <c r="H67">
        <v>7.9150460442049383E-13</v>
      </c>
      <c r="I67" t="s">
        <v>613</v>
      </c>
    </row>
    <row r="68" spans="1:9" x14ac:dyDescent="0.2">
      <c r="A68">
        <v>54</v>
      </c>
      <c r="B68" t="s">
        <v>1731</v>
      </c>
      <c r="C68" t="s">
        <v>1070</v>
      </c>
      <c r="D68" t="s">
        <v>1124</v>
      </c>
      <c r="E68">
        <v>1.1105723310730156E-12</v>
      </c>
      <c r="F68">
        <v>192</v>
      </c>
      <c r="G68" s="78">
        <v>44008.679988425924</v>
      </c>
      <c r="H68">
        <v>1.1105723310730156E-12</v>
      </c>
      <c r="I68" t="s">
        <v>614</v>
      </c>
    </row>
    <row r="69" spans="1:9" x14ac:dyDescent="0.2">
      <c r="A69">
        <v>55</v>
      </c>
      <c r="B69" t="s">
        <v>1731</v>
      </c>
      <c r="C69" t="s">
        <v>1070</v>
      </c>
      <c r="D69" t="s">
        <v>1125</v>
      </c>
      <c r="E69">
        <v>0</v>
      </c>
      <c r="F69">
        <v>192</v>
      </c>
      <c r="G69" s="78">
        <v>44008.679988425924</v>
      </c>
      <c r="H69">
        <v>0</v>
      </c>
      <c r="I69" t="s">
        <v>615</v>
      </c>
    </row>
    <row r="70" spans="1:9" x14ac:dyDescent="0.2">
      <c r="A70">
        <v>56</v>
      </c>
      <c r="B70" t="s">
        <v>1731</v>
      </c>
      <c r="C70" t="s">
        <v>1070</v>
      </c>
      <c r="D70" t="s">
        <v>1126</v>
      </c>
      <c r="E70">
        <v>0</v>
      </c>
      <c r="F70">
        <v>192</v>
      </c>
      <c r="G70" s="78">
        <v>44008.679988425924</v>
      </c>
      <c r="H70">
        <v>0</v>
      </c>
      <c r="I70" t="s">
        <v>616</v>
      </c>
    </row>
    <row r="71" spans="1:9" x14ac:dyDescent="0.2">
      <c r="A71">
        <v>57</v>
      </c>
      <c r="B71" t="s">
        <v>1731</v>
      </c>
      <c r="C71" t="s">
        <v>1070</v>
      </c>
      <c r="D71" t="s">
        <v>1127</v>
      </c>
      <c r="E71">
        <v>5.0700075628432799E-13</v>
      </c>
      <c r="F71">
        <v>192</v>
      </c>
      <c r="G71" s="78">
        <v>44008.679988425924</v>
      </c>
      <c r="H71">
        <v>5.0700075628432799E-13</v>
      </c>
      <c r="I71" t="s">
        <v>617</v>
      </c>
    </row>
    <row r="72" spans="1:9" x14ac:dyDescent="0.2">
      <c r="A72">
        <v>58</v>
      </c>
      <c r="B72" t="s">
        <v>1731</v>
      </c>
      <c r="C72" t="s">
        <v>1070</v>
      </c>
      <c r="D72" t="s">
        <v>1128</v>
      </c>
      <c r="E72">
        <v>5.1699274005079213E-13</v>
      </c>
      <c r="F72">
        <v>192</v>
      </c>
      <c r="G72" s="78">
        <v>44008.679988425924</v>
      </c>
      <c r="H72">
        <v>5.1699274005079213E-13</v>
      </c>
      <c r="I72" t="s">
        <v>618</v>
      </c>
    </row>
    <row r="73" spans="1:9" x14ac:dyDescent="0.2">
      <c r="A73">
        <v>59</v>
      </c>
      <c r="B73" t="s">
        <v>1731</v>
      </c>
      <c r="C73" t="s">
        <v>1070</v>
      </c>
      <c r="D73" t="s">
        <v>1129</v>
      </c>
      <c r="E73">
        <v>5.2698467375300202E-13</v>
      </c>
      <c r="F73">
        <v>192</v>
      </c>
      <c r="G73" s="78">
        <v>44008.679988425924</v>
      </c>
      <c r="H73">
        <v>5.2698467375300202E-13</v>
      </c>
      <c r="I73" t="s">
        <v>619</v>
      </c>
    </row>
    <row r="74" spans="1:9" x14ac:dyDescent="0.2">
      <c r="A74">
        <v>60</v>
      </c>
      <c r="B74" t="s">
        <v>1731</v>
      </c>
      <c r="C74" t="s">
        <v>1070</v>
      </c>
      <c r="D74" t="s">
        <v>1130</v>
      </c>
      <c r="E74">
        <v>-6.4974550294478758E-13</v>
      </c>
      <c r="F74">
        <v>192</v>
      </c>
      <c r="G74" s="78">
        <v>44008.679988425924</v>
      </c>
      <c r="H74">
        <v>-6.4974550294478758E-13</v>
      </c>
      <c r="I74" t="s">
        <v>620</v>
      </c>
    </row>
    <row r="75" spans="1:9" x14ac:dyDescent="0.2">
      <c r="A75">
        <v>61</v>
      </c>
      <c r="B75" t="s">
        <v>1731</v>
      </c>
      <c r="C75" t="s">
        <v>1070</v>
      </c>
      <c r="D75" t="s">
        <v>1131</v>
      </c>
      <c r="E75">
        <v>0</v>
      </c>
      <c r="F75">
        <v>192</v>
      </c>
      <c r="G75" s="78">
        <v>44008.679988425924</v>
      </c>
      <c r="H75">
        <v>0</v>
      </c>
      <c r="I75" t="s">
        <v>621</v>
      </c>
    </row>
    <row r="76" spans="1:9" x14ac:dyDescent="0.2">
      <c r="A76">
        <v>62</v>
      </c>
      <c r="B76" t="s">
        <v>1731</v>
      </c>
      <c r="C76" t="s">
        <v>1070</v>
      </c>
      <c r="D76" t="s">
        <v>1132</v>
      </c>
      <c r="E76">
        <v>0</v>
      </c>
      <c r="F76">
        <v>192</v>
      </c>
      <c r="G76" s="78">
        <v>44008.679988425924</v>
      </c>
      <c r="H76">
        <v>0</v>
      </c>
      <c r="I76" t="s">
        <v>622</v>
      </c>
    </row>
    <row r="77" spans="1:9" x14ac:dyDescent="0.2">
      <c r="A77">
        <v>63</v>
      </c>
      <c r="B77" t="s">
        <v>1731</v>
      </c>
      <c r="C77" t="s">
        <v>1070</v>
      </c>
      <c r="D77" t="s">
        <v>1133</v>
      </c>
      <c r="E77">
        <v>0</v>
      </c>
      <c r="F77">
        <v>192</v>
      </c>
      <c r="G77" s="78">
        <v>44008.679988425924</v>
      </c>
      <c r="H77">
        <v>0</v>
      </c>
      <c r="I77" t="s">
        <v>556</v>
      </c>
    </row>
    <row r="78" spans="1:9" x14ac:dyDescent="0.2">
      <c r="A78">
        <v>64</v>
      </c>
      <c r="B78" t="s">
        <v>1731</v>
      </c>
      <c r="C78" t="s">
        <v>1070</v>
      </c>
      <c r="D78" t="s">
        <v>1134</v>
      </c>
      <c r="E78">
        <v>0</v>
      </c>
      <c r="F78">
        <v>192</v>
      </c>
      <c r="G78" s="78">
        <v>44008.679988425924</v>
      </c>
      <c r="H78">
        <v>0</v>
      </c>
      <c r="I78" t="s">
        <v>658</v>
      </c>
    </row>
    <row r="79" spans="1:9" x14ac:dyDescent="0.2">
      <c r="A79">
        <v>65</v>
      </c>
      <c r="B79" t="s">
        <v>1731</v>
      </c>
      <c r="C79" t="s">
        <v>1070</v>
      </c>
      <c r="D79" t="s">
        <v>1135</v>
      </c>
      <c r="E79">
        <v>0</v>
      </c>
      <c r="F79">
        <v>192</v>
      </c>
      <c r="G79" s="78">
        <v>44008.679988425924</v>
      </c>
      <c r="H79">
        <v>0</v>
      </c>
      <c r="I79" t="s">
        <v>659</v>
      </c>
    </row>
    <row r="80" spans="1:9" x14ac:dyDescent="0.2">
      <c r="A80">
        <v>66</v>
      </c>
      <c r="B80" t="s">
        <v>1731</v>
      </c>
      <c r="C80" t="s">
        <v>1070</v>
      </c>
      <c r="D80" t="s">
        <v>1136</v>
      </c>
      <c r="E80">
        <v>0</v>
      </c>
      <c r="F80">
        <v>192</v>
      </c>
      <c r="G80" s="78">
        <v>44008.679988425924</v>
      </c>
      <c r="H80">
        <v>0</v>
      </c>
      <c r="I80" t="s">
        <v>660</v>
      </c>
    </row>
    <row r="81" spans="1:9" x14ac:dyDescent="0.2">
      <c r="A81">
        <v>67</v>
      </c>
      <c r="B81" t="s">
        <v>1731</v>
      </c>
      <c r="C81" t="s">
        <v>1070</v>
      </c>
      <c r="D81" t="s">
        <v>1137</v>
      </c>
      <c r="E81">
        <v>0</v>
      </c>
      <c r="F81">
        <v>192</v>
      </c>
      <c r="G81" s="78">
        <v>44008.679988425924</v>
      </c>
      <c r="H81">
        <v>0</v>
      </c>
      <c r="I81" t="s">
        <v>661</v>
      </c>
    </row>
    <row r="82" spans="1:9" x14ac:dyDescent="0.2">
      <c r="A82">
        <v>68</v>
      </c>
      <c r="B82" t="s">
        <v>1731</v>
      </c>
      <c r="C82" t="s">
        <v>1070</v>
      </c>
      <c r="D82" t="s">
        <v>1138</v>
      </c>
      <c r="E82">
        <v>0</v>
      </c>
      <c r="F82">
        <v>192</v>
      </c>
      <c r="G82" s="78">
        <v>44008.679988425924</v>
      </c>
      <c r="H82">
        <v>0</v>
      </c>
      <c r="I82" t="s">
        <v>1511</v>
      </c>
    </row>
    <row r="83" spans="1:9" x14ac:dyDescent="0.2">
      <c r="A83">
        <v>69</v>
      </c>
      <c r="B83" t="s">
        <v>1731</v>
      </c>
      <c r="C83" t="s">
        <v>1070</v>
      </c>
      <c r="D83" t="s">
        <v>1139</v>
      </c>
      <c r="E83">
        <v>48.700418751560399</v>
      </c>
      <c r="F83">
        <v>192</v>
      </c>
      <c r="G83" s="78">
        <v>44008.679988425924</v>
      </c>
      <c r="H83">
        <v>48.700418751560399</v>
      </c>
      <c r="I83" t="s">
        <v>553</v>
      </c>
    </row>
    <row r="84" spans="1:9" x14ac:dyDescent="0.2">
      <c r="A84">
        <v>70</v>
      </c>
      <c r="B84" t="s">
        <v>1731</v>
      </c>
      <c r="C84" t="s">
        <v>1070</v>
      </c>
      <c r="D84" t="s">
        <v>1140</v>
      </c>
      <c r="E84">
        <v>0.8251601962242</v>
      </c>
      <c r="F84">
        <v>192</v>
      </c>
      <c r="G84" s="78">
        <v>44008.679988425924</v>
      </c>
      <c r="H84">
        <v>0.8251601962242</v>
      </c>
      <c r="I84" t="s">
        <v>549</v>
      </c>
    </row>
    <row r="85" spans="1:9" x14ac:dyDescent="0.2">
      <c r="A85">
        <v>71</v>
      </c>
      <c r="B85" t="s">
        <v>1731</v>
      </c>
      <c r="C85" t="s">
        <v>1070</v>
      </c>
      <c r="D85" t="s">
        <v>1141</v>
      </c>
      <c r="E85">
        <v>5911.2366926265704</v>
      </c>
      <c r="F85">
        <v>192</v>
      </c>
      <c r="G85" s="78">
        <v>44008.679988425924</v>
      </c>
      <c r="H85">
        <v>5911.2366926265704</v>
      </c>
      <c r="I85" t="s">
        <v>552</v>
      </c>
    </row>
    <row r="86" spans="1:9" x14ac:dyDescent="0.2">
      <c r="A86">
        <v>72</v>
      </c>
      <c r="B86" t="s">
        <v>1731</v>
      </c>
      <c r="C86" t="s">
        <v>1070</v>
      </c>
      <c r="D86" t="s">
        <v>1142</v>
      </c>
      <c r="E86">
        <v>815.00055367402001</v>
      </c>
      <c r="F86">
        <v>192</v>
      </c>
      <c r="G86" s="78">
        <v>44008.679988425924</v>
      </c>
      <c r="H86">
        <v>815.00055367402001</v>
      </c>
      <c r="I86" t="s">
        <v>548</v>
      </c>
    </row>
    <row r="87" spans="1:9" x14ac:dyDescent="0.2">
      <c r="A87">
        <v>73</v>
      </c>
      <c r="B87" t="s">
        <v>1731</v>
      </c>
      <c r="C87" t="s">
        <v>1070</v>
      </c>
      <c r="D87" t="s">
        <v>1143</v>
      </c>
      <c r="E87">
        <v>46.415375085455103</v>
      </c>
      <c r="F87">
        <v>192</v>
      </c>
      <c r="G87" s="78">
        <v>44008.679988425924</v>
      </c>
      <c r="H87">
        <v>46.415375085455103</v>
      </c>
      <c r="I87" t="s">
        <v>550</v>
      </c>
    </row>
    <row r="88" spans="1:9" x14ac:dyDescent="0.2">
      <c r="A88">
        <v>74</v>
      </c>
      <c r="B88" t="s">
        <v>1731</v>
      </c>
      <c r="C88" t="s">
        <v>1070</v>
      </c>
      <c r="D88" t="s">
        <v>1144</v>
      </c>
      <c r="E88">
        <v>151.540721766914</v>
      </c>
      <c r="F88">
        <v>192</v>
      </c>
      <c r="G88" s="78">
        <v>44008.679988425924</v>
      </c>
      <c r="H88">
        <v>151.540721766914</v>
      </c>
      <c r="I88" t="s">
        <v>551</v>
      </c>
    </row>
    <row r="89" spans="1:9" x14ac:dyDescent="0.2">
      <c r="A89">
        <v>75</v>
      </c>
      <c r="B89" t="s">
        <v>1731</v>
      </c>
      <c r="C89" t="s">
        <v>1070</v>
      </c>
      <c r="D89" t="s">
        <v>1145</v>
      </c>
      <c r="E89">
        <v>45</v>
      </c>
      <c r="F89">
        <v>192</v>
      </c>
      <c r="G89" s="78">
        <v>44008.679988425924</v>
      </c>
      <c r="H89">
        <v>45</v>
      </c>
      <c r="I89" t="s">
        <v>1503</v>
      </c>
    </row>
    <row r="90" spans="1:9" x14ac:dyDescent="0.2">
      <c r="A90">
        <v>76</v>
      </c>
      <c r="B90" t="s">
        <v>1731</v>
      </c>
      <c r="C90" t="s">
        <v>1070</v>
      </c>
      <c r="D90" t="s">
        <v>1146</v>
      </c>
      <c r="E90">
        <v>0.8</v>
      </c>
      <c r="F90">
        <v>192</v>
      </c>
      <c r="G90" s="78">
        <v>44008.679988425924</v>
      </c>
      <c r="H90">
        <v>0.8</v>
      </c>
      <c r="I90" t="s">
        <v>1497</v>
      </c>
    </row>
    <row r="91" spans="1:9" x14ac:dyDescent="0.2">
      <c r="A91">
        <v>77</v>
      </c>
      <c r="B91" t="s">
        <v>1731</v>
      </c>
      <c r="C91" t="s">
        <v>1070</v>
      </c>
      <c r="D91" t="s">
        <v>1147</v>
      </c>
      <c r="E91">
        <v>10000</v>
      </c>
      <c r="F91">
        <v>192</v>
      </c>
      <c r="G91" s="78">
        <v>44008.679988425924</v>
      </c>
      <c r="H91">
        <v>10000</v>
      </c>
      <c r="I91" t="s">
        <v>1501</v>
      </c>
    </row>
    <row r="92" spans="1:9" x14ac:dyDescent="0.2">
      <c r="A92">
        <v>78</v>
      </c>
      <c r="B92" t="s">
        <v>1731</v>
      </c>
      <c r="C92" t="s">
        <v>1070</v>
      </c>
      <c r="D92" t="s">
        <v>1148</v>
      </c>
      <c r="E92">
        <v>572</v>
      </c>
      <c r="F92">
        <v>192</v>
      </c>
      <c r="G92" s="78">
        <v>44008.679988425924</v>
      </c>
      <c r="H92">
        <v>572</v>
      </c>
      <c r="I92" t="s">
        <v>1498</v>
      </c>
    </row>
    <row r="93" spans="1:9" x14ac:dyDescent="0.2">
      <c r="A93">
        <v>79</v>
      </c>
      <c r="B93" t="s">
        <v>1731</v>
      </c>
      <c r="C93" t="s">
        <v>1070</v>
      </c>
      <c r="D93" t="s">
        <v>1149</v>
      </c>
      <c r="E93">
        <v>680</v>
      </c>
      <c r="F93">
        <v>192</v>
      </c>
      <c r="G93" s="78">
        <v>44008.679988425924</v>
      </c>
      <c r="H93">
        <v>680</v>
      </c>
      <c r="I93" t="s">
        <v>1499</v>
      </c>
    </row>
    <row r="94" spans="1:9" x14ac:dyDescent="0.2">
      <c r="A94">
        <v>80</v>
      </c>
      <c r="B94" t="s">
        <v>1731</v>
      </c>
      <c r="C94" t="s">
        <v>1070</v>
      </c>
      <c r="D94" t="s">
        <v>1150</v>
      </c>
      <c r="E94">
        <v>32</v>
      </c>
      <c r="F94">
        <v>192</v>
      </c>
      <c r="G94" s="78">
        <v>44008.679988425924</v>
      </c>
      <c r="H94">
        <v>32</v>
      </c>
      <c r="I94" t="s">
        <v>1500</v>
      </c>
    </row>
    <row r="95" spans="1:9" x14ac:dyDescent="0.2">
      <c r="A95">
        <v>81</v>
      </c>
      <c r="B95" t="s">
        <v>1731</v>
      </c>
      <c r="C95" t="s">
        <v>1070</v>
      </c>
      <c r="D95" t="s">
        <v>1151</v>
      </c>
      <c r="E95">
        <v>161.6</v>
      </c>
      <c r="F95">
        <v>192</v>
      </c>
      <c r="G95" s="78">
        <v>44008.679988425924</v>
      </c>
      <c r="H95">
        <v>161.6</v>
      </c>
      <c r="I95" t="s">
        <v>1502</v>
      </c>
    </row>
    <row r="96" spans="1:9" x14ac:dyDescent="0.2">
      <c r="A96">
        <v>82</v>
      </c>
      <c r="B96" t="s">
        <v>1731</v>
      </c>
      <c r="C96" t="s">
        <v>1070</v>
      </c>
      <c r="D96" t="s">
        <v>1152</v>
      </c>
      <c r="E96">
        <v>0</v>
      </c>
      <c r="F96">
        <v>192</v>
      </c>
      <c r="G96" s="78">
        <v>44008.679988425924</v>
      </c>
      <c r="H96">
        <v>0</v>
      </c>
      <c r="I96" t="s">
        <v>672</v>
      </c>
    </row>
    <row r="97" spans="1:9" x14ac:dyDescent="0.2">
      <c r="A97">
        <v>83</v>
      </c>
      <c r="B97" t="s">
        <v>1731</v>
      </c>
      <c r="C97" t="s">
        <v>1070</v>
      </c>
      <c r="D97" t="s">
        <v>1405</v>
      </c>
      <c r="E97">
        <v>0</v>
      </c>
      <c r="F97">
        <v>192</v>
      </c>
      <c r="G97" s="78">
        <v>44008.679988425924</v>
      </c>
      <c r="H97">
        <v>0</v>
      </c>
      <c r="I97" t="s">
        <v>673</v>
      </c>
    </row>
    <row r="98" spans="1:9" x14ac:dyDescent="0.2">
      <c r="A98">
        <v>84</v>
      </c>
      <c r="B98" t="s">
        <v>1731</v>
      </c>
      <c r="C98" t="s">
        <v>1070</v>
      </c>
      <c r="D98" t="s">
        <v>1406</v>
      </c>
      <c r="E98">
        <v>0</v>
      </c>
      <c r="F98">
        <v>192</v>
      </c>
      <c r="G98" s="78">
        <v>44008.679988425924</v>
      </c>
      <c r="H98">
        <v>0</v>
      </c>
      <c r="I98" t="s">
        <v>674</v>
      </c>
    </row>
    <row r="99" spans="1:9" x14ac:dyDescent="0.2">
      <c r="A99">
        <v>85</v>
      </c>
      <c r="B99" t="s">
        <v>1731</v>
      </c>
      <c r="C99" t="s">
        <v>1070</v>
      </c>
      <c r="D99" t="s">
        <v>1407</v>
      </c>
      <c r="E99">
        <v>0</v>
      </c>
      <c r="F99">
        <v>192</v>
      </c>
      <c r="G99" s="78">
        <v>44008.679988425924</v>
      </c>
      <c r="H99">
        <v>0</v>
      </c>
      <c r="I99" t="s">
        <v>675</v>
      </c>
    </row>
    <row r="100" spans="1:9" x14ac:dyDescent="0.2">
      <c r="A100">
        <v>86</v>
      </c>
      <c r="B100" t="s">
        <v>1731</v>
      </c>
      <c r="C100" t="s">
        <v>1070</v>
      </c>
      <c r="D100" t="s">
        <v>1408</v>
      </c>
      <c r="E100">
        <v>0</v>
      </c>
      <c r="F100">
        <v>192</v>
      </c>
      <c r="G100" s="78">
        <v>44008.679988425924</v>
      </c>
      <c r="H100">
        <v>0</v>
      </c>
      <c r="I100" t="s">
        <v>676</v>
      </c>
    </row>
    <row r="101" spans="1:9" x14ac:dyDescent="0.2">
      <c r="A101">
        <v>87</v>
      </c>
      <c r="B101" t="s">
        <v>1731</v>
      </c>
      <c r="C101" t="s">
        <v>1070</v>
      </c>
      <c r="D101" t="s">
        <v>1409</v>
      </c>
      <c r="E101">
        <v>0</v>
      </c>
      <c r="F101">
        <v>192</v>
      </c>
      <c r="G101" s="78">
        <v>44008.679988425924</v>
      </c>
      <c r="H101">
        <v>0</v>
      </c>
      <c r="I101" t="s">
        <v>677</v>
      </c>
    </row>
    <row r="102" spans="1:9" x14ac:dyDescent="0.2">
      <c r="A102">
        <v>88</v>
      </c>
      <c r="B102" t="s">
        <v>1731</v>
      </c>
      <c r="C102" t="s">
        <v>1070</v>
      </c>
      <c r="D102" t="s">
        <v>1410</v>
      </c>
      <c r="E102">
        <v>0</v>
      </c>
      <c r="F102">
        <v>192</v>
      </c>
      <c r="G102" s="78">
        <v>44008.679988425924</v>
      </c>
      <c r="H102">
        <v>0</v>
      </c>
      <c r="I102" t="s">
        <v>1767</v>
      </c>
    </row>
    <row r="103" spans="1:9" x14ac:dyDescent="0.2">
      <c r="A103">
        <v>89</v>
      </c>
      <c r="B103" t="s">
        <v>1731</v>
      </c>
      <c r="C103" t="s">
        <v>1070</v>
      </c>
      <c r="D103" t="s">
        <v>1411</v>
      </c>
      <c r="E103">
        <v>0</v>
      </c>
      <c r="F103">
        <v>192</v>
      </c>
      <c r="G103" s="78">
        <v>44008.679988425924</v>
      </c>
      <c r="H103">
        <v>0</v>
      </c>
      <c r="I103" t="s">
        <v>678</v>
      </c>
    </row>
    <row r="104" spans="1:9" x14ac:dyDescent="0.2">
      <c r="A104">
        <v>90</v>
      </c>
      <c r="B104" t="s">
        <v>1731</v>
      </c>
      <c r="C104" t="s">
        <v>1070</v>
      </c>
      <c r="D104" t="s">
        <v>1412</v>
      </c>
      <c r="E104">
        <v>0</v>
      </c>
      <c r="F104">
        <v>192</v>
      </c>
      <c r="G104" s="78">
        <v>44008.679988425924</v>
      </c>
      <c r="H104">
        <v>0</v>
      </c>
      <c r="I104" t="s">
        <v>679</v>
      </c>
    </row>
    <row r="105" spans="1:9" x14ac:dyDescent="0.2">
      <c r="A105">
        <v>91</v>
      </c>
      <c r="B105" t="s">
        <v>1731</v>
      </c>
      <c r="C105" t="s">
        <v>1070</v>
      </c>
      <c r="D105" t="s">
        <v>1413</v>
      </c>
      <c r="E105">
        <v>0</v>
      </c>
      <c r="F105">
        <v>192</v>
      </c>
      <c r="G105" s="78">
        <v>44008.679988425924</v>
      </c>
      <c r="H105">
        <v>0</v>
      </c>
      <c r="I105" t="s">
        <v>680</v>
      </c>
    </row>
    <row r="106" spans="1:9" x14ac:dyDescent="0.2">
      <c r="A106">
        <v>92</v>
      </c>
      <c r="B106" t="s">
        <v>1731</v>
      </c>
      <c r="C106" t="s">
        <v>1070</v>
      </c>
      <c r="D106" t="s">
        <v>1414</v>
      </c>
      <c r="E106">
        <v>0</v>
      </c>
      <c r="F106">
        <v>192</v>
      </c>
      <c r="G106" s="78">
        <v>44008.679988425924</v>
      </c>
      <c r="H106">
        <v>0</v>
      </c>
      <c r="I106" t="s">
        <v>681</v>
      </c>
    </row>
    <row r="107" spans="1:9" x14ac:dyDescent="0.2">
      <c r="A107">
        <v>93</v>
      </c>
      <c r="B107" t="s">
        <v>1731</v>
      </c>
      <c r="C107" t="s">
        <v>1070</v>
      </c>
      <c r="D107" t="s">
        <v>1415</v>
      </c>
      <c r="E107">
        <v>0</v>
      </c>
      <c r="F107">
        <v>192</v>
      </c>
      <c r="G107" s="78">
        <v>44008.679988425924</v>
      </c>
      <c r="H107">
        <v>0</v>
      </c>
      <c r="I107" t="s">
        <v>682</v>
      </c>
    </row>
    <row r="108" spans="1:9" x14ac:dyDescent="0.2">
      <c r="A108">
        <v>94</v>
      </c>
      <c r="B108" t="s">
        <v>1731</v>
      </c>
      <c r="C108" t="s">
        <v>1070</v>
      </c>
      <c r="D108" t="s">
        <v>1416</v>
      </c>
      <c r="E108">
        <v>0</v>
      </c>
      <c r="F108">
        <v>192</v>
      </c>
      <c r="G108" s="78">
        <v>44008.679988425924</v>
      </c>
      <c r="H108">
        <v>0</v>
      </c>
      <c r="I108" t="s">
        <v>1520</v>
      </c>
    </row>
    <row r="109" spans="1:9" x14ac:dyDescent="0.2">
      <c r="A109">
        <v>95</v>
      </c>
      <c r="B109" t="s">
        <v>1731</v>
      </c>
      <c r="C109" t="s">
        <v>1070</v>
      </c>
      <c r="D109" t="s">
        <v>1417</v>
      </c>
      <c r="E109">
        <v>0</v>
      </c>
      <c r="F109">
        <v>192</v>
      </c>
      <c r="G109" s="78">
        <v>44008.679988425924</v>
      </c>
      <c r="H109">
        <v>0</v>
      </c>
      <c r="I109" t="s">
        <v>1521</v>
      </c>
    </row>
    <row r="110" spans="1:9" x14ac:dyDescent="0.2">
      <c r="A110">
        <v>96</v>
      </c>
      <c r="B110" t="s">
        <v>1731</v>
      </c>
      <c r="C110" t="s">
        <v>1070</v>
      </c>
      <c r="D110" t="s">
        <v>1418</v>
      </c>
      <c r="E110">
        <v>0</v>
      </c>
      <c r="F110">
        <v>192</v>
      </c>
      <c r="G110" s="78">
        <v>44008.679988425924</v>
      </c>
      <c r="H110">
        <v>0</v>
      </c>
      <c r="I110" t="s">
        <v>1522</v>
      </c>
    </row>
    <row r="111" spans="1:9" x14ac:dyDescent="0.2">
      <c r="A111">
        <v>97</v>
      </c>
      <c r="B111" t="s">
        <v>1731</v>
      </c>
      <c r="C111" t="s">
        <v>1070</v>
      </c>
      <c r="D111" t="s">
        <v>1419</v>
      </c>
      <c r="E111">
        <v>0</v>
      </c>
      <c r="F111">
        <v>192</v>
      </c>
      <c r="G111" s="78">
        <v>44008.679988425924</v>
      </c>
      <c r="H111">
        <v>0</v>
      </c>
      <c r="I111" t="s">
        <v>1768</v>
      </c>
    </row>
    <row r="112" spans="1:9" x14ac:dyDescent="0.2">
      <c r="A112">
        <v>98</v>
      </c>
      <c r="B112" t="s">
        <v>1731</v>
      </c>
      <c r="C112" t="s">
        <v>1070</v>
      </c>
      <c r="D112" t="s">
        <v>1420</v>
      </c>
      <c r="E112">
        <v>0</v>
      </c>
      <c r="F112">
        <v>192</v>
      </c>
      <c r="G112" s="78">
        <v>44008.679988425924</v>
      </c>
      <c r="H112">
        <v>0</v>
      </c>
      <c r="I112" t="s">
        <v>1523</v>
      </c>
    </row>
    <row r="113" spans="1:9" x14ac:dyDescent="0.2">
      <c r="A113">
        <v>99</v>
      </c>
      <c r="B113" t="s">
        <v>1731</v>
      </c>
      <c r="C113" t="s">
        <v>1070</v>
      </c>
      <c r="D113" t="s">
        <v>1421</v>
      </c>
      <c r="E113">
        <v>0</v>
      </c>
      <c r="F113">
        <v>192</v>
      </c>
      <c r="G113" s="78">
        <v>44008.679988425924</v>
      </c>
      <c r="H113">
        <v>0</v>
      </c>
      <c r="I113" t="s">
        <v>1301</v>
      </c>
    </row>
    <row r="114" spans="1:9" x14ac:dyDescent="0.2">
      <c r="A114">
        <v>100</v>
      </c>
      <c r="B114" t="s">
        <v>1731</v>
      </c>
      <c r="C114" t="s">
        <v>1070</v>
      </c>
      <c r="D114" t="s">
        <v>1422</v>
      </c>
      <c r="E114">
        <v>0</v>
      </c>
      <c r="F114">
        <v>192</v>
      </c>
      <c r="G114" s="78">
        <v>44008.679988425924</v>
      </c>
      <c r="H114">
        <v>0</v>
      </c>
      <c r="I114" t="s">
        <v>1302</v>
      </c>
    </row>
    <row r="115" spans="1:9" x14ac:dyDescent="0.2">
      <c r="A115">
        <v>101</v>
      </c>
      <c r="B115" t="s">
        <v>1731</v>
      </c>
      <c r="C115" t="s">
        <v>1070</v>
      </c>
      <c r="D115" t="s">
        <v>1423</v>
      </c>
      <c r="E115">
        <v>0</v>
      </c>
      <c r="F115">
        <v>192</v>
      </c>
      <c r="G115" s="78">
        <v>44008.679988425924</v>
      </c>
      <c r="H115">
        <v>0</v>
      </c>
      <c r="I115" t="s">
        <v>1303</v>
      </c>
    </row>
    <row r="116" spans="1:9" x14ac:dyDescent="0.2">
      <c r="A116">
        <v>102</v>
      </c>
      <c r="B116" t="s">
        <v>1731</v>
      </c>
      <c r="C116" t="s">
        <v>1070</v>
      </c>
      <c r="D116" t="s">
        <v>1424</v>
      </c>
      <c r="E116">
        <v>0</v>
      </c>
      <c r="F116">
        <v>192</v>
      </c>
      <c r="G116" s="78">
        <v>44008.679988425924</v>
      </c>
      <c r="H116">
        <v>0</v>
      </c>
      <c r="I116" t="s">
        <v>1304</v>
      </c>
    </row>
    <row r="117" spans="1:9" x14ac:dyDescent="0.2">
      <c r="A117">
        <v>103</v>
      </c>
      <c r="B117" t="s">
        <v>1731</v>
      </c>
      <c r="C117" t="s">
        <v>1070</v>
      </c>
      <c r="D117" t="s">
        <v>1425</v>
      </c>
      <c r="E117">
        <v>0</v>
      </c>
      <c r="F117">
        <v>192</v>
      </c>
      <c r="G117" s="78">
        <v>44008.679988425924</v>
      </c>
      <c r="H117">
        <v>0</v>
      </c>
      <c r="I117" t="s">
        <v>1305</v>
      </c>
    </row>
    <row r="118" spans="1:9" x14ac:dyDescent="0.2">
      <c r="A118">
        <v>104</v>
      </c>
      <c r="B118" t="s">
        <v>1731</v>
      </c>
      <c r="C118" t="s">
        <v>1070</v>
      </c>
      <c r="D118" t="s">
        <v>1426</v>
      </c>
      <c r="E118">
        <v>10</v>
      </c>
      <c r="F118">
        <v>192</v>
      </c>
      <c r="G118" s="78">
        <v>44008.679988425924</v>
      </c>
      <c r="H118">
        <v>10</v>
      </c>
      <c r="I118" t="s">
        <v>1290</v>
      </c>
    </row>
    <row r="119" spans="1:9" x14ac:dyDescent="0.2">
      <c r="A119">
        <v>105</v>
      </c>
      <c r="B119" t="s">
        <v>1731</v>
      </c>
      <c r="C119" t="s">
        <v>1070</v>
      </c>
      <c r="D119" t="s">
        <v>1427</v>
      </c>
      <c r="E119">
        <v>0.77018293274171301</v>
      </c>
      <c r="F119">
        <v>192</v>
      </c>
      <c r="G119" s="78">
        <v>44008.679988425924</v>
      </c>
      <c r="H119">
        <v>0.77018293274171301</v>
      </c>
      <c r="I119" t="s">
        <v>1293</v>
      </c>
    </row>
    <row r="120" spans="1:9" x14ac:dyDescent="0.2">
      <c r="A120">
        <v>106</v>
      </c>
      <c r="B120" t="s">
        <v>1731</v>
      </c>
      <c r="C120" t="s">
        <v>1070</v>
      </c>
      <c r="D120" t="s">
        <v>1428</v>
      </c>
      <c r="E120">
        <v>-60.139971134038198</v>
      </c>
      <c r="F120">
        <v>192</v>
      </c>
      <c r="G120" s="78">
        <v>44008.679988425924</v>
      </c>
      <c r="H120">
        <v>-60.139971134038198</v>
      </c>
      <c r="I120" t="s">
        <v>1294</v>
      </c>
    </row>
    <row r="121" spans="1:9" x14ac:dyDescent="0.2">
      <c r="A121">
        <v>107</v>
      </c>
      <c r="B121" t="s">
        <v>1731</v>
      </c>
      <c r="C121" t="s">
        <v>1070</v>
      </c>
      <c r="D121" t="s">
        <v>1429</v>
      </c>
      <c r="E121">
        <v>-44.155490948747499</v>
      </c>
      <c r="F121">
        <v>192</v>
      </c>
      <c r="G121" s="78">
        <v>44008.679988425924</v>
      </c>
      <c r="H121">
        <v>-44.155490948747499</v>
      </c>
      <c r="I121" t="s">
        <v>1296</v>
      </c>
    </row>
    <row r="122" spans="1:9" x14ac:dyDescent="0.2">
      <c r="A122">
        <v>108</v>
      </c>
      <c r="B122" t="s">
        <v>1731</v>
      </c>
      <c r="C122" t="s">
        <v>1070</v>
      </c>
      <c r="D122" t="s">
        <v>1430</v>
      </c>
      <c r="E122">
        <v>121.563126375225</v>
      </c>
      <c r="F122">
        <v>192</v>
      </c>
      <c r="G122" s="78">
        <v>44008.679988425924</v>
      </c>
      <c r="H122">
        <v>121.563126375225</v>
      </c>
      <c r="I122" t="s">
        <v>1295</v>
      </c>
    </row>
    <row r="123" spans="1:9" x14ac:dyDescent="0.2">
      <c r="A123">
        <v>109</v>
      </c>
      <c r="B123" t="s">
        <v>1731</v>
      </c>
      <c r="C123" t="s">
        <v>1070</v>
      </c>
      <c r="D123" t="s">
        <v>1431</v>
      </c>
      <c r="E123">
        <v>0</v>
      </c>
      <c r="F123">
        <v>192</v>
      </c>
      <c r="G123" s="78">
        <v>44008.679988425924</v>
      </c>
      <c r="H123">
        <v>0</v>
      </c>
      <c r="I123" t="s">
        <v>1310</v>
      </c>
    </row>
    <row r="124" spans="1:9" x14ac:dyDescent="0.2">
      <c r="A124">
        <v>110</v>
      </c>
      <c r="B124" t="s">
        <v>1731</v>
      </c>
      <c r="C124" t="s">
        <v>1070</v>
      </c>
      <c r="D124" t="s">
        <v>1432</v>
      </c>
      <c r="E124">
        <v>0</v>
      </c>
      <c r="F124">
        <v>192</v>
      </c>
      <c r="G124" s="78">
        <v>44008.679988425924</v>
      </c>
      <c r="H124">
        <v>0</v>
      </c>
      <c r="I124" t="s">
        <v>1311</v>
      </c>
    </row>
    <row r="125" spans="1:9" x14ac:dyDescent="0.2">
      <c r="A125">
        <v>111</v>
      </c>
      <c r="B125" t="s">
        <v>1731</v>
      </c>
      <c r="C125" t="s">
        <v>1070</v>
      </c>
      <c r="D125" t="s">
        <v>1433</v>
      </c>
      <c r="E125">
        <v>0</v>
      </c>
      <c r="F125">
        <v>192</v>
      </c>
      <c r="G125" s="78">
        <v>44008.679988425924</v>
      </c>
      <c r="H125">
        <v>0</v>
      </c>
      <c r="I125" t="s">
        <v>1312</v>
      </c>
    </row>
    <row r="126" spans="1:9" x14ac:dyDescent="0.2">
      <c r="A126">
        <v>112</v>
      </c>
      <c r="B126" t="s">
        <v>1731</v>
      </c>
      <c r="C126" t="s">
        <v>1070</v>
      </c>
      <c r="D126" t="s">
        <v>1706</v>
      </c>
      <c r="E126">
        <v>0</v>
      </c>
      <c r="F126">
        <v>192</v>
      </c>
      <c r="G126" s="78">
        <v>44008.679988425924</v>
      </c>
      <c r="H126">
        <v>0</v>
      </c>
      <c r="I126" t="s">
        <v>1313</v>
      </c>
    </row>
    <row r="127" spans="1:9" x14ac:dyDescent="0.2">
      <c r="A127">
        <v>113</v>
      </c>
      <c r="B127" t="s">
        <v>1731</v>
      </c>
      <c r="C127" t="s">
        <v>1070</v>
      </c>
      <c r="D127" t="s">
        <v>1707</v>
      </c>
      <c r="E127">
        <v>0</v>
      </c>
      <c r="F127">
        <v>192</v>
      </c>
      <c r="G127" s="78">
        <v>44008.679988425924</v>
      </c>
      <c r="H127">
        <v>0</v>
      </c>
      <c r="I127" t="s">
        <v>1314</v>
      </c>
    </row>
    <row r="128" spans="1:9" x14ac:dyDescent="0.2">
      <c r="A128">
        <v>114</v>
      </c>
      <c r="B128" t="s">
        <v>1731</v>
      </c>
      <c r="C128" t="s">
        <v>1070</v>
      </c>
      <c r="D128" t="s">
        <v>1708</v>
      </c>
      <c r="E128">
        <v>0</v>
      </c>
      <c r="F128">
        <v>192</v>
      </c>
      <c r="G128" s="78">
        <v>44008.679988425924</v>
      </c>
      <c r="H128">
        <v>0</v>
      </c>
      <c r="I128" t="s">
        <v>1315</v>
      </c>
    </row>
    <row r="129" spans="1:9" x14ac:dyDescent="0.2">
      <c r="A129">
        <v>115</v>
      </c>
      <c r="B129" t="s">
        <v>1731</v>
      </c>
      <c r="C129" t="s">
        <v>1070</v>
      </c>
      <c r="D129" t="s">
        <v>1709</v>
      </c>
      <c r="E129">
        <v>0</v>
      </c>
      <c r="F129">
        <v>192</v>
      </c>
      <c r="G129" s="78">
        <v>44008.679988425924</v>
      </c>
      <c r="H129">
        <v>0</v>
      </c>
      <c r="I129" t="s">
        <v>1316</v>
      </c>
    </row>
    <row r="130" spans="1:9" x14ac:dyDescent="0.2">
      <c r="A130">
        <v>116</v>
      </c>
      <c r="B130" t="s">
        <v>1731</v>
      </c>
      <c r="C130" t="s">
        <v>1070</v>
      </c>
      <c r="D130" t="s">
        <v>1710</v>
      </c>
      <c r="E130">
        <v>0</v>
      </c>
      <c r="F130">
        <v>192</v>
      </c>
      <c r="G130" s="78">
        <v>44008.679988425924</v>
      </c>
      <c r="H130">
        <v>0</v>
      </c>
      <c r="I130" t="s">
        <v>1317</v>
      </c>
    </row>
    <row r="131" spans="1:9" x14ac:dyDescent="0.2">
      <c r="A131">
        <v>117</v>
      </c>
      <c r="B131" t="s">
        <v>1731</v>
      </c>
      <c r="C131" t="s">
        <v>1070</v>
      </c>
      <c r="D131" t="s">
        <v>1711</v>
      </c>
      <c r="E131">
        <v>0</v>
      </c>
      <c r="F131">
        <v>192</v>
      </c>
      <c r="G131" s="78">
        <v>44008.679988425924</v>
      </c>
      <c r="H131">
        <v>0</v>
      </c>
      <c r="I131" t="s">
        <v>1528</v>
      </c>
    </row>
    <row r="132" spans="1:9" x14ac:dyDescent="0.2">
      <c r="A132">
        <v>118</v>
      </c>
      <c r="B132" t="s">
        <v>1731</v>
      </c>
      <c r="C132" t="s">
        <v>1070</v>
      </c>
      <c r="D132" t="s">
        <v>1712</v>
      </c>
      <c r="E132">
        <v>0</v>
      </c>
      <c r="F132">
        <v>192</v>
      </c>
      <c r="G132" s="78">
        <v>44008.679988425924</v>
      </c>
      <c r="H132">
        <v>0</v>
      </c>
      <c r="I132" t="s">
        <v>1529</v>
      </c>
    </row>
    <row r="133" spans="1:9" x14ac:dyDescent="0.2">
      <c r="A133">
        <v>119</v>
      </c>
      <c r="B133" t="s">
        <v>1731</v>
      </c>
      <c r="C133" t="s">
        <v>1070</v>
      </c>
      <c r="D133" t="s">
        <v>1713</v>
      </c>
      <c r="E133">
        <v>0</v>
      </c>
      <c r="F133">
        <v>192</v>
      </c>
      <c r="G133" s="78">
        <v>44008.679988425924</v>
      </c>
      <c r="H133">
        <v>0</v>
      </c>
      <c r="I133" t="s">
        <v>1530</v>
      </c>
    </row>
    <row r="134" spans="1:9" x14ac:dyDescent="0.2">
      <c r="A134">
        <v>120</v>
      </c>
      <c r="B134" t="s">
        <v>1731</v>
      </c>
      <c r="C134" t="s">
        <v>1070</v>
      </c>
      <c r="D134" t="s">
        <v>1714</v>
      </c>
      <c r="E134">
        <v>0</v>
      </c>
      <c r="F134">
        <v>192</v>
      </c>
      <c r="G134" s="78">
        <v>44008.679988425924</v>
      </c>
      <c r="H134">
        <v>0</v>
      </c>
      <c r="I134" t="s">
        <v>1531</v>
      </c>
    </row>
    <row r="135" spans="1:9" x14ac:dyDescent="0.2">
      <c r="A135">
        <v>121</v>
      </c>
      <c r="B135" t="s">
        <v>1731</v>
      </c>
      <c r="C135" t="s">
        <v>1070</v>
      </c>
      <c r="D135" t="s">
        <v>1715</v>
      </c>
      <c r="E135">
        <v>0</v>
      </c>
      <c r="F135">
        <v>192</v>
      </c>
      <c r="G135" s="78">
        <v>44008.679988425924</v>
      </c>
      <c r="H135">
        <v>0</v>
      </c>
      <c r="I135" t="s">
        <v>1532</v>
      </c>
    </row>
    <row r="136" spans="1:9" x14ac:dyDescent="0.2">
      <c r="A136">
        <v>122</v>
      </c>
      <c r="B136" t="s">
        <v>1731</v>
      </c>
      <c r="C136" t="s">
        <v>1070</v>
      </c>
      <c r="D136" t="s">
        <v>1716</v>
      </c>
      <c r="E136">
        <v>22.079062487519</v>
      </c>
      <c r="F136">
        <v>192</v>
      </c>
      <c r="G136" s="78">
        <v>44008.679988425924</v>
      </c>
      <c r="H136">
        <v>22.079062487519</v>
      </c>
      <c r="I136" t="s">
        <v>1287</v>
      </c>
    </row>
    <row r="137" spans="1:9" x14ac:dyDescent="0.2">
      <c r="A137">
        <v>123</v>
      </c>
      <c r="B137" t="s">
        <v>1731</v>
      </c>
      <c r="C137" t="s">
        <v>1070</v>
      </c>
      <c r="D137" t="s">
        <v>1717</v>
      </c>
      <c r="E137">
        <v>49.908864919867597</v>
      </c>
      <c r="F137">
        <v>192</v>
      </c>
      <c r="G137" s="78">
        <v>44008.679988425924</v>
      </c>
      <c r="H137">
        <v>49.908864919867597</v>
      </c>
      <c r="I137" t="s">
        <v>1300</v>
      </c>
    </row>
    <row r="138" spans="1:9" x14ac:dyDescent="0.2">
      <c r="A138">
        <v>124</v>
      </c>
      <c r="B138" t="s">
        <v>1731</v>
      </c>
      <c r="C138" t="s">
        <v>1070</v>
      </c>
      <c r="D138" t="s">
        <v>1750</v>
      </c>
      <c r="E138">
        <v>0.80643689559489995</v>
      </c>
      <c r="F138">
        <v>192</v>
      </c>
      <c r="G138" s="78">
        <v>44008.679988425924</v>
      </c>
      <c r="H138">
        <v>0.80643689559489995</v>
      </c>
      <c r="I138" t="s">
        <v>1297</v>
      </c>
    </row>
    <row r="139" spans="1:9" x14ac:dyDescent="0.2">
      <c r="A139">
        <v>125</v>
      </c>
      <c r="B139" t="s">
        <v>1731</v>
      </c>
      <c r="C139" t="s">
        <v>1070</v>
      </c>
      <c r="D139" t="s">
        <v>1751</v>
      </c>
      <c r="E139">
        <v>51.295970558598299</v>
      </c>
      <c r="F139">
        <v>192</v>
      </c>
      <c r="G139" s="78">
        <v>44008.679988425924</v>
      </c>
      <c r="H139">
        <v>51.295970558598299</v>
      </c>
      <c r="I139" t="s">
        <v>1298</v>
      </c>
    </row>
    <row r="140" spans="1:9" x14ac:dyDescent="0.2">
      <c r="A140">
        <v>126</v>
      </c>
      <c r="B140" t="s">
        <v>1731</v>
      </c>
      <c r="C140" t="s">
        <v>1070</v>
      </c>
      <c r="D140" t="s">
        <v>1752</v>
      </c>
      <c r="E140">
        <v>168.37491968623399</v>
      </c>
      <c r="F140">
        <v>192</v>
      </c>
      <c r="G140" s="78">
        <v>44008.679988425924</v>
      </c>
      <c r="H140">
        <v>168.37491968623399</v>
      </c>
      <c r="I140" t="s">
        <v>1299</v>
      </c>
    </row>
    <row r="141" spans="1:9" x14ac:dyDescent="0.2">
      <c r="A141">
        <v>127</v>
      </c>
      <c r="B141" t="s">
        <v>1731</v>
      </c>
      <c r="C141" t="s">
        <v>1070</v>
      </c>
      <c r="D141" t="s">
        <v>1753</v>
      </c>
      <c r="E141">
        <v>0</v>
      </c>
      <c r="F141">
        <v>192</v>
      </c>
      <c r="G141" s="78">
        <v>44008.679988425924</v>
      </c>
      <c r="H141">
        <v>0</v>
      </c>
      <c r="I141" t="s">
        <v>1537</v>
      </c>
    </row>
    <row r="142" spans="1:9" x14ac:dyDescent="0.2">
      <c r="A142">
        <v>128</v>
      </c>
      <c r="B142" t="s">
        <v>1731</v>
      </c>
      <c r="C142" t="s">
        <v>1070</v>
      </c>
      <c r="D142" t="s">
        <v>1754</v>
      </c>
      <c r="E142">
        <v>0</v>
      </c>
      <c r="F142">
        <v>192</v>
      </c>
      <c r="G142" s="78">
        <v>44008.679988425924</v>
      </c>
      <c r="H142">
        <v>0</v>
      </c>
      <c r="I142" t="s">
        <v>1538</v>
      </c>
    </row>
    <row r="143" spans="1:9" x14ac:dyDescent="0.2">
      <c r="A143">
        <v>129</v>
      </c>
      <c r="B143" t="s">
        <v>1731</v>
      </c>
      <c r="C143" t="s">
        <v>1070</v>
      </c>
      <c r="D143" t="s">
        <v>1755</v>
      </c>
      <c r="E143">
        <v>0</v>
      </c>
      <c r="F143">
        <v>192</v>
      </c>
      <c r="G143" s="78">
        <v>44008.679988425924</v>
      </c>
      <c r="H143">
        <v>0</v>
      </c>
      <c r="I143" t="s">
        <v>1539</v>
      </c>
    </row>
    <row r="144" spans="1:9" x14ac:dyDescent="0.2">
      <c r="A144">
        <v>130</v>
      </c>
      <c r="B144" t="s">
        <v>1731</v>
      </c>
      <c r="C144" t="s">
        <v>1070</v>
      </c>
      <c r="D144" t="s">
        <v>1756</v>
      </c>
      <c r="E144">
        <v>0</v>
      </c>
      <c r="F144">
        <v>192</v>
      </c>
      <c r="G144" s="78">
        <v>44008.679988425924</v>
      </c>
      <c r="H144">
        <v>0</v>
      </c>
      <c r="I144" t="s">
        <v>1540</v>
      </c>
    </row>
    <row r="145" spans="1:9" x14ac:dyDescent="0.2">
      <c r="A145">
        <v>131</v>
      </c>
      <c r="B145" t="s">
        <v>1731</v>
      </c>
      <c r="C145" t="s">
        <v>1070</v>
      </c>
      <c r="D145" t="s">
        <v>1757</v>
      </c>
      <c r="E145">
        <v>0</v>
      </c>
      <c r="F145">
        <v>192</v>
      </c>
      <c r="G145" s="78">
        <v>44008.679988425924</v>
      </c>
      <c r="H145">
        <v>0</v>
      </c>
      <c r="I145" t="s">
        <v>1541</v>
      </c>
    </row>
    <row r="146" spans="1:9" x14ac:dyDescent="0.2">
      <c r="A146">
        <v>132</v>
      </c>
      <c r="B146" t="s">
        <v>1731</v>
      </c>
      <c r="C146" t="s">
        <v>1070</v>
      </c>
      <c r="D146" t="s">
        <v>2198</v>
      </c>
      <c r="E146">
        <v>0</v>
      </c>
      <c r="F146">
        <v>192</v>
      </c>
      <c r="G146" s="78">
        <v>44008.679988425924</v>
      </c>
      <c r="H146">
        <v>0</v>
      </c>
      <c r="I146" t="s">
        <v>1542</v>
      </c>
    </row>
    <row r="147" spans="1:9" x14ac:dyDescent="0.2">
      <c r="A147">
        <v>133</v>
      </c>
      <c r="B147" t="s">
        <v>1731</v>
      </c>
      <c r="C147" t="s">
        <v>1070</v>
      </c>
      <c r="D147" t="s">
        <v>2199</v>
      </c>
      <c r="E147">
        <v>0</v>
      </c>
      <c r="F147">
        <v>192</v>
      </c>
      <c r="G147" s="78">
        <v>44008.679988425924</v>
      </c>
      <c r="H147">
        <v>0</v>
      </c>
      <c r="I147" t="s">
        <v>1543</v>
      </c>
    </row>
    <row r="148" spans="1:9" x14ac:dyDescent="0.2">
      <c r="A148">
        <v>134</v>
      </c>
      <c r="B148" t="s">
        <v>1731</v>
      </c>
      <c r="C148" t="s">
        <v>1070</v>
      </c>
      <c r="D148" t="s">
        <v>2200</v>
      </c>
      <c r="E148">
        <v>0</v>
      </c>
      <c r="F148">
        <v>192</v>
      </c>
      <c r="G148" s="78">
        <v>44008.679988425924</v>
      </c>
      <c r="H148">
        <v>0</v>
      </c>
      <c r="I148" t="s">
        <v>1771</v>
      </c>
    </row>
    <row r="149" spans="1:9" x14ac:dyDescent="0.2">
      <c r="A149">
        <v>135</v>
      </c>
      <c r="B149" t="s">
        <v>1731</v>
      </c>
      <c r="C149" t="s">
        <v>1070</v>
      </c>
      <c r="D149" t="s">
        <v>2201</v>
      </c>
      <c r="E149">
        <v>0</v>
      </c>
      <c r="F149">
        <v>192</v>
      </c>
      <c r="G149" s="78">
        <v>44008.679988425924</v>
      </c>
      <c r="H149">
        <v>0</v>
      </c>
      <c r="I149" t="s">
        <v>1544</v>
      </c>
    </row>
    <row r="150" spans="1:9" x14ac:dyDescent="0.2">
      <c r="A150">
        <v>136</v>
      </c>
      <c r="B150" t="s">
        <v>1731</v>
      </c>
      <c r="C150" t="s">
        <v>1070</v>
      </c>
      <c r="D150" t="s">
        <v>2202</v>
      </c>
      <c r="E150">
        <v>0</v>
      </c>
      <c r="F150">
        <v>192</v>
      </c>
      <c r="G150" s="78">
        <v>44008.679988425924</v>
      </c>
      <c r="H150">
        <v>0</v>
      </c>
      <c r="I150" t="s">
        <v>1545</v>
      </c>
    </row>
    <row r="151" spans="1:9" x14ac:dyDescent="0.2">
      <c r="A151">
        <v>137</v>
      </c>
      <c r="B151" t="s">
        <v>1731</v>
      </c>
      <c r="C151" t="s">
        <v>1070</v>
      </c>
      <c r="D151" t="s">
        <v>1153</v>
      </c>
      <c r="E151">
        <v>212</v>
      </c>
      <c r="F151">
        <v>192</v>
      </c>
      <c r="G151" s="78">
        <v>44008.679988425924</v>
      </c>
      <c r="H151">
        <v>212</v>
      </c>
      <c r="I151" t="s">
        <v>512</v>
      </c>
    </row>
    <row r="152" spans="1:9" x14ac:dyDescent="0.2">
      <c r="A152">
        <v>138</v>
      </c>
      <c r="B152" t="s">
        <v>1731</v>
      </c>
      <c r="C152" t="s">
        <v>1070</v>
      </c>
      <c r="D152" t="s">
        <v>1154</v>
      </c>
      <c r="E152">
        <v>14.2</v>
      </c>
      <c r="F152">
        <v>192</v>
      </c>
      <c r="G152" s="78">
        <v>44008.679988425924</v>
      </c>
      <c r="H152">
        <v>14.2</v>
      </c>
      <c r="I152" t="s">
        <v>513</v>
      </c>
    </row>
    <row r="153" spans="1:9" x14ac:dyDescent="0.2">
      <c r="A153">
        <v>139</v>
      </c>
      <c r="B153" t="s">
        <v>1731</v>
      </c>
      <c r="C153" t="s">
        <v>1070</v>
      </c>
      <c r="D153" t="s">
        <v>1155</v>
      </c>
      <c r="E153">
        <v>80</v>
      </c>
      <c r="F153">
        <v>192</v>
      </c>
      <c r="G153" s="78">
        <v>44008.679988425924</v>
      </c>
      <c r="H153">
        <v>80</v>
      </c>
      <c r="I153" t="s">
        <v>514</v>
      </c>
    </row>
    <row r="154" spans="1:9" x14ac:dyDescent="0.2">
      <c r="A154">
        <v>140</v>
      </c>
      <c r="B154" t="s">
        <v>1731</v>
      </c>
      <c r="C154" t="s">
        <v>1070</v>
      </c>
      <c r="D154" t="s">
        <v>1156</v>
      </c>
      <c r="E154">
        <v>16</v>
      </c>
      <c r="F154">
        <v>192</v>
      </c>
      <c r="G154" s="78">
        <v>44008.679988425924</v>
      </c>
      <c r="H154">
        <v>16</v>
      </c>
      <c r="I154" t="s">
        <v>515</v>
      </c>
    </row>
    <row r="155" spans="1:9" x14ac:dyDescent="0.2">
      <c r="A155">
        <v>141</v>
      </c>
      <c r="B155" t="s">
        <v>1731</v>
      </c>
      <c r="C155" t="s">
        <v>1070</v>
      </c>
      <c r="D155" t="s">
        <v>1157</v>
      </c>
      <c r="E155">
        <v>16</v>
      </c>
      <c r="F155">
        <v>192</v>
      </c>
      <c r="G155" s="78">
        <v>44008.679988425924</v>
      </c>
      <c r="H155">
        <v>16</v>
      </c>
      <c r="I155" t="s">
        <v>516</v>
      </c>
    </row>
    <row r="156" spans="1:9" x14ac:dyDescent="0.2">
      <c r="A156">
        <v>142</v>
      </c>
      <c r="B156" t="s">
        <v>1731</v>
      </c>
      <c r="C156" t="s">
        <v>1070</v>
      </c>
      <c r="D156" t="s">
        <v>1158</v>
      </c>
      <c r="E156">
        <v>16</v>
      </c>
      <c r="F156">
        <v>192</v>
      </c>
      <c r="G156" s="78">
        <v>44008.679988425924</v>
      </c>
      <c r="H156">
        <v>16</v>
      </c>
      <c r="I156" t="s">
        <v>517</v>
      </c>
    </row>
    <row r="157" spans="1:9" x14ac:dyDescent="0.2">
      <c r="A157">
        <v>143</v>
      </c>
      <c r="B157" t="s">
        <v>1731</v>
      </c>
      <c r="C157" t="s">
        <v>1070</v>
      </c>
      <c r="D157" t="s">
        <v>1159</v>
      </c>
      <c r="E157">
        <v>16</v>
      </c>
      <c r="F157">
        <v>192</v>
      </c>
      <c r="G157" s="78">
        <v>44008.679988425924</v>
      </c>
      <c r="H157">
        <v>16</v>
      </c>
      <c r="I157" t="s">
        <v>519</v>
      </c>
    </row>
    <row r="158" spans="1:9" x14ac:dyDescent="0.2">
      <c r="A158">
        <v>144</v>
      </c>
      <c r="B158" t="s">
        <v>1731</v>
      </c>
      <c r="C158" t="s">
        <v>1070</v>
      </c>
      <c r="D158" t="s">
        <v>1160</v>
      </c>
      <c r="E158">
        <v>16.002462090651669</v>
      </c>
      <c r="F158">
        <v>192</v>
      </c>
      <c r="G158" s="78">
        <v>44008.679988425924</v>
      </c>
      <c r="H158">
        <v>16.002462090651669</v>
      </c>
      <c r="I158" t="s">
        <v>520</v>
      </c>
    </row>
    <row r="159" spans="1:9" x14ac:dyDescent="0.2">
      <c r="A159">
        <v>145</v>
      </c>
      <c r="B159" t="s">
        <v>1731</v>
      </c>
      <c r="C159" t="s">
        <v>1070</v>
      </c>
      <c r="D159" t="s">
        <v>1161</v>
      </c>
      <c r="E159">
        <v>80.000410278826479</v>
      </c>
      <c r="F159">
        <v>192</v>
      </c>
      <c r="G159" s="78">
        <v>44008.679988425924</v>
      </c>
      <c r="H159">
        <v>80.000410278826479</v>
      </c>
      <c r="I159" t="s">
        <v>564</v>
      </c>
    </row>
    <row r="160" spans="1:9" x14ac:dyDescent="0.2">
      <c r="A160">
        <v>146</v>
      </c>
      <c r="B160" t="s">
        <v>1731</v>
      </c>
      <c r="C160" t="s">
        <v>1070</v>
      </c>
      <c r="D160" t="s">
        <v>1162</v>
      </c>
      <c r="E160">
        <v>15.999999368864074</v>
      </c>
      <c r="F160">
        <v>192</v>
      </c>
      <c r="G160" s="78">
        <v>44008.679988425924</v>
      </c>
      <c r="H160">
        <v>15.999999368864074</v>
      </c>
      <c r="I160" t="s">
        <v>565</v>
      </c>
    </row>
    <row r="161" spans="1:10" x14ac:dyDescent="0.2">
      <c r="A161">
        <v>147</v>
      </c>
      <c r="B161" t="s">
        <v>1731</v>
      </c>
      <c r="C161" t="s">
        <v>1070</v>
      </c>
      <c r="D161" t="s">
        <v>1163</v>
      </c>
      <c r="E161">
        <v>15.999370185596792</v>
      </c>
      <c r="F161">
        <v>192</v>
      </c>
      <c r="G161" s="78">
        <v>44008.679988425924</v>
      </c>
      <c r="H161">
        <v>15.999370185596792</v>
      </c>
      <c r="I161" t="s">
        <v>566</v>
      </c>
    </row>
    <row r="162" spans="1:10" x14ac:dyDescent="0.2">
      <c r="A162">
        <v>148</v>
      </c>
      <c r="B162" t="s">
        <v>1731</v>
      </c>
      <c r="C162" t="s">
        <v>1070</v>
      </c>
      <c r="D162" t="s">
        <v>1164</v>
      </c>
      <c r="E162">
        <v>15.999160954074833</v>
      </c>
      <c r="F162">
        <v>192</v>
      </c>
      <c r="G162" s="78">
        <v>44008.679988425924</v>
      </c>
      <c r="H162">
        <v>15.999160954074833</v>
      </c>
      <c r="I162" t="s">
        <v>567</v>
      </c>
    </row>
    <row r="163" spans="1:10" x14ac:dyDescent="0.2">
      <c r="A163">
        <v>149</v>
      </c>
      <c r="B163" t="s">
        <v>1731</v>
      </c>
      <c r="C163" t="s">
        <v>1070</v>
      </c>
      <c r="D163" t="s">
        <v>1165</v>
      </c>
      <c r="E163">
        <v>15.999418626361553</v>
      </c>
      <c r="F163">
        <v>192</v>
      </c>
      <c r="G163" s="78">
        <v>44008.679988425924</v>
      </c>
      <c r="H163">
        <v>15.999418626361553</v>
      </c>
      <c r="I163" t="s">
        <v>568</v>
      </c>
    </row>
    <row r="164" spans="1:10" x14ac:dyDescent="0.2">
      <c r="A164">
        <v>150</v>
      </c>
      <c r="B164" t="s">
        <v>1731</v>
      </c>
      <c r="C164" t="s">
        <v>1070</v>
      </c>
      <c r="D164" t="s">
        <v>1166</v>
      </c>
      <c r="E164">
        <v>16.002461775080032</v>
      </c>
      <c r="F164">
        <v>192</v>
      </c>
      <c r="G164" s="78">
        <v>44008.679988425924</v>
      </c>
      <c r="H164">
        <v>16.002461775080032</v>
      </c>
      <c r="I164" t="s">
        <v>569</v>
      </c>
    </row>
    <row r="165" spans="1:10" x14ac:dyDescent="0.2">
      <c r="A165">
        <v>151</v>
      </c>
      <c r="B165" t="s">
        <v>1731</v>
      </c>
      <c r="C165" t="s">
        <v>1070</v>
      </c>
      <c r="D165" t="s">
        <v>1167</v>
      </c>
      <c r="E165">
        <v>301.93136090088439</v>
      </c>
      <c r="F165">
        <v>192</v>
      </c>
      <c r="G165" s="78">
        <v>44008.679988425924</v>
      </c>
      <c r="H165">
        <v>301.93136090088439</v>
      </c>
      <c r="I165" t="s">
        <v>570</v>
      </c>
    </row>
    <row r="166" spans="1:10" x14ac:dyDescent="0.2">
      <c r="A166">
        <v>152</v>
      </c>
      <c r="B166" t="s">
        <v>1731</v>
      </c>
      <c r="C166" t="s">
        <v>1070</v>
      </c>
      <c r="D166" t="s">
        <v>1168</v>
      </c>
      <c r="E166">
        <v>0.78687581313163468</v>
      </c>
      <c r="F166">
        <v>192</v>
      </c>
      <c r="G166" s="78">
        <v>44008.679988425924</v>
      </c>
      <c r="H166">
        <v>0.78687581313163468</v>
      </c>
      <c r="I166" t="s">
        <v>571</v>
      </c>
      <c r="J166" t="e">
        <f ca="1">SUMPRODUCT('Function Values'!C44:C46,'Function Values'!C44:C46)</f>
        <v>#NAME?</v>
      </c>
    </row>
    <row r="167" spans="1:10" x14ac:dyDescent="0.2">
      <c r="A167">
        <v>153</v>
      </c>
      <c r="B167" t="s">
        <v>1731</v>
      </c>
      <c r="C167" t="s">
        <v>1070</v>
      </c>
      <c r="D167" t="s">
        <v>1169</v>
      </c>
      <c r="E167">
        <v>2448.5337861112757</v>
      </c>
      <c r="F167">
        <v>192</v>
      </c>
      <c r="G167" s="78">
        <v>44008.679988425924</v>
      </c>
      <c r="H167">
        <v>2448.5337861112757</v>
      </c>
      <c r="I167" t="s">
        <v>572</v>
      </c>
      <c r="J167">
        <f>SUMPRODUCT('Function Values'!C53:C57,'Function Values'!C53:C57)</f>
        <v>5.3587530277126533E-10</v>
      </c>
    </row>
    <row r="168" spans="1:10" x14ac:dyDescent="0.2">
      <c r="A168">
        <v>154</v>
      </c>
      <c r="B168" t="s">
        <v>1731</v>
      </c>
      <c r="C168" t="s">
        <v>1070</v>
      </c>
      <c r="D168" t="s">
        <v>1170</v>
      </c>
      <c r="E168">
        <v>481.92326502965989</v>
      </c>
      <c r="F168">
        <v>192</v>
      </c>
      <c r="G168" s="78">
        <v>44008.679988425924</v>
      </c>
      <c r="H168">
        <v>481.92326502965989</v>
      </c>
      <c r="I168" t="s">
        <v>573</v>
      </c>
      <c r="J168">
        <f>SUMPRODUCT('Function Values'!C28:C30,'Function Values'!C28:C30)</f>
        <v>1.7724802902811223E-8</v>
      </c>
    </row>
    <row r="169" spans="1:10" x14ac:dyDescent="0.2">
      <c r="A169">
        <v>155</v>
      </c>
      <c r="B169" t="s">
        <v>1731</v>
      </c>
      <c r="C169" t="s">
        <v>1070</v>
      </c>
      <c r="D169" t="s">
        <v>1171</v>
      </c>
      <c r="E169">
        <v>-60.374325444521361</v>
      </c>
      <c r="F169">
        <v>192</v>
      </c>
      <c r="G169" s="78">
        <v>44008.679988425924</v>
      </c>
      <c r="H169">
        <v>-60.374325444521361</v>
      </c>
      <c r="I169" t="s">
        <v>574</v>
      </c>
      <c r="J169" t="e">
        <f ca="1">SUMPRODUCT('Function Values'!C58:C60,'Function Values'!C58:C60)</f>
        <v>#NAME?</v>
      </c>
    </row>
    <row r="170" spans="1:10" x14ac:dyDescent="0.2">
      <c r="A170">
        <v>156</v>
      </c>
      <c r="B170" t="s">
        <v>1731</v>
      </c>
      <c r="C170" t="s">
        <v>1070</v>
      </c>
      <c r="D170" t="s">
        <v>1172</v>
      </c>
      <c r="E170">
        <v>107.76190101259661</v>
      </c>
      <c r="F170">
        <v>192</v>
      </c>
      <c r="G170" s="78">
        <v>44008.679988425924</v>
      </c>
      <c r="H170">
        <v>107.76190101259661</v>
      </c>
      <c r="I170" t="s">
        <v>575</v>
      </c>
      <c r="J170" t="e">
        <f ca="1">SUMPRODUCT('Function Values'!C50:C52,'Function Values'!C50:C52)</f>
        <v>#NAME?</v>
      </c>
    </row>
    <row r="171" spans="1:10" x14ac:dyDescent="0.2">
      <c r="A171">
        <v>157</v>
      </c>
      <c r="B171" t="s">
        <v>1731</v>
      </c>
      <c r="C171" t="s">
        <v>1070</v>
      </c>
      <c r="D171" t="s">
        <v>1173</v>
      </c>
      <c r="E171">
        <v>-44.107280850804877</v>
      </c>
      <c r="F171">
        <v>192</v>
      </c>
      <c r="G171" s="78">
        <v>44008.679988425924</v>
      </c>
      <c r="H171">
        <v>-44.107280850804877</v>
      </c>
      <c r="I171" t="s">
        <v>576</v>
      </c>
      <c r="J171" t="e">
        <f ca="1">SUMPRODUCT('Function Values'!C61,'Function Values'!C61)</f>
        <v>#NAME?</v>
      </c>
    </row>
    <row r="172" spans="1:10" x14ac:dyDescent="0.2">
      <c r="A172">
        <v>158</v>
      </c>
      <c r="B172" t="s">
        <v>1731</v>
      </c>
      <c r="C172" t="s">
        <v>1070</v>
      </c>
      <c r="D172" t="s">
        <v>1174</v>
      </c>
      <c r="E172">
        <v>56.542030832912552</v>
      </c>
      <c r="F172">
        <v>192</v>
      </c>
      <c r="G172" s="78">
        <v>44008.679988425924</v>
      </c>
      <c r="H172">
        <v>56.542030832912552</v>
      </c>
      <c r="I172" t="s">
        <v>577</v>
      </c>
    </row>
    <row r="173" spans="1:10" x14ac:dyDescent="0.2">
      <c r="A173">
        <v>159</v>
      </c>
      <c r="B173" t="s">
        <v>1731</v>
      </c>
      <c r="C173" t="s">
        <v>1070</v>
      </c>
      <c r="D173" t="s">
        <v>1175</v>
      </c>
      <c r="E173">
        <v>0.83890188080922612</v>
      </c>
      <c r="F173">
        <v>192</v>
      </c>
      <c r="G173" s="78">
        <v>44008.679988425924</v>
      </c>
      <c r="H173">
        <v>0.83890188080922612</v>
      </c>
      <c r="I173" t="s">
        <v>578</v>
      </c>
    </row>
    <row r="174" spans="1:10" x14ac:dyDescent="0.2">
      <c r="A174">
        <v>160</v>
      </c>
      <c r="B174" t="s">
        <v>1731</v>
      </c>
      <c r="C174" t="s">
        <v>1070</v>
      </c>
      <c r="D174" t="s">
        <v>1176</v>
      </c>
      <c r="E174">
        <v>4000.3444904189337</v>
      </c>
      <c r="F174">
        <v>192</v>
      </c>
      <c r="G174" s="78">
        <v>44008.679988425924</v>
      </c>
      <c r="H174">
        <v>4000.3444904189337</v>
      </c>
      <c r="I174" t="s">
        <v>579</v>
      </c>
    </row>
    <row r="175" spans="1:10" x14ac:dyDescent="0.2">
      <c r="A175">
        <v>161</v>
      </c>
      <c r="B175" t="s">
        <v>1731</v>
      </c>
      <c r="C175" t="s">
        <v>1070</v>
      </c>
      <c r="D175" t="s">
        <v>1177</v>
      </c>
      <c r="E175">
        <v>661.91278625609937</v>
      </c>
      <c r="F175">
        <v>192</v>
      </c>
      <c r="G175" s="78">
        <v>44008.679988425924</v>
      </c>
      <c r="H175">
        <v>661.91278625609937</v>
      </c>
      <c r="I175" t="s">
        <v>580</v>
      </c>
    </row>
    <row r="176" spans="1:10" x14ac:dyDescent="0.2">
      <c r="A176">
        <v>162</v>
      </c>
      <c r="B176" t="s">
        <v>1731</v>
      </c>
      <c r="C176" t="s">
        <v>1070</v>
      </c>
      <c r="D176" t="s">
        <v>1178</v>
      </c>
      <c r="E176">
        <v>4.9991767357895505</v>
      </c>
      <c r="F176">
        <v>192</v>
      </c>
      <c r="G176" s="78">
        <v>44008.679988425924</v>
      </c>
      <c r="H176">
        <v>4.9991767357895505</v>
      </c>
      <c r="I176" t="s">
        <v>581</v>
      </c>
    </row>
    <row r="177" spans="1:9" x14ac:dyDescent="0.2">
      <c r="A177">
        <v>163</v>
      </c>
      <c r="B177" t="s">
        <v>1731</v>
      </c>
      <c r="C177" t="s">
        <v>1070</v>
      </c>
      <c r="D177" t="s">
        <v>1179</v>
      </c>
      <c r="E177">
        <v>217.91980074046342</v>
      </c>
      <c r="F177">
        <v>192</v>
      </c>
      <c r="G177" s="78">
        <v>44008.679988425924</v>
      </c>
      <c r="H177">
        <v>217.91980074046342</v>
      </c>
      <c r="I177" t="s">
        <v>582</v>
      </c>
    </row>
    <row r="178" spans="1:9" x14ac:dyDescent="0.2">
      <c r="A178">
        <v>164</v>
      </c>
      <c r="B178" t="s">
        <v>1731</v>
      </c>
      <c r="C178" t="s">
        <v>1070</v>
      </c>
      <c r="D178" t="s">
        <v>1180</v>
      </c>
      <c r="E178">
        <v>43.697013528744932</v>
      </c>
      <c r="F178">
        <v>192</v>
      </c>
      <c r="G178" s="78">
        <v>44008.679988425924</v>
      </c>
      <c r="H178">
        <v>43.697013528744932</v>
      </c>
      <c r="I178" t="s">
        <v>583</v>
      </c>
    </row>
    <row r="179" spans="1:9" x14ac:dyDescent="0.2">
      <c r="A179">
        <v>165</v>
      </c>
      <c r="B179" t="s">
        <v>1731</v>
      </c>
      <c r="C179" t="s">
        <v>1070</v>
      </c>
      <c r="D179" t="s">
        <v>1181</v>
      </c>
      <c r="E179">
        <v>0.88515606924740575</v>
      </c>
      <c r="F179">
        <v>192</v>
      </c>
      <c r="G179" s="78">
        <v>44008.679988425924</v>
      </c>
      <c r="H179">
        <v>0.88515606924740575</v>
      </c>
      <c r="I179" t="s">
        <v>584</v>
      </c>
    </row>
    <row r="180" spans="1:9" x14ac:dyDescent="0.2">
      <c r="A180">
        <v>166</v>
      </c>
      <c r="B180" t="s">
        <v>1731</v>
      </c>
      <c r="C180" t="s">
        <v>1070</v>
      </c>
      <c r="D180" t="s">
        <v>1182</v>
      </c>
      <c r="E180">
        <v>5555.2328747859747</v>
      </c>
      <c r="F180">
        <v>192</v>
      </c>
      <c r="G180" s="78">
        <v>44008.679988425924</v>
      </c>
      <c r="H180">
        <v>5555.2328747859747</v>
      </c>
      <c r="I180" t="s">
        <v>585</v>
      </c>
    </row>
    <row r="181" spans="1:9" x14ac:dyDescent="0.2">
      <c r="A181">
        <v>167</v>
      </c>
      <c r="B181" t="s">
        <v>1731</v>
      </c>
      <c r="C181" t="s">
        <v>1070</v>
      </c>
      <c r="D181" t="s">
        <v>1183</v>
      </c>
      <c r="E181">
        <v>841.90524206541954</v>
      </c>
      <c r="F181">
        <v>192</v>
      </c>
      <c r="G181" s="78">
        <v>44008.679988425924</v>
      </c>
      <c r="H181">
        <v>841.90524206541954</v>
      </c>
      <c r="I181" t="s">
        <v>586</v>
      </c>
    </row>
    <row r="182" spans="1:9" x14ac:dyDescent="0.2">
      <c r="A182">
        <v>168</v>
      </c>
      <c r="B182" t="s">
        <v>1731</v>
      </c>
      <c r="C182" t="s">
        <v>1070</v>
      </c>
      <c r="D182" t="s">
        <v>1184</v>
      </c>
      <c r="E182">
        <v>70.373179121805592</v>
      </c>
      <c r="F182">
        <v>192</v>
      </c>
      <c r="G182" s="78">
        <v>44008.679988425924</v>
      </c>
      <c r="H182">
        <v>70.373179121805592</v>
      </c>
      <c r="I182" t="s">
        <v>587</v>
      </c>
    </row>
    <row r="183" spans="1:9" x14ac:dyDescent="0.2">
      <c r="A183">
        <v>169</v>
      </c>
      <c r="B183" t="s">
        <v>1731</v>
      </c>
      <c r="C183" t="s">
        <v>1070</v>
      </c>
      <c r="D183" t="s">
        <v>1185</v>
      </c>
      <c r="E183">
        <v>323.62968758858381</v>
      </c>
      <c r="F183">
        <v>192</v>
      </c>
      <c r="G183" s="78">
        <v>44008.679988425924</v>
      </c>
      <c r="H183">
        <v>323.62968758858381</v>
      </c>
      <c r="I183" t="s">
        <v>588</v>
      </c>
    </row>
    <row r="184" spans="1:9" x14ac:dyDescent="0.2">
      <c r="A184">
        <v>170</v>
      </c>
      <c r="B184" t="s">
        <v>1731</v>
      </c>
      <c r="C184" t="s">
        <v>1070</v>
      </c>
      <c r="D184" t="s">
        <v>1186</v>
      </c>
      <c r="E184">
        <v>9</v>
      </c>
      <c r="F184">
        <v>192</v>
      </c>
      <c r="G184" s="78">
        <v>44008.679988425924</v>
      </c>
      <c r="H184">
        <v>9</v>
      </c>
      <c r="I184" t="s">
        <v>623</v>
      </c>
    </row>
    <row r="185" spans="1:9" x14ac:dyDescent="0.2">
      <c r="A185">
        <v>171</v>
      </c>
      <c r="B185" t="s">
        <v>1731</v>
      </c>
      <c r="C185" t="s">
        <v>1070</v>
      </c>
      <c r="D185" t="s">
        <v>1187</v>
      </c>
      <c r="E185">
        <v>392</v>
      </c>
      <c r="F185">
        <v>192</v>
      </c>
      <c r="G185" s="78">
        <v>44008.679988425924</v>
      </c>
      <c r="H185">
        <v>392</v>
      </c>
      <c r="I185" t="s">
        <v>624</v>
      </c>
    </row>
    <row r="186" spans="1:9" x14ac:dyDescent="0.2">
      <c r="A186">
        <v>172</v>
      </c>
      <c r="B186" t="s">
        <v>1731</v>
      </c>
      <c r="C186" t="s">
        <v>1070</v>
      </c>
      <c r="D186" t="s">
        <v>1188</v>
      </c>
      <c r="E186">
        <v>89.923270082517803</v>
      </c>
      <c r="F186">
        <v>192</v>
      </c>
      <c r="G186" s="78">
        <v>44008.679988425924</v>
      </c>
      <c r="H186">
        <v>89.923270082517803</v>
      </c>
      <c r="I186" t="s">
        <v>625</v>
      </c>
    </row>
    <row r="187" spans="1:9" x14ac:dyDescent="0.2">
      <c r="A187">
        <v>173</v>
      </c>
      <c r="B187" t="s">
        <v>1731</v>
      </c>
      <c r="C187" t="s">
        <v>1070</v>
      </c>
      <c r="D187" t="s">
        <v>1189</v>
      </c>
      <c r="E187">
        <v>7.4253871050726477E-6</v>
      </c>
      <c r="F187">
        <v>192</v>
      </c>
      <c r="G187" s="78">
        <v>44008.679988425924</v>
      </c>
      <c r="H187">
        <v>7.4253871050726477E-6</v>
      </c>
      <c r="I187" t="s">
        <v>626</v>
      </c>
    </row>
    <row r="188" spans="1:9" x14ac:dyDescent="0.2">
      <c r="A188">
        <v>174</v>
      </c>
      <c r="B188" t="s">
        <v>1731</v>
      </c>
      <c r="C188" t="s">
        <v>1070</v>
      </c>
      <c r="D188" t="s">
        <v>1190</v>
      </c>
      <c r="E188">
        <v>572</v>
      </c>
      <c r="F188">
        <v>192</v>
      </c>
      <c r="G188" s="78">
        <v>44008.679988425924</v>
      </c>
      <c r="H188">
        <v>572</v>
      </c>
      <c r="I188" t="s">
        <v>627</v>
      </c>
    </row>
    <row r="189" spans="1:9" x14ac:dyDescent="0.2">
      <c r="A189">
        <v>175</v>
      </c>
      <c r="B189" t="s">
        <v>1731</v>
      </c>
      <c r="C189" t="s">
        <v>1070</v>
      </c>
      <c r="D189" t="s">
        <v>1191</v>
      </c>
      <c r="E189">
        <v>71.999341009024945</v>
      </c>
      <c r="F189">
        <v>192</v>
      </c>
      <c r="G189" s="78">
        <v>44008.679988425924</v>
      </c>
      <c r="H189">
        <v>71.999341009024945</v>
      </c>
      <c r="I189" t="s">
        <v>628</v>
      </c>
    </row>
    <row r="190" spans="1:9" x14ac:dyDescent="0.2">
      <c r="A190">
        <v>176</v>
      </c>
      <c r="B190" t="s">
        <v>1731</v>
      </c>
      <c r="C190" t="s">
        <v>1070</v>
      </c>
      <c r="D190" t="s">
        <v>1192</v>
      </c>
      <c r="E190">
        <v>17.912036566801998</v>
      </c>
      <c r="F190">
        <v>192</v>
      </c>
      <c r="G190" s="78">
        <v>44008.679988425924</v>
      </c>
      <c r="H190">
        <v>17.912036566801998</v>
      </c>
      <c r="I190" t="s">
        <v>629</v>
      </c>
    </row>
    <row r="191" spans="1:9" x14ac:dyDescent="0.2">
      <c r="A191">
        <v>177</v>
      </c>
      <c r="B191" t="s">
        <v>1731</v>
      </c>
      <c r="C191" t="s">
        <v>1070</v>
      </c>
      <c r="D191" t="s">
        <v>1193</v>
      </c>
      <c r="E191">
        <v>-6.8366673485698785E-4</v>
      </c>
      <c r="F191">
        <v>192</v>
      </c>
      <c r="G191" s="78">
        <v>44008.679988425924</v>
      </c>
      <c r="H191">
        <v>-6.8366673485698785E-4</v>
      </c>
      <c r="I191" t="s">
        <v>630</v>
      </c>
    </row>
    <row r="192" spans="1:9" x14ac:dyDescent="0.2">
      <c r="A192">
        <v>178</v>
      </c>
      <c r="B192" t="s">
        <v>1731</v>
      </c>
      <c r="C192" t="s">
        <v>1070</v>
      </c>
      <c r="D192" t="s">
        <v>1194</v>
      </c>
      <c r="E192">
        <v>-6.8817582518782363E-4</v>
      </c>
      <c r="F192">
        <v>192</v>
      </c>
      <c r="G192" s="78">
        <v>44008.679988425924</v>
      </c>
      <c r="H192">
        <v>-6.8817582518782363E-4</v>
      </c>
      <c r="I192" t="s">
        <v>1763</v>
      </c>
    </row>
    <row r="193" spans="1:10" x14ac:dyDescent="0.2">
      <c r="A193">
        <v>179</v>
      </c>
      <c r="B193" t="s">
        <v>1731</v>
      </c>
      <c r="C193" t="s">
        <v>1070</v>
      </c>
      <c r="D193" t="s">
        <v>1195</v>
      </c>
      <c r="E193">
        <v>572</v>
      </c>
      <c r="F193">
        <v>192</v>
      </c>
      <c r="G193" s="78">
        <v>44008.679988425924</v>
      </c>
      <c r="H193">
        <v>572</v>
      </c>
      <c r="I193" t="s">
        <v>631</v>
      </c>
    </row>
    <row r="194" spans="1:10" x14ac:dyDescent="0.2">
      <c r="A194">
        <v>180</v>
      </c>
      <c r="B194" t="s">
        <v>1731</v>
      </c>
      <c r="C194" t="s">
        <v>1070</v>
      </c>
      <c r="D194" t="s">
        <v>1196</v>
      </c>
      <c r="E194">
        <v>72</v>
      </c>
      <c r="F194">
        <v>192</v>
      </c>
      <c r="G194" s="78">
        <v>44008.679988425924</v>
      </c>
      <c r="H194">
        <v>72</v>
      </c>
      <c r="I194" t="s">
        <v>632</v>
      </c>
    </row>
    <row r="195" spans="1:10" x14ac:dyDescent="0.2">
      <c r="A195">
        <v>181</v>
      </c>
      <c r="B195" t="s">
        <v>1731</v>
      </c>
      <c r="C195" t="s">
        <v>1070</v>
      </c>
      <c r="D195" t="s">
        <v>1197</v>
      </c>
      <c r="E195">
        <v>156</v>
      </c>
      <c r="F195">
        <v>192</v>
      </c>
      <c r="G195" s="78">
        <v>44008.679988425924</v>
      </c>
      <c r="H195">
        <v>156</v>
      </c>
      <c r="I195" t="s">
        <v>633</v>
      </c>
    </row>
    <row r="196" spans="1:10" x14ac:dyDescent="0.2">
      <c r="A196">
        <v>182</v>
      </c>
      <c r="B196" t="s">
        <v>1731</v>
      </c>
      <c r="C196" t="s">
        <v>1070</v>
      </c>
      <c r="D196" t="s">
        <v>1198</v>
      </c>
      <c r="E196">
        <v>41.905071869113371</v>
      </c>
      <c r="F196">
        <v>192</v>
      </c>
      <c r="G196" s="78">
        <v>44008.679988425924</v>
      </c>
      <c r="H196">
        <v>41.905071869113371</v>
      </c>
      <c r="I196" t="s">
        <v>634</v>
      </c>
      <c r="J196" t="e">
        <f ca="1">SUMPRODUCT('Function Values'!C34:C41,'Function Values'!C34:C41)</f>
        <v>#NAME?</v>
      </c>
    </row>
    <row r="197" spans="1:10" x14ac:dyDescent="0.2">
      <c r="A197">
        <v>183</v>
      </c>
      <c r="B197" t="s">
        <v>1731</v>
      </c>
      <c r="C197" t="s">
        <v>1070</v>
      </c>
      <c r="D197" t="s">
        <v>1199</v>
      </c>
      <c r="E197">
        <v>-3.2534118875754215E-5</v>
      </c>
      <c r="F197">
        <v>192</v>
      </c>
      <c r="G197" s="78">
        <v>44008.679988425924</v>
      </c>
      <c r="H197">
        <v>-3.2534118875754215E-5</v>
      </c>
      <c r="I197" t="s">
        <v>1764</v>
      </c>
    </row>
    <row r="198" spans="1:10" x14ac:dyDescent="0.2">
      <c r="A198">
        <v>184</v>
      </c>
      <c r="B198" t="s">
        <v>1731</v>
      </c>
      <c r="C198" t="s">
        <v>1070</v>
      </c>
      <c r="D198" t="s">
        <v>1200</v>
      </c>
      <c r="E198">
        <v>50.019486299712824</v>
      </c>
      <c r="F198">
        <v>192</v>
      </c>
      <c r="G198" s="78">
        <v>44008.679988425924</v>
      </c>
      <c r="H198">
        <v>50.019486299712824</v>
      </c>
      <c r="I198" t="s">
        <v>635</v>
      </c>
      <c r="J198" t="e">
        <f ca="1">SUMPRODUCT('Function Values'!C34:C43,'Function Values'!C34:C43)</f>
        <v>#NAME?</v>
      </c>
    </row>
    <row r="199" spans="1:10" x14ac:dyDescent="0.2">
      <c r="A199">
        <v>185</v>
      </c>
      <c r="B199" t="s">
        <v>1731</v>
      </c>
      <c r="C199" t="s">
        <v>1070</v>
      </c>
      <c r="D199" t="s">
        <v>1201</v>
      </c>
      <c r="E199">
        <v>100.00000000428548</v>
      </c>
      <c r="F199">
        <v>192</v>
      </c>
      <c r="G199" s="78">
        <v>44008.679988425924</v>
      </c>
      <c r="H199">
        <v>100.00000000428548</v>
      </c>
      <c r="I199" t="s">
        <v>636</v>
      </c>
    </row>
    <row r="200" spans="1:10" x14ac:dyDescent="0.2">
      <c r="A200">
        <v>186</v>
      </c>
      <c r="B200" t="s">
        <v>1731</v>
      </c>
      <c r="C200" t="s">
        <v>1070</v>
      </c>
      <c r="D200" t="s">
        <v>1202</v>
      </c>
      <c r="E200">
        <v>50.022062964494189</v>
      </c>
      <c r="F200">
        <v>192</v>
      </c>
      <c r="G200" s="78">
        <v>44008.679988425924</v>
      </c>
      <c r="H200">
        <v>50.022062964494189</v>
      </c>
      <c r="I200" t="s">
        <v>637</v>
      </c>
    </row>
    <row r="201" spans="1:10" x14ac:dyDescent="0.2">
      <c r="A201">
        <v>187</v>
      </c>
      <c r="B201" t="s">
        <v>1731</v>
      </c>
      <c r="C201" t="s">
        <v>1070</v>
      </c>
      <c r="D201" t="s">
        <v>1203</v>
      </c>
      <c r="E201">
        <v>90.005194140529923</v>
      </c>
      <c r="F201">
        <v>192</v>
      </c>
      <c r="G201" s="78">
        <v>44008.679988425924</v>
      </c>
      <c r="H201">
        <v>90.005194140529923</v>
      </c>
      <c r="I201" t="s">
        <v>638</v>
      </c>
    </row>
    <row r="202" spans="1:10" x14ac:dyDescent="0.2">
      <c r="A202">
        <v>188</v>
      </c>
      <c r="B202" t="s">
        <v>1731</v>
      </c>
      <c r="C202" t="s">
        <v>1070</v>
      </c>
      <c r="D202" t="s">
        <v>1204</v>
      </c>
      <c r="E202">
        <v>100.00000125411314</v>
      </c>
      <c r="F202">
        <v>192</v>
      </c>
      <c r="G202" s="78">
        <v>44008.679988425924</v>
      </c>
      <c r="H202">
        <v>100.00000125411314</v>
      </c>
      <c r="I202" t="s">
        <v>639</v>
      </c>
    </row>
    <row r="203" spans="1:10" x14ac:dyDescent="0.2">
      <c r="A203">
        <v>189</v>
      </c>
      <c r="B203" t="s">
        <v>1731</v>
      </c>
      <c r="C203" t="s">
        <v>1070</v>
      </c>
      <c r="D203" t="s">
        <v>1205</v>
      </c>
      <c r="E203">
        <v>99.999999955051038</v>
      </c>
      <c r="F203">
        <v>192</v>
      </c>
      <c r="G203" s="78">
        <v>44008.679988425924</v>
      </c>
      <c r="H203">
        <v>99.999999955051038</v>
      </c>
      <c r="I203" t="s">
        <v>1765</v>
      </c>
    </row>
    <row r="204" spans="1:10" x14ac:dyDescent="0.2">
      <c r="A204">
        <v>190</v>
      </c>
      <c r="B204" t="s">
        <v>1731</v>
      </c>
      <c r="C204" t="s">
        <v>1070</v>
      </c>
      <c r="D204" t="s">
        <v>1206</v>
      </c>
      <c r="E204">
        <v>7.4405576238017459E-4</v>
      </c>
      <c r="F204">
        <v>192</v>
      </c>
      <c r="G204" s="78">
        <v>44008.679988425924</v>
      </c>
      <c r="H204">
        <v>7.4405576238017459E-4</v>
      </c>
      <c r="I204" t="s">
        <v>640</v>
      </c>
    </row>
    <row r="205" spans="1:10" x14ac:dyDescent="0.2">
      <c r="A205">
        <v>191</v>
      </c>
      <c r="B205" t="s">
        <v>1731</v>
      </c>
      <c r="C205" t="s">
        <v>1070</v>
      </c>
      <c r="D205" t="s">
        <v>1207</v>
      </c>
      <c r="E205">
        <v>1.479916125936105E-6</v>
      </c>
      <c r="F205">
        <v>192</v>
      </c>
      <c r="G205" s="78">
        <v>44008.679988425924</v>
      </c>
      <c r="H205">
        <v>1.479916125936105E-6</v>
      </c>
      <c r="I205" t="s">
        <v>641</v>
      </c>
    </row>
    <row r="206" spans="1:10" x14ac:dyDescent="0.2">
      <c r="A206">
        <v>192</v>
      </c>
      <c r="B206" t="s">
        <v>1731</v>
      </c>
      <c r="C206" t="s">
        <v>1070</v>
      </c>
      <c r="D206" t="s">
        <v>1208</v>
      </c>
      <c r="E206">
        <v>76.679360734422431</v>
      </c>
      <c r="F206">
        <v>192</v>
      </c>
      <c r="G206" s="78">
        <v>44008.679988425924</v>
      </c>
      <c r="H206">
        <v>76.679360734422431</v>
      </c>
      <c r="I206" t="s">
        <v>642</v>
      </c>
    </row>
    <row r="207" spans="1:10" x14ac:dyDescent="0.2">
      <c r="A207">
        <v>193</v>
      </c>
      <c r="B207" t="s">
        <v>1731</v>
      </c>
      <c r="C207" t="s">
        <v>1070</v>
      </c>
      <c r="D207" t="s">
        <v>1209</v>
      </c>
      <c r="E207">
        <v>100.00000171626303</v>
      </c>
      <c r="F207">
        <v>192</v>
      </c>
      <c r="G207" s="78">
        <v>44008.679988425924</v>
      </c>
      <c r="H207">
        <v>100.00000171626303</v>
      </c>
      <c r="I207" t="s">
        <v>1766</v>
      </c>
    </row>
    <row r="208" spans="1:10" x14ac:dyDescent="0.2">
      <c r="A208">
        <v>194</v>
      </c>
      <c r="B208" t="s">
        <v>1731</v>
      </c>
      <c r="C208" t="s">
        <v>1070</v>
      </c>
      <c r="D208" t="s">
        <v>1210</v>
      </c>
      <c r="E208">
        <v>12.042444900597099</v>
      </c>
      <c r="F208">
        <v>192</v>
      </c>
      <c r="G208" s="78">
        <v>44008.679988425924</v>
      </c>
      <c r="H208">
        <v>12.042444900597099</v>
      </c>
      <c r="I208" t="s">
        <v>643</v>
      </c>
    </row>
    <row r="209" spans="1:9" x14ac:dyDescent="0.2">
      <c r="A209">
        <v>195</v>
      </c>
      <c r="B209" t="s">
        <v>1731</v>
      </c>
      <c r="C209" t="s">
        <v>1070</v>
      </c>
      <c r="D209" t="s">
        <v>1211</v>
      </c>
      <c r="E209">
        <v>50.47204447563751</v>
      </c>
      <c r="F209">
        <v>192</v>
      </c>
      <c r="G209" s="78">
        <v>44008.679988425924</v>
      </c>
      <c r="H209">
        <v>50.47204447563751</v>
      </c>
      <c r="I209" t="s">
        <v>644</v>
      </c>
    </row>
    <row r="210" spans="1:9" x14ac:dyDescent="0.2">
      <c r="A210">
        <v>196</v>
      </c>
      <c r="B210" t="s">
        <v>1731</v>
      </c>
      <c r="C210" t="s">
        <v>1070</v>
      </c>
      <c r="D210" t="s">
        <v>1212</v>
      </c>
      <c r="E210">
        <v>0.57123921122650978</v>
      </c>
      <c r="F210">
        <v>192</v>
      </c>
      <c r="G210" s="78">
        <v>44008.679988425924</v>
      </c>
      <c r="H210">
        <v>0.57123921122650978</v>
      </c>
      <c r="I210" t="s">
        <v>645</v>
      </c>
    </row>
    <row r="211" spans="1:9" x14ac:dyDescent="0.2">
      <c r="A211">
        <v>197</v>
      </c>
      <c r="B211" t="s">
        <v>1731</v>
      </c>
      <c r="C211" t="s">
        <v>1070</v>
      </c>
      <c r="D211" t="s">
        <v>1213</v>
      </c>
      <c r="E211">
        <v>-96.779302032670685</v>
      </c>
      <c r="F211">
        <v>192</v>
      </c>
      <c r="G211" s="78">
        <v>44008.679988425924</v>
      </c>
      <c r="H211">
        <v>-96.779302032670685</v>
      </c>
      <c r="I211" t="s">
        <v>646</v>
      </c>
    </row>
    <row r="212" spans="1:9" x14ac:dyDescent="0.2">
      <c r="A212">
        <v>198</v>
      </c>
      <c r="B212" t="s">
        <v>1731</v>
      </c>
      <c r="C212" t="s">
        <v>1070</v>
      </c>
      <c r="D212" t="s">
        <v>1214</v>
      </c>
      <c r="E212">
        <v>-2.1427294392888583</v>
      </c>
      <c r="F212">
        <v>192</v>
      </c>
      <c r="G212" s="78">
        <v>44008.679988425924</v>
      </c>
      <c r="H212">
        <v>-2.1427294392888583</v>
      </c>
      <c r="I212" t="s">
        <v>647</v>
      </c>
    </row>
    <row r="213" spans="1:9" x14ac:dyDescent="0.2">
      <c r="A213">
        <v>199</v>
      </c>
      <c r="B213" t="s">
        <v>1731</v>
      </c>
      <c r="C213" t="s">
        <v>1070</v>
      </c>
      <c r="D213" t="s">
        <v>1215</v>
      </c>
      <c r="E213">
        <v>0.67462869817872928</v>
      </c>
      <c r="F213">
        <v>192</v>
      </c>
      <c r="G213" s="78">
        <v>44008.679988425924</v>
      </c>
      <c r="H213">
        <v>0.67462869817872928</v>
      </c>
      <c r="I213" t="s">
        <v>648</v>
      </c>
    </row>
    <row r="214" spans="1:9" x14ac:dyDescent="0.2">
      <c r="A214">
        <v>200</v>
      </c>
      <c r="B214" t="s">
        <v>1731</v>
      </c>
      <c r="C214" t="s">
        <v>1070</v>
      </c>
      <c r="D214" t="s">
        <v>1216</v>
      </c>
      <c r="E214">
        <v>0.53994793387550022</v>
      </c>
      <c r="F214">
        <v>192</v>
      </c>
      <c r="G214" s="78">
        <v>44008.679988425924</v>
      </c>
      <c r="H214">
        <v>0.53994793387550022</v>
      </c>
      <c r="I214" t="s">
        <v>649</v>
      </c>
    </row>
    <row r="215" spans="1:9" x14ac:dyDescent="0.2">
      <c r="A215">
        <v>201</v>
      </c>
      <c r="B215" t="s">
        <v>1731</v>
      </c>
      <c r="C215" t="s">
        <v>1070</v>
      </c>
      <c r="D215" t="s">
        <v>1217</v>
      </c>
      <c r="E215">
        <v>8.6569726422060906</v>
      </c>
      <c r="F215">
        <v>192</v>
      </c>
      <c r="G215" s="78">
        <v>44008.679988425924</v>
      </c>
      <c r="H215">
        <v>8.6569726422060906</v>
      </c>
      <c r="I215" t="s">
        <v>650</v>
      </c>
    </row>
    <row r="216" spans="1:9" x14ac:dyDescent="0.2">
      <c r="A216">
        <v>202</v>
      </c>
      <c r="B216" t="s">
        <v>1731</v>
      </c>
      <c r="C216" t="s">
        <v>1070</v>
      </c>
      <c r="D216" t="s">
        <v>1218</v>
      </c>
      <c r="E216">
        <v>-964.40610524564363</v>
      </c>
      <c r="F216">
        <v>192</v>
      </c>
      <c r="G216" s="78">
        <v>44008.679988425924</v>
      </c>
      <c r="H216">
        <v>-964.40610524564363</v>
      </c>
      <c r="I216" t="s">
        <v>651</v>
      </c>
    </row>
    <row r="217" spans="1:9" x14ac:dyDescent="0.2">
      <c r="A217">
        <v>203</v>
      </c>
      <c r="B217" t="s">
        <v>1731</v>
      </c>
      <c r="C217" t="s">
        <v>1070</v>
      </c>
      <c r="D217" t="s">
        <v>1219</v>
      </c>
      <c r="E217">
        <v>1999.2896447774383</v>
      </c>
      <c r="F217">
        <v>192</v>
      </c>
      <c r="G217" s="78">
        <v>44008.679988425924</v>
      </c>
      <c r="H217">
        <v>1999.2896447774383</v>
      </c>
      <c r="I217" t="s">
        <v>652</v>
      </c>
    </row>
    <row r="218" spans="1:9" x14ac:dyDescent="0.2">
      <c r="A218">
        <v>204</v>
      </c>
      <c r="B218" t="s">
        <v>1731</v>
      </c>
      <c r="C218" t="s">
        <v>1070</v>
      </c>
      <c r="D218" t="s">
        <v>1220</v>
      </c>
      <c r="E218">
        <v>5555.1915274057856</v>
      </c>
      <c r="F218">
        <v>192</v>
      </c>
      <c r="G218" s="78">
        <v>44008.679988425924</v>
      </c>
      <c r="H218">
        <v>5555.1915274057856</v>
      </c>
      <c r="I218" t="s">
        <v>653</v>
      </c>
    </row>
    <row r="219" spans="1:9" x14ac:dyDescent="0.2">
      <c r="A219">
        <v>205</v>
      </c>
      <c r="B219" t="s">
        <v>1731</v>
      </c>
      <c r="C219" t="s">
        <v>1070</v>
      </c>
      <c r="D219" t="s">
        <v>1221</v>
      </c>
      <c r="E219">
        <v>0.36320586630477525</v>
      </c>
      <c r="F219">
        <v>192</v>
      </c>
      <c r="G219" s="78">
        <v>44008.679988425924</v>
      </c>
      <c r="H219">
        <v>0.36320586630477525</v>
      </c>
      <c r="I219" t="s">
        <v>654</v>
      </c>
    </row>
    <row r="220" spans="1:9" x14ac:dyDescent="0.2">
      <c r="A220">
        <v>206</v>
      </c>
      <c r="B220" t="s">
        <v>1731</v>
      </c>
      <c r="C220" t="s">
        <v>1070</v>
      </c>
      <c r="D220" t="s">
        <v>1222</v>
      </c>
      <c r="E220">
        <v>-209.89636191041382</v>
      </c>
      <c r="F220">
        <v>192</v>
      </c>
      <c r="G220" s="78">
        <v>44008.679988425924</v>
      </c>
      <c r="H220">
        <v>-209.89636191041382</v>
      </c>
      <c r="I220" t="s">
        <v>655</v>
      </c>
    </row>
    <row r="221" spans="1:9" x14ac:dyDescent="0.2">
      <c r="A221">
        <v>207</v>
      </c>
      <c r="B221" t="s">
        <v>1731</v>
      </c>
      <c r="C221" t="s">
        <v>1070</v>
      </c>
      <c r="D221" t="s">
        <v>1223</v>
      </c>
      <c r="E221">
        <v>0.19079264494168846</v>
      </c>
      <c r="F221">
        <v>192</v>
      </c>
      <c r="G221" s="78">
        <v>44008.679988425924</v>
      </c>
      <c r="H221">
        <v>0.19079264494168846</v>
      </c>
      <c r="I221" t="s">
        <v>656</v>
      </c>
    </row>
    <row r="222" spans="1:9" x14ac:dyDescent="0.2">
      <c r="A222">
        <v>208</v>
      </c>
      <c r="B222" t="s">
        <v>1731</v>
      </c>
      <c r="C222" t="s">
        <v>1070</v>
      </c>
      <c r="D222" t="s">
        <v>1224</v>
      </c>
      <c r="E222">
        <v>-120.9485792326718</v>
      </c>
      <c r="F222">
        <v>192</v>
      </c>
      <c r="G222" s="78">
        <v>44008.679988425924</v>
      </c>
      <c r="H222">
        <v>-120.9485792326718</v>
      </c>
      <c r="I222" t="s">
        <v>657</v>
      </c>
    </row>
    <row r="223" spans="1:9" x14ac:dyDescent="0.2">
      <c r="A223">
        <v>209</v>
      </c>
      <c r="B223" t="s">
        <v>1731</v>
      </c>
      <c r="C223" t="s">
        <v>1070</v>
      </c>
      <c r="D223" t="s">
        <v>1225</v>
      </c>
      <c r="E223">
        <v>8.0032560903597965</v>
      </c>
      <c r="F223">
        <v>192</v>
      </c>
      <c r="G223" s="78">
        <v>44008.679988425924</v>
      </c>
      <c r="H223">
        <v>8.0032560903597965</v>
      </c>
      <c r="I223" t="s">
        <v>554</v>
      </c>
    </row>
    <row r="224" spans="1:9" x14ac:dyDescent="0.2">
      <c r="A224">
        <v>210</v>
      </c>
      <c r="B224" t="s">
        <v>1731</v>
      </c>
      <c r="C224" t="s">
        <v>1070</v>
      </c>
      <c r="D224" t="s">
        <v>1226</v>
      </c>
      <c r="E224">
        <v>7.9967243442694196</v>
      </c>
      <c r="F224">
        <v>192</v>
      </c>
      <c r="G224" s="78">
        <v>44008.679988425924</v>
      </c>
      <c r="H224">
        <v>7.9967243442694196</v>
      </c>
      <c r="I224" t="s">
        <v>555</v>
      </c>
    </row>
    <row r="225" spans="1:10" x14ac:dyDescent="0.2">
      <c r="A225">
        <v>211</v>
      </c>
      <c r="B225" t="s">
        <v>1731</v>
      </c>
      <c r="C225" t="s">
        <v>1070</v>
      </c>
      <c r="D225" t="s">
        <v>1227</v>
      </c>
      <c r="E225">
        <v>56.003414836948608</v>
      </c>
      <c r="F225">
        <v>192</v>
      </c>
      <c r="G225" s="78">
        <v>44008.679988425924</v>
      </c>
      <c r="H225">
        <v>56.003414836948608</v>
      </c>
      <c r="I225" t="s">
        <v>662</v>
      </c>
    </row>
    <row r="226" spans="1:10" x14ac:dyDescent="0.2">
      <c r="A226">
        <v>212</v>
      </c>
      <c r="B226" t="s">
        <v>1731</v>
      </c>
      <c r="C226" t="s">
        <v>1070</v>
      </c>
      <c r="D226" t="s">
        <v>1228</v>
      </c>
      <c r="E226">
        <v>8.0035591446908754</v>
      </c>
      <c r="F226">
        <v>192</v>
      </c>
      <c r="G226" s="78">
        <v>44008.679988425924</v>
      </c>
      <c r="H226">
        <v>8.0035591446908754</v>
      </c>
      <c r="I226" t="s">
        <v>663</v>
      </c>
    </row>
    <row r="227" spans="1:10" x14ac:dyDescent="0.2">
      <c r="A227">
        <v>213</v>
      </c>
      <c r="B227" t="s">
        <v>1731</v>
      </c>
      <c r="C227" t="s">
        <v>1070</v>
      </c>
      <c r="D227" t="s">
        <v>1229</v>
      </c>
      <c r="E227">
        <v>16.000233683146245</v>
      </c>
      <c r="F227">
        <v>192</v>
      </c>
      <c r="G227" s="78">
        <v>44008.679988425924</v>
      </c>
      <c r="H227">
        <v>16.000233683146245</v>
      </c>
      <c r="I227" t="s">
        <v>664</v>
      </c>
    </row>
    <row r="228" spans="1:10" x14ac:dyDescent="0.2">
      <c r="A228">
        <v>214</v>
      </c>
      <c r="B228" t="s">
        <v>1731</v>
      </c>
      <c r="C228" t="s">
        <v>1070</v>
      </c>
      <c r="D228" t="s">
        <v>1230</v>
      </c>
      <c r="E228">
        <v>15.99969795276707</v>
      </c>
      <c r="F228">
        <v>192</v>
      </c>
      <c r="G228" s="78">
        <v>44008.679988425924</v>
      </c>
      <c r="H228">
        <v>15.99969795276707</v>
      </c>
      <c r="I228" t="s">
        <v>665</v>
      </c>
    </row>
    <row r="229" spans="1:10" x14ac:dyDescent="0.2">
      <c r="A229">
        <v>215</v>
      </c>
      <c r="B229" t="s">
        <v>1731</v>
      </c>
      <c r="C229" t="s">
        <v>1070</v>
      </c>
      <c r="D229" t="s">
        <v>1231</v>
      </c>
      <c r="E229">
        <v>15.999967698905174</v>
      </c>
      <c r="F229">
        <v>192</v>
      </c>
      <c r="G229" s="78">
        <v>44008.679988425924</v>
      </c>
      <c r="H229">
        <v>15.999967698905174</v>
      </c>
      <c r="I229" t="s">
        <v>1512</v>
      </c>
    </row>
    <row r="230" spans="1:10" x14ac:dyDescent="0.2">
      <c r="A230">
        <v>216</v>
      </c>
      <c r="B230" t="s">
        <v>1731</v>
      </c>
      <c r="C230" t="s">
        <v>1070</v>
      </c>
      <c r="D230" t="s">
        <v>1232</v>
      </c>
      <c r="E230">
        <v>56.003426934413362</v>
      </c>
      <c r="F230">
        <v>192</v>
      </c>
      <c r="G230" s="78">
        <v>44008.679988425924</v>
      </c>
      <c r="H230">
        <v>56.003426934413362</v>
      </c>
      <c r="I230" t="s">
        <v>547</v>
      </c>
    </row>
    <row r="231" spans="1:10" x14ac:dyDescent="0.2">
      <c r="A231">
        <v>217</v>
      </c>
      <c r="B231" t="s">
        <v>1731</v>
      </c>
      <c r="C231" t="s">
        <v>1070</v>
      </c>
      <c r="D231" t="s">
        <v>1233</v>
      </c>
      <c r="E231">
        <v>16</v>
      </c>
      <c r="F231">
        <v>192</v>
      </c>
      <c r="G231" s="78">
        <v>44008.679988425924</v>
      </c>
      <c r="H231">
        <v>16</v>
      </c>
      <c r="I231" t="s">
        <v>1496</v>
      </c>
    </row>
    <row r="232" spans="1:10" x14ac:dyDescent="0.2">
      <c r="A232">
        <v>218</v>
      </c>
      <c r="B232" t="s">
        <v>1731</v>
      </c>
      <c r="C232" t="s">
        <v>1070</v>
      </c>
      <c r="D232" t="s">
        <v>1234</v>
      </c>
      <c r="E232">
        <v>48.707373976246025</v>
      </c>
      <c r="F232">
        <v>192</v>
      </c>
      <c r="G232" s="78">
        <v>44008.679988425924</v>
      </c>
      <c r="H232">
        <v>48.707373976246025</v>
      </c>
      <c r="I232" t="s">
        <v>666</v>
      </c>
      <c r="J232">
        <f>SUMPRODUCT('Function Values'!C93,'Function Values'!C93)</f>
        <v>6.6072615316018694E-16</v>
      </c>
    </row>
    <row r="233" spans="1:10" x14ac:dyDescent="0.2">
      <c r="A233">
        <v>219</v>
      </c>
      <c r="B233" t="s">
        <v>1731</v>
      </c>
      <c r="C233" t="s">
        <v>1070</v>
      </c>
      <c r="D233" t="s">
        <v>1235</v>
      </c>
      <c r="E233">
        <v>0.83331594270501674</v>
      </c>
      <c r="F233">
        <v>192</v>
      </c>
      <c r="G233" s="78">
        <v>44008.679988425924</v>
      </c>
      <c r="H233">
        <v>0.83331594270501674</v>
      </c>
      <c r="I233" t="s">
        <v>667</v>
      </c>
      <c r="J233">
        <f>SUMPRODUCT('Function Values'!C83,'Function Values'!C83)</f>
        <v>1.5646703402679699E-21</v>
      </c>
    </row>
    <row r="234" spans="1:10" x14ac:dyDescent="0.2">
      <c r="A234">
        <v>220</v>
      </c>
      <c r="B234" t="s">
        <v>1731</v>
      </c>
      <c r="C234" t="s">
        <v>1070</v>
      </c>
      <c r="D234" t="s">
        <v>1236</v>
      </c>
      <c r="E234">
        <v>5906.5222525248519</v>
      </c>
      <c r="F234">
        <v>192</v>
      </c>
      <c r="G234" s="78">
        <v>44008.679988425924</v>
      </c>
      <c r="H234">
        <v>5906.5222525248519</v>
      </c>
      <c r="I234" t="s">
        <v>668</v>
      </c>
      <c r="J234">
        <f>SUMPRODUCT('Function Values'!C84,'Function Values'!C84)</f>
        <v>4.2774383210777978E-13</v>
      </c>
    </row>
    <row r="235" spans="1:10" x14ac:dyDescent="0.2">
      <c r="A235">
        <v>221</v>
      </c>
      <c r="B235" t="s">
        <v>1731</v>
      </c>
      <c r="C235" t="s">
        <v>1070</v>
      </c>
      <c r="D235" t="s">
        <v>1237</v>
      </c>
      <c r="E235">
        <v>814.97119009252447</v>
      </c>
      <c r="F235">
        <v>192</v>
      </c>
      <c r="G235" s="78">
        <v>44008.679988425924</v>
      </c>
      <c r="H235">
        <v>814.97119009252447</v>
      </c>
      <c r="I235" t="s">
        <v>669</v>
      </c>
      <c r="J235" t="e">
        <f ca="1">SUMPRODUCT('Function Values'!C90,'Function Values'!C90)</f>
        <v>#NAME?</v>
      </c>
    </row>
    <row r="236" spans="1:10" x14ac:dyDescent="0.2">
      <c r="A236">
        <v>222</v>
      </c>
      <c r="B236" t="s">
        <v>1731</v>
      </c>
      <c r="C236" t="s">
        <v>1070</v>
      </c>
      <c r="D236" t="s">
        <v>1238</v>
      </c>
      <c r="E236">
        <v>46.417472948368165</v>
      </c>
      <c r="F236">
        <v>192</v>
      </c>
      <c r="G236" s="78">
        <v>44008.679988425924</v>
      </c>
      <c r="H236">
        <v>46.417472948368165</v>
      </c>
      <c r="I236" t="s">
        <v>670</v>
      </c>
      <c r="J236" t="e">
        <f ca="1">SUMPRODUCT('Function Values'!C91,'Function Values'!C91)</f>
        <v>#NAME?</v>
      </c>
    </row>
    <row r="237" spans="1:10" x14ac:dyDescent="0.2">
      <c r="A237">
        <v>223</v>
      </c>
      <c r="B237" t="s">
        <v>1731</v>
      </c>
      <c r="C237" t="s">
        <v>1070</v>
      </c>
      <c r="D237" t="s">
        <v>1434</v>
      </c>
      <c r="E237">
        <v>151.5331194774931</v>
      </c>
      <c r="F237">
        <v>192</v>
      </c>
      <c r="G237" s="78">
        <v>44008.679988425924</v>
      </c>
      <c r="H237">
        <v>151.5331194774931</v>
      </c>
      <c r="I237" t="s">
        <v>671</v>
      </c>
      <c r="J237" t="e">
        <f ca="1">SUMPRODUCT('Function Values'!C92,'Function Values'!C92)</f>
        <v>#NAME?</v>
      </c>
    </row>
    <row r="238" spans="1:10" x14ac:dyDescent="0.2">
      <c r="A238">
        <v>224</v>
      </c>
      <c r="B238" t="s">
        <v>1731</v>
      </c>
      <c r="C238" t="s">
        <v>1070</v>
      </c>
      <c r="D238" t="s">
        <v>1435</v>
      </c>
      <c r="E238">
        <v>45.000000417205491</v>
      </c>
      <c r="F238">
        <v>192</v>
      </c>
      <c r="G238" s="78">
        <v>44008.679988425924</v>
      </c>
      <c r="H238">
        <v>45.000000417205491</v>
      </c>
      <c r="I238" t="s">
        <v>1513</v>
      </c>
    </row>
    <row r="239" spans="1:10" x14ac:dyDescent="0.2">
      <c r="A239">
        <v>225</v>
      </c>
      <c r="B239" t="s">
        <v>1731</v>
      </c>
      <c r="C239" t="s">
        <v>1070</v>
      </c>
      <c r="D239" t="s">
        <v>1436</v>
      </c>
      <c r="E239">
        <v>0.79911882830025649</v>
      </c>
      <c r="F239">
        <v>192</v>
      </c>
      <c r="G239" s="78">
        <v>44008.679988425924</v>
      </c>
      <c r="H239">
        <v>0.79911882830025649</v>
      </c>
      <c r="I239" t="s">
        <v>1514</v>
      </c>
    </row>
    <row r="240" spans="1:10" x14ac:dyDescent="0.2">
      <c r="A240">
        <v>226</v>
      </c>
      <c r="B240" t="s">
        <v>1731</v>
      </c>
      <c r="C240" t="s">
        <v>1070</v>
      </c>
      <c r="D240" t="s">
        <v>1437</v>
      </c>
      <c r="E240">
        <v>10000.000005201506</v>
      </c>
      <c r="F240">
        <v>192</v>
      </c>
      <c r="G240" s="78">
        <v>44008.679988425924</v>
      </c>
      <c r="H240">
        <v>10000.000005201506</v>
      </c>
      <c r="I240" t="s">
        <v>1515</v>
      </c>
    </row>
    <row r="241" spans="1:10" x14ac:dyDescent="0.2">
      <c r="A241">
        <v>227</v>
      </c>
      <c r="B241" t="s">
        <v>1731</v>
      </c>
      <c r="C241" t="s">
        <v>1070</v>
      </c>
      <c r="D241" t="s">
        <v>1438</v>
      </c>
      <c r="E241">
        <v>571.99999947174274</v>
      </c>
      <c r="F241">
        <v>192</v>
      </c>
      <c r="G241" s="78">
        <v>44008.679988425924</v>
      </c>
      <c r="H241">
        <v>571.99999947174274</v>
      </c>
      <c r="I241" t="s">
        <v>1516</v>
      </c>
    </row>
    <row r="242" spans="1:10" x14ac:dyDescent="0.2">
      <c r="A242">
        <v>228</v>
      </c>
      <c r="B242" t="s">
        <v>1731</v>
      </c>
      <c r="C242" t="s">
        <v>1070</v>
      </c>
      <c r="D242" t="s">
        <v>1439</v>
      </c>
      <c r="E242">
        <v>679.99999908533357</v>
      </c>
      <c r="F242">
        <v>192</v>
      </c>
      <c r="G242" s="78">
        <v>44008.679988425924</v>
      </c>
      <c r="H242">
        <v>679.99999908533357</v>
      </c>
      <c r="I242" t="s">
        <v>1517</v>
      </c>
    </row>
    <row r="243" spans="1:10" x14ac:dyDescent="0.2">
      <c r="A243">
        <v>229</v>
      </c>
      <c r="B243" t="s">
        <v>1731</v>
      </c>
      <c r="C243" t="s">
        <v>1070</v>
      </c>
      <c r="D243" t="s">
        <v>1440</v>
      </c>
      <c r="E243">
        <v>31.999999718462142</v>
      </c>
      <c r="F243">
        <v>192</v>
      </c>
      <c r="G243" s="78">
        <v>44008.679988425924</v>
      </c>
      <c r="H243">
        <v>31.999999718462142</v>
      </c>
      <c r="I243" t="s">
        <v>1518</v>
      </c>
    </row>
    <row r="244" spans="1:10" x14ac:dyDescent="0.2">
      <c r="A244">
        <v>230</v>
      </c>
      <c r="B244" t="s">
        <v>1731</v>
      </c>
      <c r="C244" t="s">
        <v>1070</v>
      </c>
      <c r="D244" t="s">
        <v>1441</v>
      </c>
      <c r="E244">
        <v>161.59999793764459</v>
      </c>
      <c r="F244">
        <v>192</v>
      </c>
      <c r="G244" s="78">
        <v>44008.679988425924</v>
      </c>
      <c r="H244">
        <v>161.59999793764459</v>
      </c>
      <c r="I244" t="s">
        <v>1519</v>
      </c>
    </row>
    <row r="245" spans="1:10" x14ac:dyDescent="0.2">
      <c r="A245">
        <v>231</v>
      </c>
      <c r="B245" t="s">
        <v>1731</v>
      </c>
      <c r="C245" t="s">
        <v>1070</v>
      </c>
      <c r="D245" t="s">
        <v>1442</v>
      </c>
      <c r="E245">
        <v>1</v>
      </c>
      <c r="F245">
        <v>192</v>
      </c>
      <c r="G245" s="78">
        <v>44008.679988425924</v>
      </c>
      <c r="H245">
        <v>1</v>
      </c>
      <c r="I245" t="s">
        <v>546</v>
      </c>
    </row>
    <row r="246" spans="1:10" x14ac:dyDescent="0.2">
      <c r="A246">
        <v>232</v>
      </c>
      <c r="B246" t="s">
        <v>1731</v>
      </c>
      <c r="C246" t="s">
        <v>1070</v>
      </c>
      <c r="D246" t="s">
        <v>1443</v>
      </c>
      <c r="E246">
        <v>9999.9999555453578</v>
      </c>
      <c r="F246">
        <v>192</v>
      </c>
      <c r="G246" s="78">
        <v>44008.679988425924</v>
      </c>
      <c r="H246">
        <v>9999.9999555453578</v>
      </c>
      <c r="I246" t="s">
        <v>1524</v>
      </c>
      <c r="J246">
        <f>SUMPRODUCT('Function Values'!C99,'Function Values'!C99)</f>
        <v>5.1500455519964635E-16</v>
      </c>
    </row>
    <row r="247" spans="1:10" x14ac:dyDescent="0.2">
      <c r="A247">
        <v>233</v>
      </c>
      <c r="B247" t="s">
        <v>1731</v>
      </c>
      <c r="C247" t="s">
        <v>1070</v>
      </c>
      <c r="D247" t="s">
        <v>1444</v>
      </c>
      <c r="E247">
        <v>5000.5502170653417</v>
      </c>
      <c r="F247">
        <v>192</v>
      </c>
      <c r="G247" s="78">
        <v>44008.679988425924</v>
      </c>
      <c r="H247">
        <v>5000.5502170653417</v>
      </c>
      <c r="I247" t="s">
        <v>683</v>
      </c>
      <c r="J247">
        <f>SUMPRODUCT('Function Values'!C85,'Function Values'!C85)</f>
        <v>3.9802946400250509E-14</v>
      </c>
    </row>
    <row r="248" spans="1:10" x14ac:dyDescent="0.2">
      <c r="A248">
        <v>234</v>
      </c>
      <c r="B248" t="s">
        <v>1731</v>
      </c>
      <c r="C248" t="s">
        <v>1070</v>
      </c>
      <c r="D248" t="s">
        <v>1445</v>
      </c>
      <c r="E248">
        <v>4.9678841386194608E-7</v>
      </c>
      <c r="F248">
        <v>192</v>
      </c>
      <c r="G248" s="78">
        <v>44008.679988425924</v>
      </c>
      <c r="H248">
        <v>4.9678841386194608E-7</v>
      </c>
      <c r="I248" t="s">
        <v>1525</v>
      </c>
      <c r="J248" t="e">
        <f ca="1">SUMPRODUCT('Function Values'!C95:C98,'Function Values'!C95:C98)</f>
        <v>#NAME?</v>
      </c>
    </row>
    <row r="249" spans="1:10" x14ac:dyDescent="0.2">
      <c r="A249">
        <v>235</v>
      </c>
      <c r="B249" t="s">
        <v>1731</v>
      </c>
      <c r="C249" t="s">
        <v>1070</v>
      </c>
      <c r="D249" t="s">
        <v>1446</v>
      </c>
      <c r="E249">
        <v>66.666668874843523</v>
      </c>
      <c r="F249">
        <v>192</v>
      </c>
      <c r="G249" s="78">
        <v>44008.679988425924</v>
      </c>
      <c r="H249">
        <v>66.666668874843523</v>
      </c>
      <c r="I249" t="s">
        <v>1526</v>
      </c>
    </row>
    <row r="250" spans="1:10" x14ac:dyDescent="0.2">
      <c r="A250">
        <v>236</v>
      </c>
      <c r="B250" t="s">
        <v>1731</v>
      </c>
      <c r="C250" t="s">
        <v>1070</v>
      </c>
      <c r="D250" t="s">
        <v>1447</v>
      </c>
      <c r="E250">
        <v>100.00000542877765</v>
      </c>
      <c r="F250">
        <v>192</v>
      </c>
      <c r="G250" s="78">
        <v>44008.679988425924</v>
      </c>
      <c r="H250">
        <v>100.00000542877765</v>
      </c>
      <c r="I250" t="s">
        <v>1527</v>
      </c>
    </row>
    <row r="251" spans="1:10" x14ac:dyDescent="0.2">
      <c r="A251">
        <v>237</v>
      </c>
      <c r="B251" t="s">
        <v>1731</v>
      </c>
      <c r="C251" t="s">
        <v>1070</v>
      </c>
      <c r="D251" t="s">
        <v>1448</v>
      </c>
      <c r="E251">
        <v>100.00000170762857</v>
      </c>
      <c r="F251">
        <v>192</v>
      </c>
      <c r="G251" s="78">
        <v>44008.679988425924</v>
      </c>
      <c r="H251">
        <v>100.00000170762857</v>
      </c>
      <c r="I251" t="s">
        <v>1769</v>
      </c>
    </row>
    <row r="252" spans="1:10" x14ac:dyDescent="0.2">
      <c r="A252">
        <v>238</v>
      </c>
      <c r="B252" t="s">
        <v>1731</v>
      </c>
      <c r="C252" t="s">
        <v>1070</v>
      </c>
      <c r="D252" t="s">
        <v>1449</v>
      </c>
      <c r="E252">
        <v>28.58276640168453</v>
      </c>
      <c r="F252">
        <v>192</v>
      </c>
      <c r="G252" s="78">
        <v>44008.679988425924</v>
      </c>
      <c r="H252">
        <v>28.58276640168453</v>
      </c>
      <c r="I252" t="s">
        <v>684</v>
      </c>
      <c r="J252">
        <f>SUMPRODUCT('Function Values'!C86:C89,'Function Values'!C86:C89)</f>
        <v>1.5878806996735729E-13</v>
      </c>
    </row>
    <row r="253" spans="1:10" x14ac:dyDescent="0.2">
      <c r="A253">
        <v>239</v>
      </c>
      <c r="B253" t="s">
        <v>1731</v>
      </c>
      <c r="C253" t="s">
        <v>1070</v>
      </c>
      <c r="D253" t="s">
        <v>1450</v>
      </c>
      <c r="E253">
        <v>59.052195931401414</v>
      </c>
      <c r="F253">
        <v>192</v>
      </c>
      <c r="G253" s="78">
        <v>44008.679988425924</v>
      </c>
      <c r="H253">
        <v>59.052195931401414</v>
      </c>
      <c r="I253" t="s">
        <v>685</v>
      </c>
    </row>
    <row r="254" spans="1:10" x14ac:dyDescent="0.2">
      <c r="A254">
        <v>240</v>
      </c>
      <c r="B254" t="s">
        <v>1731</v>
      </c>
      <c r="C254" t="s">
        <v>1070</v>
      </c>
      <c r="D254" t="s">
        <v>1451</v>
      </c>
      <c r="E254">
        <v>93.337572112724359</v>
      </c>
      <c r="F254">
        <v>192</v>
      </c>
      <c r="G254" s="78">
        <v>44008.679988425924</v>
      </c>
      <c r="H254">
        <v>93.337572112724359</v>
      </c>
      <c r="I254" t="s">
        <v>686</v>
      </c>
    </row>
    <row r="255" spans="1:10" x14ac:dyDescent="0.2">
      <c r="A255">
        <v>241</v>
      </c>
      <c r="B255" t="s">
        <v>1731</v>
      </c>
      <c r="C255" t="s">
        <v>1070</v>
      </c>
      <c r="D255" t="s">
        <v>1452</v>
      </c>
      <c r="E255">
        <v>100.00007889564095</v>
      </c>
      <c r="F255">
        <v>192</v>
      </c>
      <c r="G255" s="78">
        <v>44008.679988425924</v>
      </c>
      <c r="H255">
        <v>100.00007889564095</v>
      </c>
      <c r="I255" t="s">
        <v>1770</v>
      </c>
    </row>
    <row r="256" spans="1:10" x14ac:dyDescent="0.2">
      <c r="A256">
        <v>242</v>
      </c>
      <c r="B256" t="s">
        <v>1731</v>
      </c>
      <c r="C256" t="s">
        <v>1070</v>
      </c>
      <c r="D256" t="s">
        <v>1453</v>
      </c>
      <c r="E256">
        <v>7.9967068106407488</v>
      </c>
      <c r="F256">
        <v>192</v>
      </c>
      <c r="G256" s="78">
        <v>44008.679988425924</v>
      </c>
      <c r="H256">
        <v>7.9967068106407488</v>
      </c>
      <c r="I256" t="s">
        <v>1306</v>
      </c>
    </row>
    <row r="257" spans="1:10" x14ac:dyDescent="0.2">
      <c r="A257">
        <v>243</v>
      </c>
      <c r="B257" t="s">
        <v>1731</v>
      </c>
      <c r="C257" t="s">
        <v>1070</v>
      </c>
      <c r="D257" t="s">
        <v>1454</v>
      </c>
      <c r="E257">
        <v>617.00000006787229</v>
      </c>
      <c r="F257">
        <v>192</v>
      </c>
      <c r="G257" s="78">
        <v>44008.679988425924</v>
      </c>
      <c r="H257">
        <v>617.00000006787229</v>
      </c>
      <c r="I257" t="s">
        <v>1276</v>
      </c>
    </row>
    <row r="258" spans="1:10" x14ac:dyDescent="0.2">
      <c r="A258">
        <v>244</v>
      </c>
      <c r="B258" t="s">
        <v>1731</v>
      </c>
      <c r="C258" t="s">
        <v>1070</v>
      </c>
      <c r="D258" t="s">
        <v>1455</v>
      </c>
      <c r="E258">
        <v>568.90000000503846</v>
      </c>
      <c r="F258">
        <v>192</v>
      </c>
      <c r="G258" s="78">
        <v>44008.679988425924</v>
      </c>
      <c r="H258">
        <v>568.90000000503846</v>
      </c>
      <c r="I258" t="s">
        <v>1277</v>
      </c>
    </row>
    <row r="259" spans="1:10" x14ac:dyDescent="0.2">
      <c r="A259">
        <v>245</v>
      </c>
      <c r="B259" t="s">
        <v>1731</v>
      </c>
      <c r="C259" t="s">
        <v>1070</v>
      </c>
      <c r="D259" t="s">
        <v>1456</v>
      </c>
      <c r="E259">
        <v>10.00000004679231</v>
      </c>
      <c r="F259">
        <v>192</v>
      </c>
      <c r="G259" s="78">
        <v>44008.679988425924</v>
      </c>
      <c r="H259">
        <v>10.00000004679231</v>
      </c>
      <c r="I259" t="s">
        <v>1307</v>
      </c>
    </row>
    <row r="260" spans="1:10" x14ac:dyDescent="0.2">
      <c r="A260">
        <v>246</v>
      </c>
      <c r="B260" t="s">
        <v>1731</v>
      </c>
      <c r="C260" t="s">
        <v>1070</v>
      </c>
      <c r="D260" t="s">
        <v>1457</v>
      </c>
      <c r="E260">
        <v>7.1967253945194827</v>
      </c>
      <c r="F260">
        <v>192</v>
      </c>
      <c r="G260" s="78">
        <v>44008.679988425924</v>
      </c>
      <c r="H260">
        <v>7.1967253945194827</v>
      </c>
      <c r="I260" t="s">
        <v>1308</v>
      </c>
    </row>
    <row r="261" spans="1:10" x14ac:dyDescent="0.2">
      <c r="A261">
        <v>247</v>
      </c>
      <c r="B261" t="s">
        <v>1731</v>
      </c>
      <c r="C261" t="s">
        <v>1070</v>
      </c>
      <c r="D261" t="s">
        <v>1458</v>
      </c>
      <c r="E261">
        <v>1</v>
      </c>
      <c r="F261">
        <v>192</v>
      </c>
      <c r="G261" s="78">
        <v>44008.679988425924</v>
      </c>
      <c r="H261">
        <v>1</v>
      </c>
      <c r="I261" t="s">
        <v>1309</v>
      </c>
    </row>
    <row r="262" spans="1:10" x14ac:dyDescent="0.2">
      <c r="A262">
        <v>248</v>
      </c>
      <c r="B262" t="s">
        <v>1731</v>
      </c>
      <c r="C262" t="s">
        <v>1070</v>
      </c>
      <c r="D262" t="s">
        <v>1459</v>
      </c>
      <c r="E262">
        <v>617.00000006177345</v>
      </c>
      <c r="F262">
        <v>192</v>
      </c>
      <c r="G262" s="78">
        <v>44008.679988425924</v>
      </c>
      <c r="H262">
        <v>617.00000006177345</v>
      </c>
      <c r="I262" t="s">
        <v>1288</v>
      </c>
    </row>
    <row r="263" spans="1:10" x14ac:dyDescent="0.2">
      <c r="A263">
        <v>249</v>
      </c>
      <c r="B263" t="s">
        <v>1731</v>
      </c>
      <c r="C263" t="s">
        <v>1070</v>
      </c>
      <c r="D263" t="s">
        <v>1460</v>
      </c>
      <c r="E263">
        <v>568.90000000458554</v>
      </c>
      <c r="F263">
        <v>192</v>
      </c>
      <c r="G263" s="78">
        <v>44008.679988425924</v>
      </c>
      <c r="H263">
        <v>568.90000000458554</v>
      </c>
      <c r="I263" t="s">
        <v>1289</v>
      </c>
    </row>
    <row r="264" spans="1:10" x14ac:dyDescent="0.2">
      <c r="A264">
        <v>250</v>
      </c>
      <c r="B264" t="s">
        <v>1731</v>
      </c>
      <c r="C264" t="s">
        <v>1070</v>
      </c>
      <c r="D264" t="s">
        <v>1461</v>
      </c>
      <c r="E264">
        <v>7.1967233368762029</v>
      </c>
      <c r="F264">
        <v>192</v>
      </c>
      <c r="G264" s="78">
        <v>44008.679988425924</v>
      </c>
      <c r="H264">
        <v>7.1967233368762029</v>
      </c>
      <c r="I264" t="s">
        <v>1291</v>
      </c>
    </row>
    <row r="265" spans="1:10" x14ac:dyDescent="0.2">
      <c r="A265">
        <v>251</v>
      </c>
      <c r="B265" t="s">
        <v>1731</v>
      </c>
      <c r="C265" t="s">
        <v>1070</v>
      </c>
      <c r="D265" t="s">
        <v>1462</v>
      </c>
      <c r="E265">
        <v>1</v>
      </c>
      <c r="F265">
        <v>192</v>
      </c>
      <c r="G265" s="78">
        <v>44008.679988425924</v>
      </c>
      <c r="H265">
        <v>1</v>
      </c>
      <c r="I265" t="s">
        <v>1292</v>
      </c>
    </row>
    <row r="266" spans="1:10" x14ac:dyDescent="0.2">
      <c r="A266">
        <v>252</v>
      </c>
      <c r="B266" t="s">
        <v>1731</v>
      </c>
      <c r="C266" t="s">
        <v>1070</v>
      </c>
      <c r="D266" t="s">
        <v>1463</v>
      </c>
      <c r="E266">
        <v>0.77013014533310575</v>
      </c>
      <c r="F266">
        <v>192</v>
      </c>
      <c r="G266" s="78">
        <v>44008.679988425924</v>
      </c>
      <c r="H266">
        <v>0.77013014533310575</v>
      </c>
      <c r="I266" t="s">
        <v>1320</v>
      </c>
      <c r="J266">
        <f>SUMPRODUCT('Function Values'!C112,'Function Values'!C112)</f>
        <v>3.0490333056317892E-23</v>
      </c>
    </row>
    <row r="267" spans="1:10" x14ac:dyDescent="0.2">
      <c r="A267">
        <v>253</v>
      </c>
      <c r="B267" t="s">
        <v>1731</v>
      </c>
      <c r="C267" t="s">
        <v>1070</v>
      </c>
      <c r="D267" t="s">
        <v>1464</v>
      </c>
      <c r="E267">
        <v>-60.146938681645686</v>
      </c>
      <c r="F267">
        <v>192</v>
      </c>
      <c r="G267" s="78">
        <v>44008.679988425924</v>
      </c>
      <c r="H267">
        <v>-60.146938681645686</v>
      </c>
      <c r="I267" t="s">
        <v>1329</v>
      </c>
      <c r="J267" t="e">
        <f ca="1">SUMPRODUCT('Function Values'!C115,'Function Values'!C115)</f>
        <v>#NAME?</v>
      </c>
    </row>
    <row r="268" spans="1:10" x14ac:dyDescent="0.2">
      <c r="A268">
        <v>254</v>
      </c>
      <c r="B268" t="s">
        <v>1731</v>
      </c>
      <c r="C268" t="s">
        <v>1070</v>
      </c>
      <c r="D268" t="s">
        <v>1465</v>
      </c>
      <c r="E268">
        <v>121.56786201255599</v>
      </c>
      <c r="F268">
        <v>192</v>
      </c>
      <c r="G268" s="78">
        <v>44008.679988425924</v>
      </c>
      <c r="H268">
        <v>121.56786201255599</v>
      </c>
      <c r="I268" t="s">
        <v>1335</v>
      </c>
      <c r="J268" t="e">
        <f ca="1">SUMPRODUCT('Function Values'!C117,'Function Values'!C117)</f>
        <v>#NAME?</v>
      </c>
    </row>
    <row r="269" spans="1:10" x14ac:dyDescent="0.2">
      <c r="A269">
        <v>255</v>
      </c>
      <c r="B269" t="s">
        <v>1731</v>
      </c>
      <c r="C269" t="s">
        <v>1070</v>
      </c>
      <c r="D269" t="s">
        <v>1466</v>
      </c>
      <c r="E269">
        <v>-44.155668359985803</v>
      </c>
      <c r="F269">
        <v>192</v>
      </c>
      <c r="G269" s="78">
        <v>44008.679988425924</v>
      </c>
      <c r="H269">
        <v>-44.155668359985803</v>
      </c>
      <c r="I269" t="s">
        <v>1332</v>
      </c>
      <c r="J269" t="e">
        <f ca="1">SUMPRODUCT('Function Values'!C116,'Function Values'!C116)</f>
        <v>#NAME?</v>
      </c>
    </row>
    <row r="270" spans="1:10" x14ac:dyDescent="0.2">
      <c r="A270">
        <v>256</v>
      </c>
      <c r="B270" t="s">
        <v>1731</v>
      </c>
      <c r="C270" t="s">
        <v>1070</v>
      </c>
      <c r="D270" t="s">
        <v>1467</v>
      </c>
      <c r="E270">
        <v>22.958208892131179</v>
      </c>
      <c r="F270">
        <v>192</v>
      </c>
      <c r="G270" s="78">
        <v>44008.679988425924</v>
      </c>
      <c r="H270">
        <v>22.958208892131179</v>
      </c>
      <c r="I270" t="s">
        <v>1318</v>
      </c>
    </row>
    <row r="271" spans="1:10" x14ac:dyDescent="0.2">
      <c r="A271">
        <v>257</v>
      </c>
      <c r="B271" t="s">
        <v>1731</v>
      </c>
      <c r="C271" t="s">
        <v>1070</v>
      </c>
      <c r="D271" t="s">
        <v>1468</v>
      </c>
      <c r="E271">
        <v>0.2</v>
      </c>
      <c r="F271">
        <v>192</v>
      </c>
      <c r="G271" s="78">
        <v>44008.679988425924</v>
      </c>
      <c r="H271">
        <v>0.2</v>
      </c>
      <c r="I271" t="s">
        <v>1319</v>
      </c>
    </row>
    <row r="272" spans="1:10" x14ac:dyDescent="0.2">
      <c r="A272">
        <v>258</v>
      </c>
      <c r="B272" t="s">
        <v>1731</v>
      </c>
      <c r="C272" t="s">
        <v>1070</v>
      </c>
      <c r="D272" t="s">
        <v>1469</v>
      </c>
      <c r="E272">
        <v>0.75</v>
      </c>
      <c r="F272">
        <v>192</v>
      </c>
      <c r="G272" s="78">
        <v>44008.679988425924</v>
      </c>
      <c r="H272">
        <v>0.75</v>
      </c>
      <c r="I272" t="s">
        <v>1321</v>
      </c>
    </row>
    <row r="273" spans="1:10" x14ac:dyDescent="0.2">
      <c r="A273">
        <v>259</v>
      </c>
      <c r="B273" t="s">
        <v>1731</v>
      </c>
      <c r="C273" t="s">
        <v>1070</v>
      </c>
      <c r="D273" t="s">
        <v>1470</v>
      </c>
      <c r="E273">
        <v>42.504985743809236</v>
      </c>
      <c r="F273">
        <v>192</v>
      </c>
      <c r="G273" s="78">
        <v>44008.679988425924</v>
      </c>
      <c r="H273">
        <v>42.504985743809236</v>
      </c>
      <c r="I273" t="s">
        <v>1322</v>
      </c>
    </row>
    <row r="274" spans="1:10" x14ac:dyDescent="0.2">
      <c r="A274">
        <v>260</v>
      </c>
      <c r="B274" t="s">
        <v>1731</v>
      </c>
      <c r="C274" t="s">
        <v>1070</v>
      </c>
      <c r="D274" t="s">
        <v>1471</v>
      </c>
      <c r="E274">
        <v>100</v>
      </c>
      <c r="F274">
        <v>192</v>
      </c>
      <c r="G274" s="78">
        <v>44008.679988425924</v>
      </c>
      <c r="H274">
        <v>100</v>
      </c>
      <c r="I274" t="s">
        <v>1323</v>
      </c>
    </row>
    <row r="275" spans="1:10" x14ac:dyDescent="0.2">
      <c r="A275">
        <v>261</v>
      </c>
      <c r="B275" t="s">
        <v>1731</v>
      </c>
      <c r="C275" t="s">
        <v>1070</v>
      </c>
      <c r="D275" t="s">
        <v>1472</v>
      </c>
      <c r="E275">
        <v>0.5</v>
      </c>
      <c r="F275">
        <v>192</v>
      </c>
      <c r="G275" s="78">
        <v>44008.679988425924</v>
      </c>
      <c r="H275">
        <v>0.5</v>
      </c>
      <c r="I275" t="s">
        <v>1324</v>
      </c>
    </row>
    <row r="276" spans="1:10" x14ac:dyDescent="0.2">
      <c r="A276">
        <v>262</v>
      </c>
      <c r="B276" t="s">
        <v>1731</v>
      </c>
      <c r="C276" t="s">
        <v>1070</v>
      </c>
      <c r="D276" t="s">
        <v>1473</v>
      </c>
      <c r="E276">
        <v>99.430267028671494</v>
      </c>
      <c r="F276">
        <v>192</v>
      </c>
      <c r="G276" s="78">
        <v>44008.679988425924</v>
      </c>
      <c r="H276">
        <v>99.430267028671494</v>
      </c>
      <c r="I276" t="s">
        <v>1325</v>
      </c>
    </row>
    <row r="277" spans="1:10" x14ac:dyDescent="0.2">
      <c r="A277">
        <v>263</v>
      </c>
      <c r="B277" t="s">
        <v>1731</v>
      </c>
      <c r="C277" t="s">
        <v>1070</v>
      </c>
      <c r="D277" t="s">
        <v>1474</v>
      </c>
      <c r="E277">
        <v>100</v>
      </c>
      <c r="F277">
        <v>192</v>
      </c>
      <c r="G277" s="78">
        <v>44008.679988425924</v>
      </c>
      <c r="H277">
        <v>100</v>
      </c>
      <c r="I277" t="s">
        <v>1326</v>
      </c>
    </row>
    <row r="278" spans="1:10" x14ac:dyDescent="0.2">
      <c r="A278">
        <v>264</v>
      </c>
      <c r="B278" t="s">
        <v>1731</v>
      </c>
      <c r="C278" t="s">
        <v>1070</v>
      </c>
      <c r="D278" t="s">
        <v>1475</v>
      </c>
      <c r="E278">
        <v>0.5</v>
      </c>
      <c r="F278">
        <v>192</v>
      </c>
      <c r="G278" s="78">
        <v>44008.679988425924</v>
      </c>
      <c r="H278">
        <v>0.5</v>
      </c>
      <c r="I278" t="s">
        <v>1327</v>
      </c>
    </row>
    <row r="279" spans="1:10" x14ac:dyDescent="0.2">
      <c r="A279">
        <v>265</v>
      </c>
      <c r="B279" t="s">
        <v>1731</v>
      </c>
      <c r="C279" t="s">
        <v>1070</v>
      </c>
      <c r="D279" t="s">
        <v>1476</v>
      </c>
      <c r="E279">
        <v>-58.001266686546707</v>
      </c>
      <c r="F279">
        <v>192</v>
      </c>
      <c r="G279" s="78">
        <v>44008.679988425924</v>
      </c>
      <c r="H279">
        <v>-58.001266686546707</v>
      </c>
      <c r="I279" t="s">
        <v>1328</v>
      </c>
      <c r="J279" s="27"/>
    </row>
    <row r="280" spans="1:10" x14ac:dyDescent="0.2">
      <c r="A280">
        <v>266</v>
      </c>
      <c r="B280" t="s">
        <v>1731</v>
      </c>
      <c r="C280" t="s">
        <v>1070</v>
      </c>
      <c r="D280" t="s">
        <v>1477</v>
      </c>
      <c r="E280">
        <v>0.5</v>
      </c>
      <c r="F280">
        <v>192</v>
      </c>
      <c r="G280" s="78">
        <v>44008.679988425924</v>
      </c>
      <c r="H280">
        <v>0.5</v>
      </c>
      <c r="I280" t="s">
        <v>1330</v>
      </c>
    </row>
    <row r="281" spans="1:10" x14ac:dyDescent="0.2">
      <c r="A281">
        <v>267</v>
      </c>
      <c r="B281" t="s">
        <v>1731</v>
      </c>
      <c r="C281" t="s">
        <v>1070</v>
      </c>
      <c r="D281" t="s">
        <v>1478</v>
      </c>
      <c r="E281">
        <v>-40.000070184198755</v>
      </c>
      <c r="F281">
        <v>192</v>
      </c>
      <c r="G281" s="78">
        <v>44008.679988425924</v>
      </c>
      <c r="H281">
        <v>-40.000070184198755</v>
      </c>
      <c r="I281" t="s">
        <v>1331</v>
      </c>
    </row>
    <row r="282" spans="1:10" x14ac:dyDescent="0.2">
      <c r="A282">
        <v>268</v>
      </c>
      <c r="B282" t="s">
        <v>1731</v>
      </c>
      <c r="C282" t="s">
        <v>1070</v>
      </c>
      <c r="D282" t="s">
        <v>1479</v>
      </c>
      <c r="E282">
        <v>0.5</v>
      </c>
      <c r="F282">
        <v>192</v>
      </c>
      <c r="G282" s="78">
        <v>44008.679988425924</v>
      </c>
      <c r="H282">
        <v>0.5</v>
      </c>
      <c r="I282" t="s">
        <v>1333</v>
      </c>
    </row>
    <row r="283" spans="1:10" x14ac:dyDescent="0.2">
      <c r="A283">
        <v>269</v>
      </c>
      <c r="B283" t="s">
        <v>1731</v>
      </c>
      <c r="C283" t="s">
        <v>1070</v>
      </c>
      <c r="D283" t="s">
        <v>1480</v>
      </c>
      <c r="E283">
        <v>77.003722704094997</v>
      </c>
      <c r="F283">
        <v>192</v>
      </c>
      <c r="G283" s="78">
        <v>44008.679988425924</v>
      </c>
      <c r="H283">
        <v>77.003722704094997</v>
      </c>
      <c r="I283" t="s">
        <v>1334</v>
      </c>
    </row>
    <row r="284" spans="1:10" x14ac:dyDescent="0.2">
      <c r="A284">
        <v>270</v>
      </c>
      <c r="B284" t="s">
        <v>1731</v>
      </c>
      <c r="C284" t="s">
        <v>1070</v>
      </c>
      <c r="D284" t="s">
        <v>1481</v>
      </c>
      <c r="E284">
        <v>0.5</v>
      </c>
      <c r="F284">
        <v>192</v>
      </c>
      <c r="G284" s="78">
        <v>44008.679988425924</v>
      </c>
      <c r="H284">
        <v>0.5</v>
      </c>
      <c r="I284" t="s">
        <v>1336</v>
      </c>
    </row>
    <row r="285" spans="1:10" x14ac:dyDescent="0.2">
      <c r="A285">
        <v>271</v>
      </c>
      <c r="B285" t="s">
        <v>1731</v>
      </c>
      <c r="C285" t="s">
        <v>1070</v>
      </c>
      <c r="D285" t="s">
        <v>1482</v>
      </c>
      <c r="E285">
        <v>56.003436865952423</v>
      </c>
      <c r="F285">
        <v>192</v>
      </c>
      <c r="G285" s="78">
        <v>44008.679988425924</v>
      </c>
      <c r="H285">
        <v>56.003436865952423</v>
      </c>
      <c r="I285" t="s">
        <v>1533</v>
      </c>
    </row>
    <row r="286" spans="1:10" x14ac:dyDescent="0.2">
      <c r="A286">
        <v>272</v>
      </c>
      <c r="B286" t="s">
        <v>1731</v>
      </c>
      <c r="C286" t="s">
        <v>1070</v>
      </c>
      <c r="D286" t="s">
        <v>1483</v>
      </c>
      <c r="E286">
        <v>616.99999998981082</v>
      </c>
      <c r="F286">
        <v>192</v>
      </c>
      <c r="G286" s="78">
        <v>44008.679988425924</v>
      </c>
      <c r="H286">
        <v>616.99999998981082</v>
      </c>
      <c r="I286" t="s">
        <v>1505</v>
      </c>
    </row>
    <row r="287" spans="1:10" x14ac:dyDescent="0.2">
      <c r="A287">
        <v>273</v>
      </c>
      <c r="B287" t="s">
        <v>1731</v>
      </c>
      <c r="C287" t="s">
        <v>1070</v>
      </c>
      <c r="D287" t="s">
        <v>1484</v>
      </c>
      <c r="E287">
        <v>568.89999999924373</v>
      </c>
      <c r="F287">
        <v>192</v>
      </c>
      <c r="G287" s="78">
        <v>44008.679988425924</v>
      </c>
      <c r="H287">
        <v>568.89999999924373</v>
      </c>
      <c r="I287" t="s">
        <v>1506</v>
      </c>
    </row>
    <row r="288" spans="1:10" x14ac:dyDescent="0.2">
      <c r="A288">
        <v>274</v>
      </c>
      <c r="B288" t="s">
        <v>1731</v>
      </c>
      <c r="C288" t="s">
        <v>1070</v>
      </c>
      <c r="D288" t="s">
        <v>1485</v>
      </c>
      <c r="E288">
        <v>22.079062485400012</v>
      </c>
      <c r="F288">
        <v>192</v>
      </c>
      <c r="G288" s="78">
        <v>44008.679988425924</v>
      </c>
      <c r="H288">
        <v>22.079062485400012</v>
      </c>
      <c r="I288" t="s">
        <v>1534</v>
      </c>
      <c r="J288" t="e">
        <f ca="1">SUMPRODUCT('Function Values'!C128,'Function Values'!C128)</f>
        <v>#NAME?</v>
      </c>
    </row>
    <row r="289" spans="1:10" x14ac:dyDescent="0.2">
      <c r="A289">
        <v>275</v>
      </c>
      <c r="B289" t="s">
        <v>1731</v>
      </c>
      <c r="C289" t="s">
        <v>1070</v>
      </c>
      <c r="D289" t="s">
        <v>1486</v>
      </c>
      <c r="E289">
        <v>48.003433951255225</v>
      </c>
      <c r="F289">
        <v>192</v>
      </c>
      <c r="G289" s="78">
        <v>44008.679988425924</v>
      </c>
      <c r="H289">
        <v>48.003433951255225</v>
      </c>
      <c r="I289" t="s">
        <v>1535</v>
      </c>
    </row>
    <row r="290" spans="1:10" x14ac:dyDescent="0.2">
      <c r="A290">
        <v>276</v>
      </c>
      <c r="B290" t="s">
        <v>1731</v>
      </c>
      <c r="C290" t="s">
        <v>1070</v>
      </c>
      <c r="D290" t="s">
        <v>1487</v>
      </c>
      <c r="E290">
        <v>10</v>
      </c>
      <c r="F290">
        <v>192</v>
      </c>
      <c r="G290" s="78">
        <v>44008.679988425924</v>
      </c>
      <c r="H290">
        <v>10</v>
      </c>
      <c r="I290" t="s">
        <v>1536</v>
      </c>
    </row>
    <row r="291" spans="1:10" x14ac:dyDescent="0.2">
      <c r="A291">
        <v>277</v>
      </c>
      <c r="B291" t="s">
        <v>1731</v>
      </c>
      <c r="C291" t="s">
        <v>1070</v>
      </c>
      <c r="D291" t="s">
        <v>1488</v>
      </c>
      <c r="E291">
        <v>616.99999999072509</v>
      </c>
      <c r="F291">
        <v>192</v>
      </c>
      <c r="G291" s="78">
        <v>44008.679988425924</v>
      </c>
      <c r="H291">
        <v>616.99999999072509</v>
      </c>
      <c r="I291" t="s">
        <v>1283</v>
      </c>
    </row>
    <row r="292" spans="1:10" x14ac:dyDescent="0.2">
      <c r="A292">
        <v>278</v>
      </c>
      <c r="B292" t="s">
        <v>1731</v>
      </c>
      <c r="C292" t="s">
        <v>1070</v>
      </c>
      <c r="D292" t="s">
        <v>1489</v>
      </c>
      <c r="E292">
        <v>568.8999999993116</v>
      </c>
      <c r="F292">
        <v>192</v>
      </c>
      <c r="G292" s="78">
        <v>44008.679988425924</v>
      </c>
      <c r="H292">
        <v>568.8999999993116</v>
      </c>
      <c r="I292" t="s">
        <v>1284</v>
      </c>
    </row>
    <row r="293" spans="1:10" x14ac:dyDescent="0.2">
      <c r="A293">
        <v>279</v>
      </c>
      <c r="B293" t="s">
        <v>1731</v>
      </c>
      <c r="C293" t="s">
        <v>1070</v>
      </c>
      <c r="D293" t="s">
        <v>1490</v>
      </c>
      <c r="E293">
        <v>48.003436128069609</v>
      </c>
      <c r="F293">
        <v>192</v>
      </c>
      <c r="G293" s="78">
        <v>44008.679988425924</v>
      </c>
      <c r="H293">
        <v>48.003436128069609</v>
      </c>
      <c r="I293" t="s">
        <v>1285</v>
      </c>
    </row>
    <row r="294" spans="1:10" x14ac:dyDescent="0.2">
      <c r="A294">
        <v>280</v>
      </c>
      <c r="B294" t="s">
        <v>1731</v>
      </c>
      <c r="C294" t="s">
        <v>1070</v>
      </c>
      <c r="D294" t="s">
        <v>1491</v>
      </c>
      <c r="E294">
        <v>10</v>
      </c>
      <c r="F294">
        <v>192</v>
      </c>
      <c r="G294" s="78">
        <v>44008.679988425924</v>
      </c>
      <c r="H294">
        <v>10</v>
      </c>
      <c r="I294" t="s">
        <v>1286</v>
      </c>
    </row>
    <row r="295" spans="1:10" x14ac:dyDescent="0.2">
      <c r="A295">
        <v>281</v>
      </c>
      <c r="B295" t="s">
        <v>1731</v>
      </c>
      <c r="C295" t="s">
        <v>1070</v>
      </c>
      <c r="D295" t="s">
        <v>1492</v>
      </c>
      <c r="E295">
        <v>49.916783465344778</v>
      </c>
      <c r="F295">
        <v>192</v>
      </c>
      <c r="G295" s="78">
        <v>44008.679988425924</v>
      </c>
      <c r="H295">
        <v>49.916783465344778</v>
      </c>
      <c r="I295" t="s">
        <v>1550</v>
      </c>
      <c r="J295">
        <f>SUMPRODUCT('Function Values'!C131,'Function Values'!C131)</f>
        <v>1.983687059417843E-16</v>
      </c>
    </row>
    <row r="296" spans="1:10" x14ac:dyDescent="0.2">
      <c r="A296">
        <v>282</v>
      </c>
      <c r="B296" t="s">
        <v>1731</v>
      </c>
      <c r="C296" t="s">
        <v>1070</v>
      </c>
      <c r="D296" t="s">
        <v>1493</v>
      </c>
      <c r="E296">
        <v>0.81555716306833048</v>
      </c>
      <c r="F296">
        <v>192</v>
      </c>
      <c r="G296" s="78">
        <v>44008.679988425924</v>
      </c>
      <c r="H296">
        <v>0.81555716306833048</v>
      </c>
      <c r="I296" t="s">
        <v>1548</v>
      </c>
      <c r="J296">
        <f>SUMPRODUCT('Function Values'!C130,'Function Values'!C130)</f>
        <v>3.2311742677852644E-23</v>
      </c>
    </row>
    <row r="297" spans="1:10" x14ac:dyDescent="0.2">
      <c r="A297">
        <v>283</v>
      </c>
      <c r="B297" t="s">
        <v>1731</v>
      </c>
      <c r="C297" t="s">
        <v>1070</v>
      </c>
      <c r="D297" t="s">
        <v>1494</v>
      </c>
      <c r="E297">
        <v>51.297786901010781</v>
      </c>
      <c r="F297">
        <v>192</v>
      </c>
      <c r="G297" s="78">
        <v>44008.679988425924</v>
      </c>
      <c r="H297">
        <v>51.297786901010781</v>
      </c>
      <c r="I297" t="s">
        <v>1563</v>
      </c>
      <c r="J297" t="e">
        <f ca="1">SUMPRODUCT('Function Values'!C136,'Function Values'!C136)</f>
        <v>#NAME?</v>
      </c>
    </row>
    <row r="298" spans="1:10" x14ac:dyDescent="0.2">
      <c r="A298">
        <v>284</v>
      </c>
      <c r="B298" t="s">
        <v>1731</v>
      </c>
      <c r="C298" t="s">
        <v>1070</v>
      </c>
      <c r="D298" t="s">
        <v>1718</v>
      </c>
      <c r="E298">
        <v>168.36818454334991</v>
      </c>
      <c r="F298">
        <v>192</v>
      </c>
      <c r="G298" s="78">
        <v>44008.679988425924</v>
      </c>
      <c r="H298">
        <v>168.36818454334991</v>
      </c>
      <c r="I298" t="s">
        <v>1566</v>
      </c>
      <c r="J298" t="e">
        <f ca="1">SUMPRODUCT('Function Values'!C137,'Function Values'!C137)</f>
        <v>#NAME?</v>
      </c>
    </row>
    <row r="299" spans="1:10" x14ac:dyDescent="0.2">
      <c r="A299">
        <v>285</v>
      </c>
      <c r="B299" t="s">
        <v>1731</v>
      </c>
      <c r="C299" t="s">
        <v>1070</v>
      </c>
      <c r="D299" t="s">
        <v>1719</v>
      </c>
      <c r="E299">
        <v>24.890313063991645</v>
      </c>
      <c r="F299">
        <v>192</v>
      </c>
      <c r="G299" s="78">
        <v>44008.679988425924</v>
      </c>
      <c r="H299">
        <v>24.890313063991645</v>
      </c>
      <c r="I299" t="s">
        <v>1546</v>
      </c>
    </row>
    <row r="300" spans="1:10" x14ac:dyDescent="0.2">
      <c r="A300">
        <v>286</v>
      </c>
      <c r="B300" t="s">
        <v>1731</v>
      </c>
      <c r="C300" t="s">
        <v>1070</v>
      </c>
      <c r="D300" t="s">
        <v>1720</v>
      </c>
      <c r="E300">
        <v>2</v>
      </c>
      <c r="F300">
        <v>192</v>
      </c>
      <c r="G300" s="78">
        <v>44008.679988425924</v>
      </c>
      <c r="H300">
        <v>2</v>
      </c>
      <c r="I300" t="s">
        <v>1547</v>
      </c>
    </row>
    <row r="301" spans="1:10" x14ac:dyDescent="0.2">
      <c r="A301">
        <v>287</v>
      </c>
      <c r="B301" t="s">
        <v>1731</v>
      </c>
      <c r="C301" t="s">
        <v>1070</v>
      </c>
      <c r="D301" t="s">
        <v>1721</v>
      </c>
      <c r="E301">
        <v>0.7519012375854035</v>
      </c>
      <c r="F301">
        <v>192</v>
      </c>
      <c r="G301" s="78">
        <v>44008.679988425924</v>
      </c>
      <c r="H301">
        <v>0.7519012375854035</v>
      </c>
      <c r="I301" t="s">
        <v>1549</v>
      </c>
    </row>
    <row r="302" spans="1:10" x14ac:dyDescent="0.2">
      <c r="A302">
        <v>288</v>
      </c>
      <c r="B302" t="s">
        <v>1731</v>
      </c>
      <c r="C302" t="s">
        <v>1070</v>
      </c>
      <c r="D302" t="s">
        <v>1722</v>
      </c>
      <c r="E302">
        <v>40.00163547808414</v>
      </c>
      <c r="F302">
        <v>192</v>
      </c>
      <c r="G302" s="78">
        <v>44008.679988425924</v>
      </c>
      <c r="H302">
        <v>40.00163547808414</v>
      </c>
      <c r="I302" t="s">
        <v>1551</v>
      </c>
    </row>
    <row r="303" spans="1:10" x14ac:dyDescent="0.2">
      <c r="A303">
        <v>289</v>
      </c>
      <c r="B303" t="s">
        <v>1731</v>
      </c>
      <c r="C303" t="s">
        <v>1070</v>
      </c>
      <c r="D303" t="s">
        <v>1723</v>
      </c>
      <c r="E303">
        <v>0.5</v>
      </c>
      <c r="F303">
        <v>192</v>
      </c>
      <c r="G303" s="78">
        <v>44008.679988425924</v>
      </c>
      <c r="H303">
        <v>0.5</v>
      </c>
      <c r="I303" t="s">
        <v>1552</v>
      </c>
    </row>
    <row r="304" spans="1:10" x14ac:dyDescent="0.2">
      <c r="A304">
        <v>290</v>
      </c>
      <c r="B304" t="s">
        <v>1731</v>
      </c>
      <c r="C304" t="s">
        <v>1070</v>
      </c>
      <c r="D304" t="s">
        <v>1724</v>
      </c>
      <c r="E304">
        <v>13.101082908604115</v>
      </c>
      <c r="F304">
        <v>192</v>
      </c>
      <c r="G304" s="78">
        <v>44008.679988425924</v>
      </c>
      <c r="H304">
        <v>13.101082908604115</v>
      </c>
      <c r="I304" t="s">
        <v>1553</v>
      </c>
      <c r="J304">
        <f>SUMPRODUCT('Function Values'!C132:C135,'Function Values'!C132:C135)</f>
        <v>1.1840645004722368E-14</v>
      </c>
    </row>
    <row r="305" spans="1:9" x14ac:dyDescent="0.2">
      <c r="A305">
        <v>291</v>
      </c>
      <c r="B305" t="s">
        <v>1731</v>
      </c>
      <c r="C305" t="s">
        <v>1070</v>
      </c>
      <c r="D305" t="s">
        <v>1725</v>
      </c>
      <c r="E305">
        <v>100</v>
      </c>
      <c r="F305">
        <v>192</v>
      </c>
      <c r="G305" s="78">
        <v>44008.679988425924</v>
      </c>
      <c r="H305">
        <v>100</v>
      </c>
      <c r="I305" t="s">
        <v>1554</v>
      </c>
    </row>
    <row r="306" spans="1:9" x14ac:dyDescent="0.2">
      <c r="A306">
        <v>292</v>
      </c>
      <c r="B306" t="s">
        <v>1731</v>
      </c>
      <c r="C306" t="s">
        <v>1070</v>
      </c>
      <c r="D306" t="s">
        <v>1726</v>
      </c>
      <c r="E306">
        <v>0.5</v>
      </c>
      <c r="F306">
        <v>192</v>
      </c>
      <c r="G306" s="78">
        <v>44008.679988425924</v>
      </c>
      <c r="H306">
        <v>0.5</v>
      </c>
      <c r="I306" t="s">
        <v>1555</v>
      </c>
    </row>
    <row r="307" spans="1:9" x14ac:dyDescent="0.2">
      <c r="A307">
        <v>293</v>
      </c>
      <c r="B307" t="s">
        <v>1731</v>
      </c>
      <c r="C307" t="s">
        <v>1070</v>
      </c>
      <c r="D307" t="s">
        <v>1727</v>
      </c>
      <c r="E307">
        <v>49.917858013253664</v>
      </c>
      <c r="F307">
        <v>192</v>
      </c>
      <c r="G307" s="78">
        <v>44008.679988425924</v>
      </c>
      <c r="H307">
        <v>49.917858013253664</v>
      </c>
      <c r="I307" t="s">
        <v>1556</v>
      </c>
    </row>
    <row r="308" spans="1:9" x14ac:dyDescent="0.2">
      <c r="A308">
        <v>294</v>
      </c>
      <c r="B308" t="s">
        <v>1731</v>
      </c>
      <c r="C308" t="s">
        <v>1070</v>
      </c>
      <c r="D308" t="s">
        <v>1728</v>
      </c>
      <c r="E308">
        <v>100</v>
      </c>
      <c r="F308">
        <v>192</v>
      </c>
      <c r="G308" s="78">
        <v>44008.679988425924</v>
      </c>
      <c r="H308">
        <v>100</v>
      </c>
      <c r="I308" t="s">
        <v>1557</v>
      </c>
    </row>
    <row r="309" spans="1:9" x14ac:dyDescent="0.2">
      <c r="A309">
        <v>295</v>
      </c>
      <c r="B309" t="s">
        <v>1731</v>
      </c>
      <c r="C309" t="s">
        <v>1070</v>
      </c>
      <c r="D309" t="s">
        <v>1729</v>
      </c>
      <c r="E309">
        <v>0.5</v>
      </c>
      <c r="F309">
        <v>192</v>
      </c>
      <c r="G309" s="78">
        <v>44008.679988425924</v>
      </c>
      <c r="H309">
        <v>0.5</v>
      </c>
      <c r="I309" t="s">
        <v>1558</v>
      </c>
    </row>
    <row r="310" spans="1:9" x14ac:dyDescent="0.2">
      <c r="A310">
        <v>296</v>
      </c>
      <c r="B310" t="s">
        <v>1731</v>
      </c>
      <c r="C310" t="s">
        <v>1070</v>
      </c>
      <c r="D310" t="s">
        <v>1730</v>
      </c>
      <c r="E310">
        <v>91.3455120167622</v>
      </c>
      <c r="F310">
        <v>192</v>
      </c>
      <c r="G310" s="78">
        <v>44008.679988425924</v>
      </c>
      <c r="H310">
        <v>91.3455120167622</v>
      </c>
      <c r="I310" t="s">
        <v>1559</v>
      </c>
    </row>
    <row r="311" spans="1:9" x14ac:dyDescent="0.2">
      <c r="A311">
        <v>297</v>
      </c>
      <c r="B311" t="s">
        <v>1731</v>
      </c>
      <c r="C311" t="s">
        <v>1070</v>
      </c>
      <c r="D311" t="s">
        <v>2203</v>
      </c>
      <c r="E311">
        <v>100</v>
      </c>
      <c r="F311">
        <v>192</v>
      </c>
      <c r="G311" s="78">
        <v>44008.679988425924</v>
      </c>
      <c r="H311">
        <v>100</v>
      </c>
      <c r="I311" t="s">
        <v>1560</v>
      </c>
    </row>
    <row r="312" spans="1:9" x14ac:dyDescent="0.2">
      <c r="A312">
        <v>298</v>
      </c>
      <c r="B312" t="s">
        <v>1731</v>
      </c>
      <c r="C312" t="s">
        <v>1070</v>
      </c>
      <c r="D312" t="s">
        <v>2204</v>
      </c>
      <c r="E312">
        <v>0.5</v>
      </c>
      <c r="F312">
        <v>192</v>
      </c>
      <c r="G312" s="78">
        <v>44008.679988425924</v>
      </c>
      <c r="H312">
        <v>0.5</v>
      </c>
      <c r="I312" t="s">
        <v>1561</v>
      </c>
    </row>
    <row r="313" spans="1:9" x14ac:dyDescent="0.2">
      <c r="A313">
        <v>299</v>
      </c>
      <c r="B313" t="s">
        <v>1731</v>
      </c>
      <c r="C313" t="s">
        <v>1070</v>
      </c>
      <c r="D313" t="s">
        <v>2205</v>
      </c>
      <c r="E313">
        <v>99.395942157508301</v>
      </c>
      <c r="F313">
        <v>192</v>
      </c>
      <c r="G313" s="78">
        <v>44008.679988425924</v>
      </c>
      <c r="H313">
        <v>99.395942157508301</v>
      </c>
      <c r="I313" t="s">
        <v>1772</v>
      </c>
    </row>
    <row r="314" spans="1:9" x14ac:dyDescent="0.2">
      <c r="A314">
        <v>300</v>
      </c>
      <c r="B314" t="s">
        <v>1731</v>
      </c>
      <c r="C314" t="s">
        <v>1070</v>
      </c>
      <c r="D314" t="s">
        <v>2206</v>
      </c>
      <c r="E314">
        <v>100</v>
      </c>
      <c r="F314">
        <v>192</v>
      </c>
      <c r="G314" s="78">
        <v>44008.679988425924</v>
      </c>
      <c r="H314">
        <v>100</v>
      </c>
      <c r="I314" t="s">
        <v>1773</v>
      </c>
    </row>
    <row r="315" spans="1:9" x14ac:dyDescent="0.2">
      <c r="A315">
        <v>301</v>
      </c>
      <c r="B315" t="s">
        <v>1731</v>
      </c>
      <c r="C315" t="s">
        <v>1070</v>
      </c>
      <c r="D315" t="s">
        <v>2207</v>
      </c>
      <c r="E315">
        <v>0.5</v>
      </c>
      <c r="F315">
        <v>192</v>
      </c>
      <c r="G315" s="78">
        <v>44008.679988425924</v>
      </c>
      <c r="H315">
        <v>0.5</v>
      </c>
      <c r="I315" t="s">
        <v>1774</v>
      </c>
    </row>
    <row r="316" spans="1:9" x14ac:dyDescent="0.2">
      <c r="A316">
        <v>302</v>
      </c>
      <c r="B316" t="s">
        <v>1731</v>
      </c>
      <c r="C316" t="s">
        <v>1070</v>
      </c>
      <c r="D316" t="s">
        <v>2208</v>
      </c>
      <c r="E316">
        <v>-57.999997068267398</v>
      </c>
      <c r="F316">
        <v>192</v>
      </c>
      <c r="G316" s="78">
        <v>44008.679988425924</v>
      </c>
      <c r="H316">
        <v>-57.999997068267398</v>
      </c>
      <c r="I316" t="s">
        <v>1562</v>
      </c>
    </row>
    <row r="317" spans="1:9" x14ac:dyDescent="0.2">
      <c r="A317">
        <v>303</v>
      </c>
      <c r="B317" t="s">
        <v>1731</v>
      </c>
      <c r="C317" t="s">
        <v>1070</v>
      </c>
      <c r="D317" t="s">
        <v>2209</v>
      </c>
      <c r="E317">
        <v>0.5</v>
      </c>
      <c r="F317">
        <v>192</v>
      </c>
      <c r="G317" s="78">
        <v>44008.679988425924</v>
      </c>
      <c r="H317">
        <v>0.5</v>
      </c>
      <c r="I317" t="s">
        <v>1564</v>
      </c>
    </row>
    <row r="318" spans="1:9" x14ac:dyDescent="0.2">
      <c r="A318">
        <v>304</v>
      </c>
      <c r="B318" t="s">
        <v>1731</v>
      </c>
      <c r="C318" t="s">
        <v>1070</v>
      </c>
      <c r="D318" t="s">
        <v>2210</v>
      </c>
      <c r="E318">
        <v>121.99098046657024</v>
      </c>
      <c r="F318">
        <v>192</v>
      </c>
      <c r="G318" s="78">
        <v>44008.679988425924</v>
      </c>
      <c r="H318">
        <v>121.99098046657024</v>
      </c>
      <c r="I318" t="s">
        <v>1565</v>
      </c>
    </row>
    <row r="319" spans="1:9" x14ac:dyDescent="0.2">
      <c r="A319">
        <v>305</v>
      </c>
      <c r="B319" t="s">
        <v>1731</v>
      </c>
      <c r="C319" t="s">
        <v>1070</v>
      </c>
      <c r="D319" t="s">
        <v>2211</v>
      </c>
      <c r="E319">
        <v>0.5</v>
      </c>
      <c r="F319">
        <v>192</v>
      </c>
      <c r="G319" s="78">
        <v>44008.679988425924</v>
      </c>
      <c r="H319">
        <v>0.5</v>
      </c>
      <c r="I319" t="s">
        <v>1567</v>
      </c>
    </row>
    <row r="320" spans="1:9" x14ac:dyDescent="0.2">
      <c r="A320">
        <v>306</v>
      </c>
      <c r="B320" t="s">
        <v>1732</v>
      </c>
      <c r="C320" t="s">
        <v>1070</v>
      </c>
      <c r="D320" t="s">
        <v>2212</v>
      </c>
      <c r="E320">
        <v>0.36315707531608604</v>
      </c>
      <c r="G320" s="78">
        <v>44008.680185185185</v>
      </c>
      <c r="H320">
        <v>0.36315707531608604</v>
      </c>
    </row>
    <row r="321" spans="1:8" x14ac:dyDescent="0.2">
      <c r="A321">
        <v>307</v>
      </c>
      <c r="B321" t="s">
        <v>1732</v>
      </c>
      <c r="C321" t="s">
        <v>1070</v>
      </c>
      <c r="D321" t="s">
        <v>2213</v>
      </c>
      <c r="E321">
        <v>-209.89636978827252</v>
      </c>
      <c r="G321" s="78">
        <v>44008.680185185185</v>
      </c>
      <c r="H321">
        <v>-209.89636978827252</v>
      </c>
    </row>
    <row r="322" spans="1:8" x14ac:dyDescent="0.2">
      <c r="A322">
        <v>308</v>
      </c>
      <c r="B322" t="s">
        <v>1732</v>
      </c>
      <c r="C322" t="s">
        <v>1070</v>
      </c>
      <c r="D322" t="s">
        <v>2214</v>
      </c>
      <c r="E322">
        <v>0.19076042805165852</v>
      </c>
      <c r="G322" s="78">
        <v>44008.680185185185</v>
      </c>
      <c r="H322">
        <v>0.19076042805165852</v>
      </c>
    </row>
    <row r="323" spans="1:8" x14ac:dyDescent="0.2">
      <c r="A323">
        <v>309</v>
      </c>
      <c r="B323" t="s">
        <v>1732</v>
      </c>
      <c r="C323" t="s">
        <v>1070</v>
      </c>
      <c r="D323" t="s">
        <v>2215</v>
      </c>
      <c r="E323">
        <v>-120.94857931064145</v>
      </c>
      <c r="G323" s="78">
        <v>44008.680185185185</v>
      </c>
      <c r="H323">
        <v>-120.94857931064145</v>
      </c>
    </row>
    <row r="324" spans="1:8" x14ac:dyDescent="0.2">
      <c r="A324">
        <v>310</v>
      </c>
      <c r="B324" t="s">
        <v>1732</v>
      </c>
      <c r="C324" t="s">
        <v>1070</v>
      </c>
      <c r="D324" t="s">
        <v>2216</v>
      </c>
      <c r="E324">
        <v>0.57115285145789152</v>
      </c>
      <c r="G324" s="78">
        <v>44008.680185185185</v>
      </c>
      <c r="H324">
        <v>0.57115285145789152</v>
      </c>
    </row>
    <row r="325" spans="1:8" x14ac:dyDescent="0.2">
      <c r="A325">
        <v>311</v>
      </c>
      <c r="B325" t="s">
        <v>1732</v>
      </c>
      <c r="C325" t="s">
        <v>1070</v>
      </c>
      <c r="D325" t="s">
        <v>1248</v>
      </c>
      <c r="E325">
        <v>-96.779299884543775</v>
      </c>
      <c r="G325" s="78">
        <v>44008.680185185185</v>
      </c>
      <c r="H325">
        <v>-96.779299884543775</v>
      </c>
    </row>
    <row r="326" spans="1:8" x14ac:dyDescent="0.2">
      <c r="A326">
        <v>312</v>
      </c>
      <c r="B326" t="s">
        <v>1732</v>
      </c>
      <c r="C326" t="s">
        <v>1070</v>
      </c>
      <c r="D326" t="s">
        <v>1240</v>
      </c>
      <c r="E326">
        <v>8.6551356167390114</v>
      </c>
      <c r="G326" s="78">
        <v>44008.680185185185</v>
      </c>
      <c r="H326">
        <v>8.6551356167390114</v>
      </c>
    </row>
    <row r="327" spans="1:8" x14ac:dyDescent="0.2">
      <c r="A327">
        <v>313</v>
      </c>
      <c r="B327" t="s">
        <v>1732</v>
      </c>
      <c r="C327" t="s">
        <v>1070</v>
      </c>
      <c r="D327" t="s">
        <v>1242</v>
      </c>
      <c r="E327">
        <v>-964.40618386030928</v>
      </c>
      <c r="G327" s="78">
        <v>44008.680185185185</v>
      </c>
      <c r="H327">
        <v>-964.40618386030928</v>
      </c>
    </row>
    <row r="328" spans="1:8" x14ac:dyDescent="0.2">
      <c r="A328">
        <v>314</v>
      </c>
      <c r="B328" t="s">
        <v>1732</v>
      </c>
      <c r="C328" t="s">
        <v>1070</v>
      </c>
      <c r="D328" t="s">
        <v>2217</v>
      </c>
      <c r="E328">
        <v>12.042197141104362</v>
      </c>
      <c r="G328" s="78">
        <v>44008.680185185185</v>
      </c>
      <c r="H328">
        <v>12.042197141104362</v>
      </c>
    </row>
    <row r="329" spans="1:8" x14ac:dyDescent="0.2">
      <c r="A329">
        <v>315</v>
      </c>
      <c r="B329" t="s">
        <v>1732</v>
      </c>
      <c r="C329" t="s">
        <v>1070</v>
      </c>
      <c r="D329" t="s">
        <v>1252</v>
      </c>
      <c r="E329">
        <v>392</v>
      </c>
      <c r="G329" s="78">
        <v>44008.680185185185</v>
      </c>
      <c r="H329">
        <v>392</v>
      </c>
    </row>
    <row r="330" spans="1:8" x14ac:dyDescent="0.2">
      <c r="A330">
        <v>316</v>
      </c>
      <c r="B330" t="s">
        <v>1732</v>
      </c>
      <c r="C330" t="s">
        <v>1070</v>
      </c>
      <c r="D330" t="s">
        <v>1254</v>
      </c>
      <c r="E330">
        <v>89.923265029659888</v>
      </c>
      <c r="G330" s="78">
        <v>44008.680185185185</v>
      </c>
      <c r="H330">
        <v>89.923265029659888</v>
      </c>
    </row>
    <row r="331" spans="1:8" x14ac:dyDescent="0.2">
      <c r="A331">
        <v>317</v>
      </c>
      <c r="B331" t="s">
        <v>1732</v>
      </c>
      <c r="C331" t="s">
        <v>1070</v>
      </c>
      <c r="D331" t="s">
        <v>1256</v>
      </c>
      <c r="E331">
        <v>0</v>
      </c>
      <c r="G331" s="78">
        <v>44008.680185185185</v>
      </c>
      <c r="H331">
        <v>0</v>
      </c>
    </row>
    <row r="332" spans="1:8" x14ac:dyDescent="0.2">
      <c r="A332">
        <v>318</v>
      </c>
      <c r="B332" t="s">
        <v>1732</v>
      </c>
      <c r="C332" t="s">
        <v>1070</v>
      </c>
      <c r="D332" t="s">
        <v>1258</v>
      </c>
      <c r="E332">
        <v>572</v>
      </c>
      <c r="G332" s="78">
        <v>44008.680185185185</v>
      </c>
      <c r="H332">
        <v>572</v>
      </c>
    </row>
    <row r="333" spans="1:8" x14ac:dyDescent="0.2">
      <c r="A333">
        <v>319</v>
      </c>
      <c r="B333" t="s">
        <v>1732</v>
      </c>
      <c r="C333" t="s">
        <v>1070</v>
      </c>
      <c r="D333" t="s">
        <v>1260</v>
      </c>
      <c r="E333">
        <v>72</v>
      </c>
      <c r="G333" s="78">
        <v>44008.680185185185</v>
      </c>
      <c r="H333">
        <v>72</v>
      </c>
    </row>
    <row r="334" spans="1:8" x14ac:dyDescent="0.2">
      <c r="A334">
        <v>320</v>
      </c>
      <c r="B334" t="s">
        <v>1732</v>
      </c>
      <c r="C334" t="s">
        <v>1070</v>
      </c>
      <c r="D334" t="s">
        <v>1262</v>
      </c>
      <c r="E334">
        <v>17.912786256099366</v>
      </c>
      <c r="G334" s="78">
        <v>44008.680185185185</v>
      </c>
      <c r="H334">
        <v>17.912786256099366</v>
      </c>
    </row>
    <row r="335" spans="1:8" x14ac:dyDescent="0.2">
      <c r="A335">
        <v>321</v>
      </c>
      <c r="B335" t="s">
        <v>1732</v>
      </c>
      <c r="C335" t="s">
        <v>1070</v>
      </c>
      <c r="D335" t="s">
        <v>1264</v>
      </c>
      <c r="E335">
        <v>0</v>
      </c>
      <c r="G335" s="78">
        <v>44008.680185185185</v>
      </c>
      <c r="H335">
        <v>0</v>
      </c>
    </row>
    <row r="336" spans="1:8" x14ac:dyDescent="0.2">
      <c r="A336">
        <v>322</v>
      </c>
      <c r="B336" t="s">
        <v>1732</v>
      </c>
      <c r="C336" t="s">
        <v>1070</v>
      </c>
      <c r="D336" t="s">
        <v>1268</v>
      </c>
      <c r="E336">
        <v>572</v>
      </c>
      <c r="G336" s="78">
        <v>44008.680185185185</v>
      </c>
      <c r="H336">
        <v>572</v>
      </c>
    </row>
    <row r="337" spans="1:8" x14ac:dyDescent="0.2">
      <c r="A337">
        <v>323</v>
      </c>
      <c r="B337" t="s">
        <v>1732</v>
      </c>
      <c r="C337" t="s">
        <v>1070</v>
      </c>
      <c r="D337" t="s">
        <v>1270</v>
      </c>
      <c r="E337">
        <v>72</v>
      </c>
      <c r="G337" s="78">
        <v>44008.680185185185</v>
      </c>
      <c r="H337">
        <v>72</v>
      </c>
    </row>
    <row r="338" spans="1:8" x14ac:dyDescent="0.2">
      <c r="A338">
        <v>324</v>
      </c>
      <c r="B338" t="s">
        <v>1732</v>
      </c>
      <c r="C338" t="s">
        <v>1070</v>
      </c>
      <c r="D338" t="s">
        <v>1272</v>
      </c>
      <c r="E338">
        <v>156</v>
      </c>
      <c r="G338" s="78">
        <v>44008.680185185185</v>
      </c>
      <c r="H338">
        <v>156</v>
      </c>
    </row>
    <row r="339" spans="1:8" x14ac:dyDescent="0.2">
      <c r="A339">
        <v>325</v>
      </c>
      <c r="B339" t="s">
        <v>1732</v>
      </c>
      <c r="C339" t="s">
        <v>1070</v>
      </c>
      <c r="D339" t="s">
        <v>2218</v>
      </c>
      <c r="E339">
        <v>41.905242065419543</v>
      </c>
      <c r="G339" s="78">
        <v>44008.680185185185</v>
      </c>
      <c r="H339">
        <v>41.905242065419543</v>
      </c>
    </row>
    <row r="340" spans="1:8" x14ac:dyDescent="0.2">
      <c r="A340">
        <v>326</v>
      </c>
      <c r="B340" t="s">
        <v>1732</v>
      </c>
      <c r="C340" t="s">
        <v>1070</v>
      </c>
      <c r="D340" t="s">
        <v>1266</v>
      </c>
      <c r="E340">
        <v>0</v>
      </c>
      <c r="G340" s="78">
        <v>44008.680185185185</v>
      </c>
      <c r="H340">
        <v>0</v>
      </c>
    </row>
    <row r="341" spans="1:8" x14ac:dyDescent="0.2">
      <c r="A341">
        <v>327</v>
      </c>
      <c r="B341" t="s">
        <v>1732</v>
      </c>
      <c r="C341" t="s">
        <v>1070</v>
      </c>
      <c r="D341" t="s">
        <v>2221</v>
      </c>
      <c r="E341">
        <v>0</v>
      </c>
      <c r="G341" s="78">
        <v>44008.680185185185</v>
      </c>
      <c r="H341">
        <v>0</v>
      </c>
    </row>
  </sheetData>
  <protectedRanges>
    <protectedRange sqref="C3:C4" name="Range1"/>
    <protectedRange sqref="G10" name="Range2_1"/>
  </protectedRanges>
  <sortState xmlns:xlrd2="http://schemas.microsoft.com/office/spreadsheetml/2017/richdata2" ref="A151:I319">
    <sortCondition ref="A151:A319"/>
  </sortState>
  <phoneticPr fontId="2" type="noConversion"/>
  <dataValidations disablePrompts="1" count="3">
    <dataValidation type="list" showInputMessage="1" showErrorMessage="1" sqref="C5" xr:uid="{00000000-0002-0000-3000-000000000000}">
      <formula1>"GDOT, GDOT_DR"</formula1>
    </dataValidation>
    <dataValidation type="list" showInputMessage="1" showErrorMessage="1" sqref="C6" xr:uid="{00000000-0002-0000-3000-000001000000}">
      <formula1>"C:, D:, E:, F:, G:, H:"</formula1>
    </dataValidation>
    <dataValidation type="list" showInputMessage="1" showErrorMessage="1" sqref="L4" xr:uid="{00000000-0002-0000-3000-000002000000}">
      <formula1>"Yes, No"</formula1>
    </dataValidation>
  </dataValidations>
  <pageMargins left="0.75" right="0.75" top="1" bottom="1" header="0.5" footer="0.5"/>
  <pageSetup paperSize="9" orientation="portrait" horizontalDpi="4294967294" r:id="rId1"/>
  <headerFooter alignWithMargins="0"/>
  <legacy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8"/>
  <dimension ref="A1:C137"/>
  <sheetViews>
    <sheetView topLeftCell="A76" workbookViewId="0">
      <selection activeCell="H129" sqref="H129"/>
    </sheetView>
  </sheetViews>
  <sheetFormatPr defaultRowHeight="12.75" x14ac:dyDescent="0.2"/>
  <cols>
    <col min="1" max="1" width="9.140625" style="69"/>
    <col min="2" max="2" width="24.28515625" style="69" bestFit="1" customWidth="1"/>
    <col min="3" max="3" width="18.140625" style="69" customWidth="1"/>
    <col min="4" max="16384" width="9.140625" style="69"/>
  </cols>
  <sheetData>
    <row r="1" spans="1:3" x14ac:dyDescent="0.2">
      <c r="A1" s="68" t="s">
        <v>8</v>
      </c>
      <c r="B1" s="68" t="s">
        <v>6</v>
      </c>
      <c r="C1" s="68" t="s">
        <v>156</v>
      </c>
    </row>
    <row r="2" spans="1:3" x14ac:dyDescent="0.2">
      <c r="A2" s="68">
        <v>1</v>
      </c>
      <c r="B2" s="68" t="s">
        <v>557</v>
      </c>
      <c r="C2" s="68">
        <f>'CDU1.GMAP'!$E$6</f>
        <v>-4.1027882647881597E-4</v>
      </c>
    </row>
    <row r="3" spans="1:3" x14ac:dyDescent="0.2">
      <c r="A3" s="68">
        <v>2</v>
      </c>
      <c r="B3" s="68" t="s">
        <v>558</v>
      </c>
      <c r="C3" s="68">
        <f>'CDU1.GMAP'!$E$7</f>
        <v>6.3113592574381983E-7</v>
      </c>
    </row>
    <row r="4" spans="1:3" x14ac:dyDescent="0.2">
      <c r="A4" s="68">
        <v>3</v>
      </c>
      <c r="B4" s="68" t="s">
        <v>559</v>
      </c>
      <c r="C4" s="68">
        <f>'CDU1.GMAP'!$E$8</f>
        <v>6.2981440320797333E-4</v>
      </c>
    </row>
    <row r="5" spans="1:3" x14ac:dyDescent="0.2">
      <c r="A5" s="68">
        <v>4</v>
      </c>
      <c r="B5" s="68" t="s">
        <v>560</v>
      </c>
      <c r="C5" s="68">
        <f>'CDU1.GMAP'!$E$9</f>
        <v>8.3904592516681475E-4</v>
      </c>
    </row>
    <row r="6" spans="1:3" x14ac:dyDescent="0.2">
      <c r="A6" s="68">
        <v>5</v>
      </c>
      <c r="B6" s="68" t="s">
        <v>561</v>
      </c>
      <c r="C6" s="68">
        <f>'CDU1.GMAP'!$E$10</f>
        <v>5.8137363844679157E-4</v>
      </c>
    </row>
    <row r="7" spans="1:3" x14ac:dyDescent="0.2">
      <c r="A7" s="68">
        <v>6</v>
      </c>
      <c r="B7" s="68" t="s">
        <v>562</v>
      </c>
      <c r="C7" s="68">
        <f>'CDU1.GMAP'!$E$11</f>
        <v>3.1557163637785379E-7</v>
      </c>
    </row>
    <row r="8" spans="1:3" x14ac:dyDescent="0.2">
      <c r="A8" s="68">
        <v>7</v>
      </c>
      <c r="B8" s="68" t="s">
        <v>563</v>
      </c>
      <c r="C8" s="68">
        <f>'CDU1.GMAP'!$E$12</f>
        <v>0</v>
      </c>
    </row>
    <row r="9" spans="1:3" x14ac:dyDescent="0.2">
      <c r="A9" s="68">
        <v>8</v>
      </c>
      <c r="B9" s="68" t="s">
        <v>521</v>
      </c>
      <c r="C9" s="68">
        <f>'CDU1.GMAP'!$E$13</f>
        <v>301.93136090088439</v>
      </c>
    </row>
    <row r="10" spans="1:3" x14ac:dyDescent="0.2">
      <c r="A10" s="68">
        <v>9</v>
      </c>
      <c r="B10" s="68" t="s">
        <v>535</v>
      </c>
      <c r="C10" s="68">
        <f>'CDU1.GMAP'!$E$14</f>
        <v>0.78687581313163468</v>
      </c>
    </row>
    <row r="11" spans="1:3" x14ac:dyDescent="0.2">
      <c r="A11" s="68">
        <v>10</v>
      </c>
      <c r="B11" s="68" t="s">
        <v>538</v>
      </c>
      <c r="C11" s="68">
        <f>'CDU1.GMAP'!$E$15</f>
        <v>2448.5337861112757</v>
      </c>
    </row>
    <row r="12" spans="1:3" x14ac:dyDescent="0.2">
      <c r="A12" s="68">
        <v>11</v>
      </c>
      <c r="B12" s="68" t="s">
        <v>534</v>
      </c>
      <c r="C12" s="68">
        <f>'CDU1.GMAP'!$E$16</f>
        <v>481.92326502965989</v>
      </c>
    </row>
    <row r="13" spans="1:3" x14ac:dyDescent="0.2">
      <c r="A13" s="68">
        <v>12</v>
      </c>
      <c r="B13" s="68" t="s">
        <v>536</v>
      </c>
      <c r="C13" s="68">
        <f>'CDU1.GMAP'!$E$17</f>
        <v>-60.374325444521361</v>
      </c>
    </row>
    <row r="14" spans="1:3" x14ac:dyDescent="0.2">
      <c r="A14" s="68">
        <v>13</v>
      </c>
      <c r="B14" s="68" t="s">
        <v>539</v>
      </c>
      <c r="C14" s="68">
        <f>'CDU1.GMAP'!$E$18</f>
        <v>-44.107280850804877</v>
      </c>
    </row>
    <row r="15" spans="1:3" x14ac:dyDescent="0.2">
      <c r="A15" s="68">
        <v>14</v>
      </c>
      <c r="B15" s="68" t="s">
        <v>537</v>
      </c>
      <c r="C15" s="68">
        <f>'CDU1.GMAP'!$E$19</f>
        <v>107.76190101259661</v>
      </c>
    </row>
    <row r="16" spans="1:3" x14ac:dyDescent="0.2">
      <c r="A16" s="68">
        <v>15</v>
      </c>
      <c r="B16" s="68" t="s">
        <v>527</v>
      </c>
      <c r="C16" s="68">
        <f>'CDU1.GMAP'!$E$20</f>
        <v>56.542030832912552</v>
      </c>
    </row>
    <row r="17" spans="1:3" x14ac:dyDescent="0.2">
      <c r="A17" s="68">
        <v>16</v>
      </c>
      <c r="B17" s="68" t="s">
        <v>523</v>
      </c>
      <c r="C17" s="68">
        <f>'CDU1.GMAP'!$E$21</f>
        <v>0.83890188080922612</v>
      </c>
    </row>
    <row r="18" spans="1:3" x14ac:dyDescent="0.2">
      <c r="A18" s="68">
        <v>17</v>
      </c>
      <c r="B18" s="68" t="s">
        <v>526</v>
      </c>
      <c r="C18" s="68">
        <f>'CDU1.GMAP'!$E$22</f>
        <v>4000.3444904189337</v>
      </c>
    </row>
    <row r="19" spans="1:3" x14ac:dyDescent="0.2">
      <c r="A19" s="68">
        <v>18</v>
      </c>
      <c r="B19" s="68" t="s">
        <v>522</v>
      </c>
      <c r="C19" s="68">
        <f>'CDU1.GMAP'!$E$23</f>
        <v>661.91278625609937</v>
      </c>
    </row>
    <row r="20" spans="1:3" x14ac:dyDescent="0.2">
      <c r="A20" s="68">
        <v>19</v>
      </c>
      <c r="B20" s="68" t="s">
        <v>524</v>
      </c>
      <c r="C20" s="68">
        <f>'CDU1.GMAP'!$E$24</f>
        <v>4.9991767357895505</v>
      </c>
    </row>
    <row r="21" spans="1:3" x14ac:dyDescent="0.2">
      <c r="A21" s="68">
        <v>20</v>
      </c>
      <c r="B21" s="68" t="s">
        <v>525</v>
      </c>
      <c r="C21" s="68">
        <f>'CDU1.GMAP'!$E$25</f>
        <v>217.91980074046342</v>
      </c>
    </row>
    <row r="22" spans="1:3" x14ac:dyDescent="0.2">
      <c r="A22" s="68">
        <v>21</v>
      </c>
      <c r="B22" s="68" t="s">
        <v>533</v>
      </c>
      <c r="C22" s="68">
        <f>'CDU1.GMAP'!$E$26</f>
        <v>43.697013528744932</v>
      </c>
    </row>
    <row r="23" spans="1:3" x14ac:dyDescent="0.2">
      <c r="A23" s="68">
        <v>22</v>
      </c>
      <c r="B23" s="68" t="s">
        <v>529</v>
      </c>
      <c r="C23" s="68">
        <f>'CDU1.GMAP'!$E$27</f>
        <v>0.88515606924740575</v>
      </c>
    </row>
    <row r="24" spans="1:3" x14ac:dyDescent="0.2">
      <c r="A24" s="68">
        <v>23</v>
      </c>
      <c r="B24" s="68" t="s">
        <v>532</v>
      </c>
      <c r="C24" s="68">
        <f>'CDU1.GMAP'!$E$28</f>
        <v>5555.2328747859747</v>
      </c>
    </row>
    <row r="25" spans="1:3" x14ac:dyDescent="0.2">
      <c r="A25" s="68">
        <v>24</v>
      </c>
      <c r="B25" s="68" t="s">
        <v>528</v>
      </c>
      <c r="C25" s="68">
        <f>'CDU1.GMAP'!$E$29</f>
        <v>841.90524206541954</v>
      </c>
    </row>
    <row r="26" spans="1:3" x14ac:dyDescent="0.2">
      <c r="A26" s="68">
        <v>25</v>
      </c>
      <c r="B26" s="68" t="s">
        <v>530</v>
      </c>
      <c r="C26" s="68">
        <f>'CDU1.GMAP'!$E$30</f>
        <v>70.373179121805592</v>
      </c>
    </row>
    <row r="27" spans="1:3" x14ac:dyDescent="0.2">
      <c r="A27" s="68">
        <v>26</v>
      </c>
      <c r="B27" s="68" t="s">
        <v>531</v>
      </c>
      <c r="C27" s="68">
        <f>'CDU1.GMAP'!$E$31</f>
        <v>323.62968758858381</v>
      </c>
    </row>
    <row r="28" spans="1:3" x14ac:dyDescent="0.2">
      <c r="A28" s="68">
        <v>27</v>
      </c>
      <c r="B28" s="68" t="s">
        <v>589</v>
      </c>
      <c r="C28" s="68">
        <f>'CDU1.GDOT'!$E$6</f>
        <v>6.9898678702884354E-5</v>
      </c>
    </row>
    <row r="29" spans="1:3" x14ac:dyDescent="0.2">
      <c r="A29" s="68">
        <v>28</v>
      </c>
      <c r="B29" s="68" t="s">
        <v>590</v>
      </c>
      <c r="C29" s="68">
        <f>'CDU1.GDOT'!$E$7</f>
        <v>9.3146626426232615E-5</v>
      </c>
    </row>
    <row r="30" spans="1:3" x14ac:dyDescent="0.2">
      <c r="A30" s="68">
        <v>29</v>
      </c>
      <c r="B30" s="68" t="s">
        <v>591</v>
      </c>
      <c r="C30" s="68">
        <f>'CDU1.GDOT'!$E$8</f>
        <v>6.4518862387785703E-5</v>
      </c>
    </row>
    <row r="31" spans="1:3" x14ac:dyDescent="0.2">
      <c r="A31" s="68">
        <v>30</v>
      </c>
      <c r="B31" s="68" t="s">
        <v>592</v>
      </c>
      <c r="C31" s="68">
        <f>'CDU1.GDOT'!$E$9</f>
        <v>-1.2478244968860963E-5</v>
      </c>
    </row>
    <row r="32" spans="1:3" x14ac:dyDescent="0.2">
      <c r="A32" s="68">
        <v>31</v>
      </c>
      <c r="B32" s="68" t="s">
        <v>593</v>
      </c>
      <c r="C32" s="68">
        <f>'CDU1.GDOT'!$E$10</f>
        <v>2.7805228323813935E-3</v>
      </c>
    </row>
    <row r="33" spans="1:3" x14ac:dyDescent="0.2">
      <c r="A33" s="68">
        <v>32</v>
      </c>
      <c r="B33" s="68" t="s">
        <v>594</v>
      </c>
      <c r="C33" s="68">
        <f>'CDU1.GDOT'!$E$11</f>
        <v>2.027304250304951E-4</v>
      </c>
    </row>
    <row r="34" spans="1:3" x14ac:dyDescent="0.2">
      <c r="A34" s="68">
        <v>33</v>
      </c>
      <c r="B34" s="68" t="s">
        <v>595</v>
      </c>
      <c r="C34" s="68" t="e">
        <f ca="1">'CDU1.GDOT'!$E$12</f>
        <v>#NAME?</v>
      </c>
    </row>
    <row r="35" spans="1:3" x14ac:dyDescent="0.2">
      <c r="A35" s="68">
        <v>34</v>
      </c>
      <c r="B35" s="68" t="s">
        <v>596</v>
      </c>
      <c r="C35" s="68" t="e">
        <f ca="1">'CDU1.GDOT'!$E$13</f>
        <v>#NAME?</v>
      </c>
    </row>
    <row r="36" spans="1:3" x14ac:dyDescent="0.2">
      <c r="A36" s="68">
        <v>35</v>
      </c>
      <c r="B36" s="68" t="s">
        <v>597</v>
      </c>
      <c r="C36" s="68" t="e">
        <f ca="1">'CDU1.GDOT'!$E$14</f>
        <v>#NAME?</v>
      </c>
    </row>
    <row r="37" spans="1:3" x14ac:dyDescent="0.2">
      <c r="A37" s="68">
        <v>36</v>
      </c>
      <c r="B37" s="68" t="s">
        <v>598</v>
      </c>
      <c r="C37" s="68" t="e">
        <f ca="1">'CDU1.GDOT'!$E$15</f>
        <v>#NAME?</v>
      </c>
    </row>
    <row r="38" spans="1:3" x14ac:dyDescent="0.2">
      <c r="A38" s="68">
        <v>37</v>
      </c>
      <c r="B38" s="68" t="s">
        <v>599</v>
      </c>
      <c r="C38" s="68" t="e">
        <f ca="1">'CDU1.GDOT'!$E$16</f>
        <v>#NAME?</v>
      </c>
    </row>
    <row r="39" spans="1:3" x14ac:dyDescent="0.2">
      <c r="A39" s="68">
        <v>38</v>
      </c>
      <c r="B39" s="72" t="s">
        <v>1761</v>
      </c>
      <c r="C39" s="72" t="e">
        <f ca="1">'CDU1.GDOT'!$E$17</f>
        <v>#NAME?</v>
      </c>
    </row>
    <row r="40" spans="1:3" x14ac:dyDescent="0.2">
      <c r="A40" s="68">
        <v>39</v>
      </c>
      <c r="B40" s="68" t="s">
        <v>600</v>
      </c>
      <c r="C40" s="68" t="e">
        <f ca="1">'CDU1.GDOT'!$E$18</f>
        <v>#NAME?</v>
      </c>
    </row>
    <row r="41" spans="1:3" x14ac:dyDescent="0.2">
      <c r="A41" s="68">
        <v>40</v>
      </c>
      <c r="B41" s="68" t="s">
        <v>601</v>
      </c>
      <c r="C41" s="68" t="e">
        <f ca="1">'CDU1.GDOT'!$E$19</f>
        <v>#NAME?</v>
      </c>
    </row>
    <row r="42" spans="1:3" x14ac:dyDescent="0.2">
      <c r="A42" s="68">
        <v>41</v>
      </c>
      <c r="B42" s="68" t="s">
        <v>602</v>
      </c>
      <c r="C42" s="68" t="e">
        <f ca="1">'CDU1.GDOT'!$E$20</f>
        <v>#NAME?</v>
      </c>
    </row>
    <row r="43" spans="1:3" x14ac:dyDescent="0.2">
      <c r="A43" s="68">
        <v>42</v>
      </c>
      <c r="B43" s="72" t="s">
        <v>1762</v>
      </c>
      <c r="C43" s="72" t="e">
        <f ca="1">'CDU1.GDOT'!$E$21</f>
        <v>#NAME?</v>
      </c>
    </row>
    <row r="44" spans="1:3" x14ac:dyDescent="0.2">
      <c r="A44" s="68">
        <v>43</v>
      </c>
      <c r="B44" s="68" t="s">
        <v>603</v>
      </c>
      <c r="C44" s="77" t="e">
        <f ca="1">'CDU1.GDOT'!$E$22</f>
        <v>#NAME?</v>
      </c>
    </row>
    <row r="45" spans="1:3" x14ac:dyDescent="0.2">
      <c r="A45" s="68">
        <v>44</v>
      </c>
      <c r="B45" s="68" t="s">
        <v>604</v>
      </c>
      <c r="C45" s="77" t="e">
        <f ca="1">'CDU1.GDOT'!$E$23</f>
        <v>#NAME?</v>
      </c>
    </row>
    <row r="46" spans="1:3" x14ac:dyDescent="0.2">
      <c r="A46" s="68">
        <v>45</v>
      </c>
      <c r="B46" s="68" t="s">
        <v>605</v>
      </c>
      <c r="C46" s="77" t="e">
        <f ca="1">'CDU1.GDOT'!$E$24</f>
        <v>#NAME?</v>
      </c>
    </row>
    <row r="47" spans="1:3" x14ac:dyDescent="0.2">
      <c r="A47" s="68">
        <v>46</v>
      </c>
      <c r="B47" s="68" t="s">
        <v>606</v>
      </c>
      <c r="C47" s="68" t="e">
        <f ca="1">'CDU1.GDOT'!$E$25</f>
        <v>#NAME?</v>
      </c>
    </row>
    <row r="48" spans="1:3" x14ac:dyDescent="0.2">
      <c r="A48" s="68">
        <v>47</v>
      </c>
      <c r="B48" s="68" t="s">
        <v>607</v>
      </c>
      <c r="C48" s="68" t="e">
        <f ca="1">'CDU1.GDOT'!$E$26</f>
        <v>#NAME?</v>
      </c>
    </row>
    <row r="49" spans="1:3" x14ac:dyDescent="0.2">
      <c r="A49" s="68">
        <v>48</v>
      </c>
      <c r="B49" s="68" t="s">
        <v>608</v>
      </c>
      <c r="C49" s="68" t="e">
        <f ca="1">'CDU1.GDOT'!$E$27</f>
        <v>#NAME?</v>
      </c>
    </row>
    <row r="50" spans="1:3" x14ac:dyDescent="0.2">
      <c r="A50" s="68">
        <v>49</v>
      </c>
      <c r="B50" s="68" t="s">
        <v>609</v>
      </c>
      <c r="C50" s="68" t="e">
        <f ca="1">'CDU1.GDOT'!$E$28</f>
        <v>#NAME?</v>
      </c>
    </row>
    <row r="51" spans="1:3" x14ac:dyDescent="0.2">
      <c r="A51" s="68">
        <v>50</v>
      </c>
      <c r="B51" s="68" t="s">
        <v>610</v>
      </c>
      <c r="C51" s="68" t="e">
        <f ca="1">'CDU1.GDOT'!$E$29</f>
        <v>#NAME?</v>
      </c>
    </row>
    <row r="52" spans="1:3" x14ac:dyDescent="0.2">
      <c r="A52" s="68">
        <v>51</v>
      </c>
      <c r="B52" s="68" t="s">
        <v>611</v>
      </c>
      <c r="C52" s="68" t="e">
        <f ca="1">'CDU1.GDOT'!$E$30</f>
        <v>#NAME?</v>
      </c>
    </row>
    <row r="53" spans="1:3" x14ac:dyDescent="0.2">
      <c r="A53" s="68">
        <v>52</v>
      </c>
      <c r="B53" s="68" t="s">
        <v>612</v>
      </c>
      <c r="C53" s="68">
        <f>'CDU1.GDOT'!$E$31</f>
        <v>-1.313888833465171E-5</v>
      </c>
    </row>
    <row r="54" spans="1:3" x14ac:dyDescent="0.2">
      <c r="A54" s="68">
        <v>53</v>
      </c>
      <c r="B54" s="68" t="s">
        <v>613</v>
      </c>
      <c r="C54" s="68">
        <f>'CDU1.GDOT'!$E$32</f>
        <v>-5.6249518820550293E-6</v>
      </c>
    </row>
    <row r="55" spans="1:3" x14ac:dyDescent="0.2">
      <c r="A55" s="68">
        <v>54</v>
      </c>
      <c r="B55" s="68" t="s">
        <v>614</v>
      </c>
      <c r="C55" s="68">
        <f>'CDU1.GDOT'!$E$33</f>
        <v>1.091755348170409E-5</v>
      </c>
    </row>
    <row r="56" spans="1:3" x14ac:dyDescent="0.2">
      <c r="A56" s="68">
        <v>55</v>
      </c>
      <c r="B56" s="68" t="s">
        <v>615</v>
      </c>
      <c r="C56" s="68">
        <f>'CDU1.GDOT'!$E$34</f>
        <v>5.8474620345805306E-6</v>
      </c>
    </row>
    <row r="57" spans="1:3" x14ac:dyDescent="0.2">
      <c r="A57" s="68">
        <v>56</v>
      </c>
      <c r="B57" s="68" t="s">
        <v>616</v>
      </c>
      <c r="C57" s="68">
        <f>'CDU1.GDOT'!$E$35</f>
        <v>1.334987064183224E-5</v>
      </c>
    </row>
    <row r="58" spans="1:3" x14ac:dyDescent="0.2">
      <c r="A58" s="68">
        <v>57</v>
      </c>
      <c r="B58" s="68" t="s">
        <v>617</v>
      </c>
      <c r="C58" s="68" t="e">
        <f ca="1">'CDU1.GDOT'!$E$36</f>
        <v>#NAME?</v>
      </c>
    </row>
    <row r="59" spans="1:3" x14ac:dyDescent="0.2">
      <c r="A59" s="68">
        <v>58</v>
      </c>
      <c r="B59" s="68" t="s">
        <v>618</v>
      </c>
      <c r="C59" s="68" t="e">
        <f ca="1">'CDU1.GDOT'!$E$37</f>
        <v>#NAME?</v>
      </c>
    </row>
    <row r="60" spans="1:3" x14ac:dyDescent="0.2">
      <c r="A60" s="68">
        <v>59</v>
      </c>
      <c r="B60" s="68" t="s">
        <v>619</v>
      </c>
      <c r="C60" s="68" t="e">
        <f ca="1">'CDU1.GDOT'!$E$38</f>
        <v>#NAME?</v>
      </c>
    </row>
    <row r="61" spans="1:3" x14ac:dyDescent="0.2">
      <c r="A61" s="68">
        <v>60</v>
      </c>
      <c r="B61" s="68" t="s">
        <v>620</v>
      </c>
      <c r="C61" s="68" t="e">
        <f ca="1">'CDU1.GDOT'!$E$39</f>
        <v>#NAME?</v>
      </c>
    </row>
    <row r="62" spans="1:3" x14ac:dyDescent="0.2">
      <c r="A62" s="68">
        <v>61</v>
      </c>
      <c r="B62" s="68" t="s">
        <v>621</v>
      </c>
      <c r="C62" s="68">
        <f>'CDU1.GDOT'!$E$40</f>
        <v>0</v>
      </c>
    </row>
    <row r="63" spans="1:3" x14ac:dyDescent="0.2">
      <c r="A63" s="68">
        <v>62</v>
      </c>
      <c r="B63" s="68" t="s">
        <v>622</v>
      </c>
      <c r="C63" s="68">
        <f>'CDU1.GDOT'!$E$41</f>
        <v>-6.31150811614134E-7</v>
      </c>
    </row>
    <row r="64" spans="1:3" x14ac:dyDescent="0.2">
      <c r="A64" s="68">
        <v>63</v>
      </c>
      <c r="B64" s="68" t="s">
        <v>556</v>
      </c>
      <c r="C64" s="68">
        <f>HFB.CMAP!E6</f>
        <v>1.9565370784846436E-5</v>
      </c>
    </row>
    <row r="65" spans="1:3" x14ac:dyDescent="0.2">
      <c r="A65" s="68">
        <v>64</v>
      </c>
      <c r="B65" s="68" t="s">
        <v>658</v>
      </c>
      <c r="C65" s="68">
        <f>HFB.GMAP!$E$6</f>
        <v>-1.209746475439033E-5</v>
      </c>
    </row>
    <row r="66" spans="1:3" x14ac:dyDescent="0.2">
      <c r="A66" s="68">
        <v>65</v>
      </c>
      <c r="B66" s="68" t="s">
        <v>659</v>
      </c>
      <c r="C66" s="68">
        <f>HFB.GMAP!$E$7</f>
        <v>3.0305433107891133E-4</v>
      </c>
    </row>
    <row r="67" spans="1:3" x14ac:dyDescent="0.2">
      <c r="A67" s="68">
        <v>66</v>
      </c>
      <c r="B67" s="68" t="s">
        <v>660</v>
      </c>
      <c r="C67" s="68">
        <f>HFB.GMAP!$E$8</f>
        <v>2.3368314624505615E-4</v>
      </c>
    </row>
    <row r="68" spans="1:3" x14ac:dyDescent="0.2">
      <c r="A68" s="68">
        <v>67</v>
      </c>
      <c r="B68" s="68" t="s">
        <v>661</v>
      </c>
      <c r="C68" s="68">
        <f>HFB.GMAP!$E$9</f>
        <v>-3.020472329300361E-4</v>
      </c>
    </row>
    <row r="69" spans="1:3" x14ac:dyDescent="0.2">
      <c r="A69" s="68">
        <v>68</v>
      </c>
      <c r="B69" s="68" t="s">
        <v>1511</v>
      </c>
      <c r="C69" s="68">
        <f>HFB.GMAP!$E$10</f>
        <v>-3.2301094826436838E-5</v>
      </c>
    </row>
    <row r="70" spans="1:3" x14ac:dyDescent="0.2">
      <c r="A70" s="68">
        <v>69</v>
      </c>
      <c r="B70" s="68" t="s">
        <v>553</v>
      </c>
      <c r="C70" s="68">
        <f>HFB.GMAP!$E$11</f>
        <v>48.707373976246025</v>
      </c>
    </row>
    <row r="71" spans="1:3" x14ac:dyDescent="0.2">
      <c r="A71" s="68">
        <v>70</v>
      </c>
      <c r="B71" s="68" t="s">
        <v>549</v>
      </c>
      <c r="C71" s="68">
        <f>HFB.GMAP!$E$12</f>
        <v>0.83331594270501674</v>
      </c>
    </row>
    <row r="72" spans="1:3" x14ac:dyDescent="0.2">
      <c r="A72" s="68">
        <v>71</v>
      </c>
      <c r="B72" s="68" t="s">
        <v>552</v>
      </c>
      <c r="C72" s="68">
        <f>HFB.GMAP!$E$13</f>
        <v>5906.5222525248519</v>
      </c>
    </row>
    <row r="73" spans="1:3" x14ac:dyDescent="0.2">
      <c r="A73" s="68">
        <v>72</v>
      </c>
      <c r="B73" s="68" t="s">
        <v>548</v>
      </c>
      <c r="C73" s="68">
        <f>HFB.GMAP!$E$14</f>
        <v>814.97119009252447</v>
      </c>
    </row>
    <row r="74" spans="1:3" x14ac:dyDescent="0.2">
      <c r="A74" s="68">
        <v>73</v>
      </c>
      <c r="B74" s="68" t="s">
        <v>550</v>
      </c>
      <c r="C74" s="68">
        <f>HFB.GMAP!$E$15</f>
        <v>46.417472948368165</v>
      </c>
    </row>
    <row r="75" spans="1:3" x14ac:dyDescent="0.2">
      <c r="A75" s="68">
        <v>74</v>
      </c>
      <c r="B75" s="68" t="s">
        <v>551</v>
      </c>
      <c r="C75" s="68">
        <f>HFB.GMAP!$E$16</f>
        <v>151.5331194774931</v>
      </c>
    </row>
    <row r="76" spans="1:3" x14ac:dyDescent="0.2">
      <c r="A76" s="68">
        <v>75</v>
      </c>
      <c r="B76" s="68" t="s">
        <v>1503</v>
      </c>
      <c r="C76" s="68">
        <f>HFB.GMAP!$E$17</f>
        <v>45.000000417205491</v>
      </c>
    </row>
    <row r="77" spans="1:3" x14ac:dyDescent="0.2">
      <c r="A77" s="68">
        <v>76</v>
      </c>
      <c r="B77" s="68" t="s">
        <v>1497</v>
      </c>
      <c r="C77" s="68">
        <f>HFB.GMAP!$E$18</f>
        <v>0.79911882830025649</v>
      </c>
    </row>
    <row r="78" spans="1:3" x14ac:dyDescent="0.2">
      <c r="A78" s="68">
        <v>77</v>
      </c>
      <c r="B78" s="68" t="s">
        <v>1501</v>
      </c>
      <c r="C78" s="68">
        <f>HFB.GMAP!$E$19</f>
        <v>10000.000005201506</v>
      </c>
    </row>
    <row r="79" spans="1:3" x14ac:dyDescent="0.2">
      <c r="A79" s="68">
        <v>78</v>
      </c>
      <c r="B79" s="68" t="s">
        <v>1498</v>
      </c>
      <c r="C79" s="68">
        <f>HFB.GMAP!$E$20</f>
        <v>571.99999947174274</v>
      </c>
    </row>
    <row r="80" spans="1:3" x14ac:dyDescent="0.2">
      <c r="A80" s="68">
        <v>79</v>
      </c>
      <c r="B80" s="68" t="s">
        <v>1499</v>
      </c>
      <c r="C80" s="68">
        <f>HFB.GMAP!$E$21</f>
        <v>679.99999908533357</v>
      </c>
    </row>
    <row r="81" spans="1:3" x14ac:dyDescent="0.2">
      <c r="A81" s="68">
        <v>80</v>
      </c>
      <c r="B81" s="68" t="s">
        <v>1500</v>
      </c>
      <c r="C81" s="68">
        <f>HFB.GMAP!$E$22</f>
        <v>31.999999718462142</v>
      </c>
    </row>
    <row r="82" spans="1:3" x14ac:dyDescent="0.2">
      <c r="A82" s="68">
        <v>81</v>
      </c>
      <c r="B82" s="68" t="s">
        <v>1502</v>
      </c>
      <c r="C82" s="68">
        <f>HFB.GMAP!$E$23</f>
        <v>161.59999793764459</v>
      </c>
    </row>
    <row r="83" spans="1:3" x14ac:dyDescent="0.2">
      <c r="A83" s="68">
        <v>82</v>
      </c>
      <c r="B83" s="68" t="s">
        <v>672</v>
      </c>
      <c r="C83" s="68">
        <f>HFB.GDOT!$E$6</f>
        <v>-3.9555914099764777E-11</v>
      </c>
    </row>
    <row r="84" spans="1:3" x14ac:dyDescent="0.2">
      <c r="A84" s="68">
        <v>83</v>
      </c>
      <c r="B84" s="68" t="s">
        <v>673</v>
      </c>
      <c r="C84" s="68">
        <f>HFB.GDOT!$E$7</f>
        <v>-6.5402127802371979E-7</v>
      </c>
    </row>
    <row r="85" spans="1:3" x14ac:dyDescent="0.2">
      <c r="A85" s="68">
        <v>84</v>
      </c>
      <c r="B85" s="68" t="s">
        <v>674</v>
      </c>
      <c r="C85" s="68">
        <f>HFB.GDOT!$E$8</f>
        <v>1.9950675778090954E-7</v>
      </c>
    </row>
    <row r="86" spans="1:3" x14ac:dyDescent="0.2">
      <c r="A86" s="68">
        <v>85</v>
      </c>
      <c r="B86" s="68" t="s">
        <v>675</v>
      </c>
      <c r="C86" s="68">
        <f>HFB.GDOT!$E$9</f>
        <v>-1.5102909856068436E-7</v>
      </c>
    </row>
    <row r="87" spans="1:3" x14ac:dyDescent="0.2">
      <c r="A87" s="68">
        <v>86</v>
      </c>
      <c r="B87" s="68" t="s">
        <v>676</v>
      </c>
      <c r="C87" s="68">
        <f>HFB.GDOT!$E$10</f>
        <v>-9.5216364570660517E-8</v>
      </c>
    </row>
    <row r="88" spans="1:3" x14ac:dyDescent="0.2">
      <c r="A88" s="68">
        <v>87</v>
      </c>
      <c r="B88" s="68" t="s">
        <v>677</v>
      </c>
      <c r="C88" s="68">
        <f>HFB.GDOT!$E$11</f>
        <v>-3.3988180803135037E-7</v>
      </c>
    </row>
    <row r="89" spans="1:3" x14ac:dyDescent="0.2">
      <c r="A89" s="68">
        <v>88</v>
      </c>
      <c r="B89" s="72" t="s">
        <v>1767</v>
      </c>
      <c r="C89" s="72">
        <f>HFB.GDOT!$E$12</f>
        <v>-1.0673556971596554E-7</v>
      </c>
    </row>
    <row r="90" spans="1:3" x14ac:dyDescent="0.2">
      <c r="A90" s="68">
        <v>89</v>
      </c>
      <c r="B90" s="68" t="s">
        <v>678</v>
      </c>
      <c r="C90" s="68" t="e">
        <f ca="1">HFB.GDOT!$E$13</f>
        <v>#NAME?</v>
      </c>
    </row>
    <row r="91" spans="1:3" x14ac:dyDescent="0.2">
      <c r="A91" s="68">
        <v>90</v>
      </c>
      <c r="B91" s="68" t="s">
        <v>679</v>
      </c>
      <c r="C91" s="68" t="e">
        <f ca="1">HFB.GDOT!$E$14</f>
        <v>#NAME?</v>
      </c>
    </row>
    <row r="92" spans="1:3" x14ac:dyDescent="0.2">
      <c r="A92" s="68">
        <v>91</v>
      </c>
      <c r="B92" s="68" t="s">
        <v>680</v>
      </c>
      <c r="C92" s="68" t="e">
        <f ca="1">HFB.GDOT!$E$15</f>
        <v>#NAME?</v>
      </c>
    </row>
    <row r="93" spans="1:3" x14ac:dyDescent="0.2">
      <c r="A93" s="68">
        <v>92</v>
      </c>
      <c r="B93" s="68" t="s">
        <v>681</v>
      </c>
      <c r="C93" s="68">
        <f>HFB.GDOT!$E$16</f>
        <v>-2.5704594008857384E-8</v>
      </c>
    </row>
    <row r="94" spans="1:3" x14ac:dyDescent="0.2">
      <c r="A94" s="68">
        <v>93</v>
      </c>
      <c r="B94" s="68" t="s">
        <v>682</v>
      </c>
      <c r="C94" s="68">
        <f>HFB.GDOT!$E$17</f>
        <v>-4.3642560754619808E-5</v>
      </c>
    </row>
    <row r="95" spans="1:3" x14ac:dyDescent="0.2">
      <c r="A95" s="68">
        <v>94</v>
      </c>
      <c r="B95" s="68" t="s">
        <v>1520</v>
      </c>
      <c r="C95" s="68" t="e">
        <f ca="1">HFB.GDOT!$E$18</f>
        <v>#NAME?</v>
      </c>
    </row>
    <row r="96" spans="1:3" x14ac:dyDescent="0.2">
      <c r="A96" s="68">
        <v>95</v>
      </c>
      <c r="B96" s="68" t="s">
        <v>1521</v>
      </c>
      <c r="C96" s="68" t="e">
        <f ca="1">HFB.GDOT!$E$19</f>
        <v>#NAME?</v>
      </c>
    </row>
    <row r="97" spans="1:3" x14ac:dyDescent="0.2">
      <c r="A97" s="68">
        <v>96</v>
      </c>
      <c r="B97" s="68" t="s">
        <v>1522</v>
      </c>
      <c r="C97" s="68" t="e">
        <f ca="1">HFB.GDOT!$E$20</f>
        <v>#NAME?</v>
      </c>
    </row>
    <row r="98" spans="1:3" x14ac:dyDescent="0.2">
      <c r="A98" s="68">
        <v>97</v>
      </c>
      <c r="B98" s="72" t="s">
        <v>1768</v>
      </c>
      <c r="C98" s="72" t="e">
        <f ca="1">HFB.GDOT!$E$21</f>
        <v>#NAME?</v>
      </c>
    </row>
    <row r="99" spans="1:3" x14ac:dyDescent="0.2">
      <c r="A99" s="68">
        <v>98</v>
      </c>
      <c r="B99" s="68" t="s">
        <v>1523</v>
      </c>
      <c r="C99" s="68">
        <f>HFB.GDOT!$E$22</f>
        <v>-2.2693711798638105E-8</v>
      </c>
    </row>
    <row r="100" spans="1:3" x14ac:dyDescent="0.2">
      <c r="A100" s="68">
        <v>99</v>
      </c>
      <c r="B100" s="68" t="s">
        <v>1301</v>
      </c>
      <c r="C100" s="68">
        <f>KERHT.GMAP!$E$6</f>
        <v>4.5292836148291826E-10</v>
      </c>
    </row>
    <row r="101" spans="1:3" x14ac:dyDescent="0.2">
      <c r="A101" s="68">
        <v>100</v>
      </c>
      <c r="B101" s="68" t="s">
        <v>1302</v>
      </c>
      <c r="C101" s="68">
        <f>KERHT.GMAP!$E$7</f>
        <v>6.0988440964138135E-9</v>
      </c>
    </row>
    <row r="102" spans="1:3" x14ac:dyDescent="0.2">
      <c r="A102" s="68">
        <v>101</v>
      </c>
      <c r="B102" s="68" t="s">
        <v>1303</v>
      </c>
      <c r="C102" s="68">
        <f>KERHT.GMAP!$E$8</f>
        <v>2.0576432797625444E-6</v>
      </c>
    </row>
    <row r="103" spans="1:3" x14ac:dyDescent="0.2">
      <c r="A103" s="68">
        <v>102</v>
      </c>
      <c r="B103" s="68" t="s">
        <v>1304</v>
      </c>
      <c r="C103" s="68">
        <f>KERHT.GMAP!$E$9</f>
        <v>0</v>
      </c>
    </row>
    <row r="104" spans="1:3" x14ac:dyDescent="0.2">
      <c r="A104" s="68">
        <v>103</v>
      </c>
      <c r="B104" s="68" t="s">
        <v>1305</v>
      </c>
      <c r="C104" s="68">
        <f>KERHT.GMAP!$E$10</f>
        <v>-1.7533628670740597E-5</v>
      </c>
    </row>
    <row r="105" spans="1:3" x14ac:dyDescent="0.2">
      <c r="A105" s="68">
        <v>104</v>
      </c>
      <c r="B105" s="68" t="s">
        <v>1290</v>
      </c>
      <c r="C105" s="68">
        <f>KERHT.GMAP!$E$11</f>
        <v>10.00000004679231</v>
      </c>
    </row>
    <row r="106" spans="1:3" x14ac:dyDescent="0.2">
      <c r="A106" s="68">
        <v>105</v>
      </c>
      <c r="B106" s="72" t="s">
        <v>1293</v>
      </c>
      <c r="C106" s="72">
        <f>KERHT.GMAP!$E$12</f>
        <v>0.77013014533310575</v>
      </c>
    </row>
    <row r="107" spans="1:3" x14ac:dyDescent="0.2">
      <c r="A107" s="68">
        <v>106</v>
      </c>
      <c r="B107" s="72" t="s">
        <v>1294</v>
      </c>
      <c r="C107" s="72">
        <f>KERHT.GMAP!$E$13</f>
        <v>-60.146938681645686</v>
      </c>
    </row>
    <row r="108" spans="1:3" x14ac:dyDescent="0.2">
      <c r="A108" s="68">
        <v>107</v>
      </c>
      <c r="B108" s="72" t="s">
        <v>1296</v>
      </c>
      <c r="C108" s="72">
        <f>KERHT.GMAP!$E$14</f>
        <v>-44.155668359985803</v>
      </c>
    </row>
    <row r="109" spans="1:3" x14ac:dyDescent="0.2">
      <c r="A109" s="68">
        <v>108</v>
      </c>
      <c r="B109" s="72" t="s">
        <v>1295</v>
      </c>
      <c r="C109" s="72">
        <f>KERHT.GMAP!$E$15</f>
        <v>121.56786201255599</v>
      </c>
    </row>
    <row r="110" spans="1:3" x14ac:dyDescent="0.2">
      <c r="A110" s="68">
        <v>109</v>
      </c>
      <c r="B110" s="68" t="s">
        <v>1310</v>
      </c>
      <c r="C110" s="68" t="e">
        <f ca="1">KERHT.GDOT!$E$6</f>
        <v>#NAME?</v>
      </c>
    </row>
    <row r="111" spans="1:3" x14ac:dyDescent="0.2">
      <c r="A111" s="68">
        <v>110</v>
      </c>
      <c r="B111" s="68" t="s">
        <v>1311</v>
      </c>
      <c r="C111" s="68">
        <f>KERHT.GDOT!$E$7</f>
        <v>1.8583878733824388E-5</v>
      </c>
    </row>
    <row r="112" spans="1:3" x14ac:dyDescent="0.2">
      <c r="A112" s="68">
        <v>111</v>
      </c>
      <c r="B112" s="68" t="s">
        <v>1312</v>
      </c>
      <c r="C112" s="68">
        <f>KERHT.GDOT!$E$8</f>
        <v>5.5218052352756786E-12</v>
      </c>
    </row>
    <row r="113" spans="1:3" x14ac:dyDescent="0.2">
      <c r="A113" s="68">
        <v>112</v>
      </c>
      <c r="B113" s="68" t="s">
        <v>1313</v>
      </c>
      <c r="C113" s="68">
        <f>KERHT.GDOT!$E$9</f>
        <v>-3.1612683670800834E-7</v>
      </c>
    </row>
    <row r="114" spans="1:3" x14ac:dyDescent="0.2">
      <c r="A114" s="68">
        <v>113</v>
      </c>
      <c r="B114" s="68" t="s">
        <v>1314</v>
      </c>
      <c r="C114" s="68">
        <f>KERHT.GDOT!$E$10</f>
        <v>1.5212087589588918E-8</v>
      </c>
    </row>
    <row r="115" spans="1:3" x14ac:dyDescent="0.2">
      <c r="A115" s="68">
        <v>114</v>
      </c>
      <c r="B115" s="68" t="s">
        <v>1315</v>
      </c>
      <c r="C115" s="68" t="e">
        <f ca="1">KERHT.GDOT!$E$11</f>
        <v>#NAME?</v>
      </c>
    </row>
    <row r="116" spans="1:3" x14ac:dyDescent="0.2">
      <c r="A116" s="68">
        <v>115</v>
      </c>
      <c r="B116" s="68" t="s">
        <v>1316</v>
      </c>
      <c r="C116" s="68" t="e">
        <f ca="1">KERHT.GDOT!$E$12</f>
        <v>#NAME?</v>
      </c>
    </row>
    <row r="117" spans="1:3" x14ac:dyDescent="0.2">
      <c r="A117" s="68">
        <v>116</v>
      </c>
      <c r="B117" s="68" t="s">
        <v>1317</v>
      </c>
      <c r="C117" s="68" t="e">
        <f ca="1">KERHT.GDOT!$E$13</f>
        <v>#NAME?</v>
      </c>
    </row>
    <row r="118" spans="1:3" x14ac:dyDescent="0.2">
      <c r="A118" s="68">
        <v>117</v>
      </c>
      <c r="B118" s="68" t="s">
        <v>1528</v>
      </c>
      <c r="C118" s="68">
        <f>HDS.GMAP!$E$6</f>
        <v>-6.787104211980477E-11</v>
      </c>
    </row>
    <row r="119" spans="1:3" x14ac:dyDescent="0.2">
      <c r="A119" s="68">
        <v>118</v>
      </c>
      <c r="B119" s="68" t="s">
        <v>1529</v>
      </c>
      <c r="C119" s="68">
        <f>HDS.GMAP!$E$7</f>
        <v>-9.1426954895723611E-10</v>
      </c>
    </row>
    <row r="120" spans="1:3" x14ac:dyDescent="0.2">
      <c r="A120" s="68">
        <v>119</v>
      </c>
      <c r="B120" s="68" t="s">
        <v>1530</v>
      </c>
      <c r="C120" s="68">
        <f>HDS.GMAP!$E$8</f>
        <v>-2.1768143838585274E-6</v>
      </c>
    </row>
    <row r="121" spans="1:3" x14ac:dyDescent="0.2">
      <c r="A121" s="68">
        <v>120</v>
      </c>
      <c r="B121" s="68" t="s">
        <v>1531</v>
      </c>
      <c r="C121" s="68">
        <f>HDS.GMAP!$E$9</f>
        <v>0</v>
      </c>
    </row>
    <row r="122" spans="1:3" x14ac:dyDescent="0.2">
      <c r="A122" s="68">
        <v>121</v>
      </c>
      <c r="B122" s="68" t="s">
        <v>1532</v>
      </c>
      <c r="C122" s="68">
        <f>HDS.GMAP!$E$10</f>
        <v>9.9315390613696763E-6</v>
      </c>
    </row>
    <row r="123" spans="1:3" x14ac:dyDescent="0.2">
      <c r="A123" s="68">
        <v>122</v>
      </c>
      <c r="B123" s="68" t="s">
        <v>1287</v>
      </c>
      <c r="C123" s="68">
        <f>HDS.GMAP!$E$11</f>
        <v>22.079062485400012</v>
      </c>
    </row>
    <row r="124" spans="1:3" x14ac:dyDescent="0.2">
      <c r="A124" s="68">
        <v>123</v>
      </c>
      <c r="B124" s="72" t="s">
        <v>1300</v>
      </c>
      <c r="C124" s="72">
        <f>HDS.GMAP!$E$12</f>
        <v>49.916783465344778</v>
      </c>
    </row>
    <row r="125" spans="1:3" x14ac:dyDescent="0.2">
      <c r="A125" s="68">
        <v>124</v>
      </c>
      <c r="B125" s="72" t="s">
        <v>1297</v>
      </c>
      <c r="C125" s="72">
        <f>HDS.GMAP!$E$13</f>
        <v>0.81555716306833048</v>
      </c>
    </row>
    <row r="126" spans="1:3" x14ac:dyDescent="0.2">
      <c r="A126" s="68">
        <v>125</v>
      </c>
      <c r="B126" s="72" t="s">
        <v>1298</v>
      </c>
      <c r="C126" s="72">
        <f>HDS.GMAP!$E$14</f>
        <v>51.297786901010781</v>
      </c>
    </row>
    <row r="127" spans="1:3" x14ac:dyDescent="0.2">
      <c r="A127" s="68">
        <v>126</v>
      </c>
      <c r="B127" s="72" t="s">
        <v>1299</v>
      </c>
      <c r="C127" s="72">
        <f>HDS.GMAP!$E$15</f>
        <v>168.36818454334991</v>
      </c>
    </row>
    <row r="128" spans="1:3" x14ac:dyDescent="0.2">
      <c r="A128" s="68">
        <v>127</v>
      </c>
      <c r="B128" s="68" t="s">
        <v>1537</v>
      </c>
      <c r="C128" s="68" t="e">
        <f ca="1">HDS.GDOT!$E$6</f>
        <v>#NAME?</v>
      </c>
    </row>
    <row r="129" spans="1:3" x14ac:dyDescent="0.2">
      <c r="A129" s="68">
        <v>128</v>
      </c>
      <c r="B129" s="68" t="s">
        <v>1538</v>
      </c>
      <c r="C129" s="68">
        <f>HDS.GDOT!$E$7</f>
        <v>-2.9146971982640935E-6</v>
      </c>
    </row>
    <row r="130" spans="1:3" x14ac:dyDescent="0.2">
      <c r="A130" s="68">
        <v>129</v>
      </c>
      <c r="B130" s="68" t="s">
        <v>1539</v>
      </c>
      <c r="C130" s="68">
        <f>HDS.GDOT!$E$8</f>
        <v>5.6843418860808015E-12</v>
      </c>
    </row>
    <row r="131" spans="1:3" x14ac:dyDescent="0.2">
      <c r="A131" s="68">
        <v>130</v>
      </c>
      <c r="B131" s="68" t="s">
        <v>1540</v>
      </c>
      <c r="C131" s="68">
        <f>HDS.GDOT!$E$9</f>
        <v>1.4084342581099918E-8</v>
      </c>
    </row>
    <row r="132" spans="1:3" x14ac:dyDescent="0.2">
      <c r="A132" s="68">
        <v>131</v>
      </c>
      <c r="B132" s="68" t="s">
        <v>1541</v>
      </c>
      <c r="C132" s="68">
        <f>HDS.GDOT!$E$10</f>
        <v>9.1697664572620852E-8</v>
      </c>
    </row>
    <row r="133" spans="1:3" x14ac:dyDescent="0.2">
      <c r="A133" s="68">
        <v>132</v>
      </c>
      <c r="B133" s="68" t="s">
        <v>1542</v>
      </c>
      <c r="C133" s="68">
        <f>HDS.GDOT!$E$11</f>
        <v>5.7440409761966293E-8</v>
      </c>
    </row>
    <row r="134" spans="1:3" x14ac:dyDescent="0.2">
      <c r="A134" s="68">
        <v>133</v>
      </c>
      <c r="B134" s="68" t="s">
        <v>1543</v>
      </c>
      <c r="C134" s="68">
        <f>HDS.GDOT!$E$12</f>
        <v>1.1522296006205579E-8</v>
      </c>
    </row>
    <row r="135" spans="1:3" x14ac:dyDescent="0.2">
      <c r="A135" s="68">
        <v>134</v>
      </c>
      <c r="B135" s="72" t="s">
        <v>1771</v>
      </c>
      <c r="C135" s="72">
        <f>HDS.GDOT!$E$13</f>
        <v>1.3906031881560921E-10</v>
      </c>
    </row>
    <row r="136" spans="1:3" x14ac:dyDescent="0.2">
      <c r="A136" s="68">
        <v>135</v>
      </c>
      <c r="B136" s="68" t="s">
        <v>1544</v>
      </c>
      <c r="C136" s="68" t="e">
        <f ca="1">HDS.GDOT!$E$14</f>
        <v>#NAME?</v>
      </c>
    </row>
    <row r="137" spans="1:3" x14ac:dyDescent="0.2">
      <c r="A137" s="68">
        <v>136</v>
      </c>
      <c r="B137" s="72" t="s">
        <v>1545</v>
      </c>
      <c r="C137" s="72" t="e">
        <f ca="1">HDS.GDOT!$E$15</f>
        <v>#NAME?</v>
      </c>
    </row>
  </sheetData>
  <sortState xmlns:xlrd2="http://schemas.microsoft.com/office/spreadsheetml/2017/richdata2" ref="A2:C137">
    <sortCondition ref="A2:A137"/>
  </sortState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6"/>
  <dimension ref="A1:FR141"/>
  <sheetViews>
    <sheetView workbookViewId="0">
      <selection sqref="A1:XFD1048576"/>
    </sheetView>
  </sheetViews>
  <sheetFormatPr defaultRowHeight="12.75" x14ac:dyDescent="0.2"/>
  <sheetData>
    <row r="1" spans="1:174" x14ac:dyDescent="0.2">
      <c r="E1" t="s">
        <v>1274</v>
      </c>
      <c r="F1">
        <v>8</v>
      </c>
      <c r="G1">
        <v>12</v>
      </c>
      <c r="H1">
        <v>13</v>
      </c>
      <c r="I1">
        <v>14</v>
      </c>
      <c r="J1">
        <v>15</v>
      </c>
      <c r="K1">
        <v>16</v>
      </c>
      <c r="L1">
        <v>17</v>
      </c>
      <c r="M1">
        <v>18</v>
      </c>
      <c r="N1">
        <v>19</v>
      </c>
      <c r="O1">
        <v>20</v>
      </c>
      <c r="P1">
        <v>21</v>
      </c>
      <c r="Q1">
        <v>22</v>
      </c>
      <c r="R1">
        <v>23</v>
      </c>
      <c r="S1">
        <v>24</v>
      </c>
      <c r="T1">
        <v>25</v>
      </c>
      <c r="U1">
        <v>26</v>
      </c>
      <c r="V1">
        <v>27</v>
      </c>
      <c r="W1">
        <v>28</v>
      </c>
      <c r="X1">
        <v>29</v>
      </c>
      <c r="Y1">
        <v>30</v>
      </c>
      <c r="Z1">
        <v>31</v>
      </c>
      <c r="AA1">
        <v>32</v>
      </c>
      <c r="AB1">
        <v>33</v>
      </c>
      <c r="AC1">
        <v>34</v>
      </c>
      <c r="AD1">
        <v>35</v>
      </c>
      <c r="AE1">
        <v>36</v>
      </c>
      <c r="AF1">
        <v>37</v>
      </c>
      <c r="AG1">
        <v>52</v>
      </c>
      <c r="AH1">
        <v>53</v>
      </c>
      <c r="AI1">
        <v>54</v>
      </c>
      <c r="AJ1">
        <v>55</v>
      </c>
      <c r="AK1">
        <v>56</v>
      </c>
      <c r="AL1">
        <v>57</v>
      </c>
      <c r="AM1">
        <v>58</v>
      </c>
      <c r="AN1">
        <v>59</v>
      </c>
      <c r="AO1">
        <v>60</v>
      </c>
      <c r="AP1">
        <v>61</v>
      </c>
      <c r="AQ1">
        <v>63</v>
      </c>
      <c r="AR1">
        <v>71</v>
      </c>
      <c r="AS1">
        <v>72</v>
      </c>
      <c r="AT1">
        <v>78</v>
      </c>
      <c r="AU1">
        <v>79</v>
      </c>
      <c r="AV1">
        <v>80</v>
      </c>
      <c r="AW1">
        <v>81</v>
      </c>
      <c r="AX1">
        <v>82</v>
      </c>
      <c r="AY1">
        <v>83</v>
      </c>
      <c r="AZ1">
        <v>84</v>
      </c>
      <c r="BA1">
        <v>86</v>
      </c>
      <c r="BB1">
        <v>87</v>
      </c>
      <c r="BC1">
        <v>88</v>
      </c>
      <c r="BD1">
        <v>89</v>
      </c>
      <c r="BE1">
        <v>90</v>
      </c>
      <c r="BF1">
        <v>91</v>
      </c>
      <c r="BG1">
        <v>100</v>
      </c>
      <c r="BH1">
        <v>101</v>
      </c>
      <c r="BI1">
        <v>102</v>
      </c>
      <c r="BJ1">
        <v>103</v>
      </c>
      <c r="BK1">
        <v>104</v>
      </c>
      <c r="BL1">
        <v>105</v>
      </c>
      <c r="BM1">
        <v>106</v>
      </c>
      <c r="BN1">
        <v>107</v>
      </c>
      <c r="BO1">
        <v>108</v>
      </c>
      <c r="BP1">
        <v>109</v>
      </c>
      <c r="BQ1">
        <v>110</v>
      </c>
      <c r="BR1">
        <v>111</v>
      </c>
      <c r="BS1">
        <v>112</v>
      </c>
      <c r="BT1">
        <v>113</v>
      </c>
      <c r="BU1">
        <v>114</v>
      </c>
      <c r="BV1">
        <v>115</v>
      </c>
      <c r="BW1">
        <v>118</v>
      </c>
      <c r="BX1">
        <v>120</v>
      </c>
      <c r="BY1">
        <v>121</v>
      </c>
      <c r="BZ1">
        <v>122</v>
      </c>
      <c r="CA1">
        <v>123</v>
      </c>
      <c r="CB1">
        <v>127</v>
      </c>
      <c r="CC1">
        <v>130</v>
      </c>
      <c r="CD1">
        <v>139</v>
      </c>
      <c r="CE1">
        <v>140</v>
      </c>
      <c r="CF1">
        <v>141</v>
      </c>
      <c r="CG1">
        <v>142</v>
      </c>
      <c r="CH1">
        <v>143</v>
      </c>
      <c r="CI1">
        <v>144</v>
      </c>
      <c r="CJ1">
        <v>147</v>
      </c>
      <c r="CK1">
        <v>149</v>
      </c>
      <c r="CL1">
        <v>150</v>
      </c>
      <c r="CM1">
        <v>151</v>
      </c>
      <c r="CN1">
        <v>152</v>
      </c>
      <c r="CO1">
        <v>158</v>
      </c>
      <c r="CP1">
        <v>161</v>
      </c>
      <c r="CQ1">
        <v>164</v>
      </c>
      <c r="CR1">
        <v>167</v>
      </c>
      <c r="CS1">
        <v>4001</v>
      </c>
      <c r="CT1">
        <v>4002</v>
      </c>
      <c r="CU1">
        <v>4003</v>
      </c>
      <c r="CV1">
        <v>4005</v>
      </c>
      <c r="CW1">
        <v>4006</v>
      </c>
      <c r="CX1">
        <v>4007</v>
      </c>
      <c r="CY1">
        <v>4034</v>
      </c>
      <c r="CZ1">
        <v>4035</v>
      </c>
      <c r="DA1">
        <v>4036</v>
      </c>
      <c r="DB1">
        <v>4037</v>
      </c>
      <c r="DC1">
        <v>4038</v>
      </c>
      <c r="DD1">
        <v>4039</v>
      </c>
      <c r="DE1">
        <v>4040</v>
      </c>
      <c r="DF1">
        <v>4041</v>
      </c>
      <c r="DG1">
        <v>4042</v>
      </c>
      <c r="DH1">
        <v>4043</v>
      </c>
      <c r="DI1">
        <v>4044</v>
      </c>
      <c r="DJ1">
        <v>4045</v>
      </c>
      <c r="DK1">
        <v>4046</v>
      </c>
      <c r="DL1">
        <v>4047</v>
      </c>
      <c r="DM1">
        <v>4058</v>
      </c>
      <c r="DN1">
        <v>4060</v>
      </c>
      <c r="DO1">
        <v>4061</v>
      </c>
      <c r="DP1">
        <v>4062</v>
      </c>
      <c r="DQ1">
        <v>4063</v>
      </c>
      <c r="DR1">
        <v>4064</v>
      </c>
      <c r="DS1">
        <v>4065</v>
      </c>
      <c r="DT1">
        <v>4066</v>
      </c>
      <c r="DU1">
        <v>4069</v>
      </c>
      <c r="DV1">
        <v>4070</v>
      </c>
      <c r="DW1">
        <v>4071</v>
      </c>
      <c r="DX1">
        <v>4072</v>
      </c>
      <c r="DY1">
        <v>4073</v>
      </c>
      <c r="DZ1">
        <v>4081</v>
      </c>
      <c r="EA1">
        <v>4088</v>
      </c>
      <c r="EB1">
        <v>4089</v>
      </c>
      <c r="EC1">
        <v>4090</v>
      </c>
      <c r="ED1">
        <v>4091</v>
      </c>
      <c r="EE1">
        <v>4092</v>
      </c>
      <c r="EF1">
        <v>4093</v>
      </c>
      <c r="EG1">
        <v>4094</v>
      </c>
      <c r="EH1">
        <v>4095</v>
      </c>
      <c r="EI1">
        <v>4112</v>
      </c>
      <c r="EJ1">
        <v>4113</v>
      </c>
      <c r="EK1">
        <v>4115</v>
      </c>
      <c r="EL1">
        <v>4120</v>
      </c>
      <c r="EM1">
        <v>4121</v>
      </c>
      <c r="EN1">
        <v>4122</v>
      </c>
      <c r="EO1">
        <v>4124</v>
      </c>
      <c r="EP1">
        <v>4125</v>
      </c>
      <c r="EQ1">
        <v>4127</v>
      </c>
      <c r="ER1">
        <v>4128</v>
      </c>
      <c r="ES1">
        <v>4129</v>
      </c>
      <c r="ET1">
        <v>4130</v>
      </c>
      <c r="EU1">
        <v>4131</v>
      </c>
      <c r="EV1">
        <v>4132</v>
      </c>
      <c r="EW1">
        <v>4133</v>
      </c>
      <c r="EX1">
        <v>4134</v>
      </c>
      <c r="EY1">
        <v>4141</v>
      </c>
      <c r="EZ1">
        <v>4142</v>
      </c>
      <c r="FA1">
        <v>4144</v>
      </c>
      <c r="FB1">
        <v>4149</v>
      </c>
      <c r="FC1">
        <v>4150</v>
      </c>
      <c r="FD1">
        <v>4151</v>
      </c>
      <c r="FE1">
        <v>4152</v>
      </c>
      <c r="FF1">
        <v>4153</v>
      </c>
      <c r="FG1">
        <v>4155</v>
      </c>
      <c r="FH1">
        <v>4156</v>
      </c>
      <c r="FI1">
        <v>4158</v>
      </c>
      <c r="FJ1">
        <v>4159</v>
      </c>
      <c r="FK1">
        <v>4161</v>
      </c>
      <c r="FL1">
        <v>4162</v>
      </c>
      <c r="FM1">
        <v>4164</v>
      </c>
      <c r="FN1">
        <v>4165</v>
      </c>
      <c r="FO1">
        <v>4166</v>
      </c>
      <c r="FP1">
        <v>4167</v>
      </c>
      <c r="FQ1">
        <v>4168</v>
      </c>
      <c r="FR1">
        <v>4169</v>
      </c>
    </row>
    <row r="2" spans="1:174" x14ac:dyDescent="0.2">
      <c r="E2" t="s">
        <v>7</v>
      </c>
      <c r="F2" t="s">
        <v>515</v>
      </c>
      <c r="G2" t="s">
        <v>520</v>
      </c>
      <c r="H2" t="s">
        <v>564</v>
      </c>
      <c r="I2" t="s">
        <v>565</v>
      </c>
      <c r="J2" t="s">
        <v>566</v>
      </c>
      <c r="K2" t="s">
        <v>567</v>
      </c>
      <c r="L2" t="s">
        <v>568</v>
      </c>
      <c r="M2" t="s">
        <v>569</v>
      </c>
      <c r="N2" t="s">
        <v>570</v>
      </c>
      <c r="O2" t="s">
        <v>571</v>
      </c>
      <c r="P2" t="s">
        <v>572</v>
      </c>
      <c r="Q2" t="s">
        <v>573</v>
      </c>
      <c r="R2" t="s">
        <v>574</v>
      </c>
      <c r="S2" t="s">
        <v>575</v>
      </c>
      <c r="T2" t="s">
        <v>576</v>
      </c>
      <c r="U2" t="s">
        <v>577</v>
      </c>
      <c r="V2" t="s">
        <v>578</v>
      </c>
      <c r="W2" t="s">
        <v>579</v>
      </c>
      <c r="X2" t="s">
        <v>580</v>
      </c>
      <c r="Y2" t="s">
        <v>581</v>
      </c>
      <c r="Z2" t="s">
        <v>582</v>
      </c>
      <c r="AA2" t="s">
        <v>583</v>
      </c>
      <c r="AB2" t="s">
        <v>584</v>
      </c>
      <c r="AC2" t="s">
        <v>585</v>
      </c>
      <c r="AD2" t="s">
        <v>586</v>
      </c>
      <c r="AE2" t="s">
        <v>587</v>
      </c>
      <c r="AF2" t="s">
        <v>588</v>
      </c>
      <c r="AG2" t="s">
        <v>635</v>
      </c>
      <c r="AH2" t="s">
        <v>636</v>
      </c>
      <c r="AI2" t="s">
        <v>637</v>
      </c>
      <c r="AJ2" t="s">
        <v>638</v>
      </c>
      <c r="AK2" t="s">
        <v>639</v>
      </c>
      <c r="AL2" t="s">
        <v>1765</v>
      </c>
      <c r="AM2" t="s">
        <v>640</v>
      </c>
      <c r="AN2" t="s">
        <v>641</v>
      </c>
      <c r="AO2" t="s">
        <v>642</v>
      </c>
      <c r="AP2" t="s">
        <v>1766</v>
      </c>
      <c r="AQ2" t="s">
        <v>644</v>
      </c>
      <c r="AR2" t="s">
        <v>652</v>
      </c>
      <c r="AS2" t="s">
        <v>653</v>
      </c>
      <c r="AT2" t="s">
        <v>555</v>
      </c>
      <c r="AU2" t="s">
        <v>662</v>
      </c>
      <c r="AV2" t="s">
        <v>663</v>
      </c>
      <c r="AW2" t="s">
        <v>664</v>
      </c>
      <c r="AX2" t="s">
        <v>665</v>
      </c>
      <c r="AY2" t="s">
        <v>1512</v>
      </c>
      <c r="AZ2" t="s">
        <v>547</v>
      </c>
      <c r="BA2" t="s">
        <v>666</v>
      </c>
      <c r="BB2" t="s">
        <v>667</v>
      </c>
      <c r="BC2" t="s">
        <v>668</v>
      </c>
      <c r="BD2" t="s">
        <v>669</v>
      </c>
      <c r="BE2" t="s">
        <v>670</v>
      </c>
      <c r="BF2" t="s">
        <v>671</v>
      </c>
      <c r="BG2" t="s">
        <v>1524</v>
      </c>
      <c r="BH2" t="s">
        <v>683</v>
      </c>
      <c r="BI2" t="s">
        <v>1525</v>
      </c>
      <c r="BJ2" t="s">
        <v>1526</v>
      </c>
      <c r="BK2" t="s">
        <v>1527</v>
      </c>
      <c r="BL2" t="s">
        <v>1769</v>
      </c>
      <c r="BM2" t="s">
        <v>684</v>
      </c>
      <c r="BN2" t="s">
        <v>685</v>
      </c>
      <c r="BO2" t="s">
        <v>686</v>
      </c>
      <c r="BP2" t="s">
        <v>1770</v>
      </c>
      <c r="BQ2" t="s">
        <v>1306</v>
      </c>
      <c r="BR2" t="s">
        <v>1276</v>
      </c>
      <c r="BS2" t="s">
        <v>1277</v>
      </c>
      <c r="BT2" t="s">
        <v>1307</v>
      </c>
      <c r="BU2" t="s">
        <v>1308</v>
      </c>
      <c r="BV2" t="s">
        <v>1309</v>
      </c>
      <c r="BW2" t="s">
        <v>1291</v>
      </c>
      <c r="BX2" t="s">
        <v>1320</v>
      </c>
      <c r="BY2" t="s">
        <v>1329</v>
      </c>
      <c r="BZ2" t="s">
        <v>1335</v>
      </c>
      <c r="CA2" t="s">
        <v>1332</v>
      </c>
      <c r="CB2" t="s">
        <v>1322</v>
      </c>
      <c r="CC2" t="s">
        <v>1325</v>
      </c>
      <c r="CD2" t="s">
        <v>1533</v>
      </c>
      <c r="CE2" t="s">
        <v>1505</v>
      </c>
      <c r="CF2" t="s">
        <v>1506</v>
      </c>
      <c r="CG2" t="s">
        <v>1534</v>
      </c>
      <c r="CH2" t="s">
        <v>1535</v>
      </c>
      <c r="CI2" t="s">
        <v>1536</v>
      </c>
      <c r="CJ2" t="s">
        <v>1285</v>
      </c>
      <c r="CK2" t="s">
        <v>1550</v>
      </c>
      <c r="CL2" t="s">
        <v>1548</v>
      </c>
      <c r="CM2" t="s">
        <v>1563</v>
      </c>
      <c r="CN2" t="s">
        <v>1566</v>
      </c>
      <c r="CO2" t="s">
        <v>1553</v>
      </c>
      <c r="CP2" t="s">
        <v>1556</v>
      </c>
      <c r="CQ2" t="s">
        <v>1559</v>
      </c>
      <c r="CR2" t="s">
        <v>1772</v>
      </c>
      <c r="CS2" t="s">
        <v>512</v>
      </c>
      <c r="CT2" t="s">
        <v>513</v>
      </c>
      <c r="CU2" t="s">
        <v>514</v>
      </c>
      <c r="CV2" t="s">
        <v>516</v>
      </c>
      <c r="CW2" t="s">
        <v>517</v>
      </c>
      <c r="CX2" t="s">
        <v>519</v>
      </c>
      <c r="CY2" t="s">
        <v>623</v>
      </c>
      <c r="CZ2" t="s">
        <v>624</v>
      </c>
      <c r="DA2" t="s">
        <v>625</v>
      </c>
      <c r="DB2" t="s">
        <v>626</v>
      </c>
      <c r="DC2" t="s">
        <v>627</v>
      </c>
      <c r="DD2" t="s">
        <v>628</v>
      </c>
      <c r="DE2" t="s">
        <v>629</v>
      </c>
      <c r="DF2" t="s">
        <v>630</v>
      </c>
      <c r="DG2" t="s">
        <v>1763</v>
      </c>
      <c r="DH2" t="s">
        <v>631</v>
      </c>
      <c r="DI2" t="s">
        <v>632</v>
      </c>
      <c r="DJ2" t="s">
        <v>633</v>
      </c>
      <c r="DK2" t="s">
        <v>634</v>
      </c>
      <c r="DL2" t="s">
        <v>1764</v>
      </c>
      <c r="DM2" t="s">
        <v>643</v>
      </c>
      <c r="DN2" t="s">
        <v>645</v>
      </c>
      <c r="DO2" t="s">
        <v>646</v>
      </c>
      <c r="DP2" t="s">
        <v>647</v>
      </c>
      <c r="DQ2" t="s">
        <v>648</v>
      </c>
      <c r="DR2" t="s">
        <v>649</v>
      </c>
      <c r="DS2" t="s">
        <v>650</v>
      </c>
      <c r="DT2" t="s">
        <v>651</v>
      </c>
      <c r="DU2" t="s">
        <v>654</v>
      </c>
      <c r="DV2" t="s">
        <v>655</v>
      </c>
      <c r="DW2" t="s">
        <v>656</v>
      </c>
      <c r="DX2" t="s">
        <v>657</v>
      </c>
      <c r="DY2" t="s">
        <v>554</v>
      </c>
      <c r="DZ2" t="s">
        <v>1496</v>
      </c>
      <c r="EA2" t="s">
        <v>1513</v>
      </c>
      <c r="EB2" t="s">
        <v>1514</v>
      </c>
      <c r="EC2" t="s">
        <v>1515</v>
      </c>
      <c r="ED2" t="s">
        <v>1516</v>
      </c>
      <c r="EE2" t="s">
        <v>1517</v>
      </c>
      <c r="EF2" t="s">
        <v>1518</v>
      </c>
      <c r="EG2" t="s">
        <v>1519</v>
      </c>
      <c r="EH2" t="s">
        <v>546</v>
      </c>
      <c r="EI2" t="s">
        <v>1288</v>
      </c>
      <c r="EJ2" t="s">
        <v>1289</v>
      </c>
      <c r="EK2" t="s">
        <v>1292</v>
      </c>
      <c r="EL2" t="s">
        <v>1318</v>
      </c>
      <c r="EM2" t="s">
        <v>1319</v>
      </c>
      <c r="EN2" t="s">
        <v>1321</v>
      </c>
      <c r="EO2" t="s">
        <v>1323</v>
      </c>
      <c r="EP2" t="s">
        <v>1324</v>
      </c>
      <c r="EQ2" t="s">
        <v>1326</v>
      </c>
      <c r="ER2" t="s">
        <v>1327</v>
      </c>
      <c r="ES2" t="s">
        <v>1328</v>
      </c>
      <c r="ET2" t="s">
        <v>1330</v>
      </c>
      <c r="EU2" t="s">
        <v>1331</v>
      </c>
      <c r="EV2" t="s">
        <v>1333</v>
      </c>
      <c r="EW2" t="s">
        <v>1334</v>
      </c>
      <c r="EX2" t="s">
        <v>1336</v>
      </c>
      <c r="EY2" t="s">
        <v>1283</v>
      </c>
      <c r="EZ2" t="s">
        <v>1284</v>
      </c>
      <c r="FA2" t="s">
        <v>1286</v>
      </c>
      <c r="FB2" t="s">
        <v>1546</v>
      </c>
      <c r="FC2" t="s">
        <v>1547</v>
      </c>
      <c r="FD2" t="s">
        <v>1549</v>
      </c>
      <c r="FE2" t="s">
        <v>1551</v>
      </c>
      <c r="FF2" t="s">
        <v>1552</v>
      </c>
      <c r="FG2" t="s">
        <v>1554</v>
      </c>
      <c r="FH2" t="s">
        <v>1555</v>
      </c>
      <c r="FI2" t="s">
        <v>1557</v>
      </c>
      <c r="FJ2" t="s">
        <v>1558</v>
      </c>
      <c r="FK2" t="s">
        <v>1560</v>
      </c>
      <c r="FL2" t="s">
        <v>1561</v>
      </c>
      <c r="FM2" t="s">
        <v>1773</v>
      </c>
      <c r="FN2" t="s">
        <v>1774</v>
      </c>
      <c r="FO2" t="s">
        <v>1562</v>
      </c>
      <c r="FP2" t="s">
        <v>1564</v>
      </c>
      <c r="FQ2" t="s">
        <v>1565</v>
      </c>
      <c r="FR2" t="s">
        <v>1567</v>
      </c>
    </row>
    <row r="3" spans="1:174" x14ac:dyDescent="0.2">
      <c r="E3" t="s">
        <v>9</v>
      </c>
      <c r="F3" t="s">
        <v>1273</v>
      </c>
      <c r="G3" t="s">
        <v>1273</v>
      </c>
      <c r="H3" t="s">
        <v>1273</v>
      </c>
      <c r="I3" t="s">
        <v>1273</v>
      </c>
      <c r="J3" t="s">
        <v>1273</v>
      </c>
      <c r="K3" t="s">
        <v>1273</v>
      </c>
      <c r="L3" t="s">
        <v>1273</v>
      </c>
      <c r="M3" t="s">
        <v>1273</v>
      </c>
      <c r="N3" t="s">
        <v>1273</v>
      </c>
      <c r="O3" t="s">
        <v>1273</v>
      </c>
      <c r="P3" t="s">
        <v>1273</v>
      </c>
      <c r="Q3" t="s">
        <v>1273</v>
      </c>
      <c r="R3" t="s">
        <v>1273</v>
      </c>
      <c r="S3" t="s">
        <v>1273</v>
      </c>
      <c r="T3" t="s">
        <v>1273</v>
      </c>
      <c r="U3" t="s">
        <v>1273</v>
      </c>
      <c r="V3" t="s">
        <v>1273</v>
      </c>
      <c r="W3" t="s">
        <v>1273</v>
      </c>
      <c r="X3" t="s">
        <v>1273</v>
      </c>
      <c r="Y3" t="s">
        <v>1273</v>
      </c>
      <c r="Z3" t="s">
        <v>1273</v>
      </c>
      <c r="AA3" t="s">
        <v>1273</v>
      </c>
      <c r="AB3" t="s">
        <v>1273</v>
      </c>
      <c r="AC3" t="s">
        <v>1273</v>
      </c>
      <c r="AD3" t="s">
        <v>1273</v>
      </c>
      <c r="AE3" t="s">
        <v>1273</v>
      </c>
      <c r="AF3" t="s">
        <v>1273</v>
      </c>
      <c r="AG3" t="s">
        <v>1273</v>
      </c>
      <c r="AH3" t="s">
        <v>1273</v>
      </c>
      <c r="AI3" t="s">
        <v>1273</v>
      </c>
      <c r="AJ3" t="s">
        <v>1273</v>
      </c>
      <c r="AK3" t="s">
        <v>1273</v>
      </c>
      <c r="AL3" t="s">
        <v>1273</v>
      </c>
      <c r="AM3" t="s">
        <v>1273</v>
      </c>
      <c r="AN3" t="s">
        <v>1273</v>
      </c>
      <c r="AO3" t="s">
        <v>1273</v>
      </c>
      <c r="AP3" t="s">
        <v>1273</v>
      </c>
      <c r="AQ3" t="s">
        <v>1273</v>
      </c>
      <c r="AR3" t="s">
        <v>1273</v>
      </c>
      <c r="AS3" t="s">
        <v>1273</v>
      </c>
      <c r="AT3" t="s">
        <v>1273</v>
      </c>
      <c r="AU3" t="s">
        <v>1273</v>
      </c>
      <c r="AV3" t="s">
        <v>1273</v>
      </c>
      <c r="AW3" t="s">
        <v>1273</v>
      </c>
      <c r="AX3" t="s">
        <v>1273</v>
      </c>
      <c r="AY3" t="s">
        <v>1273</v>
      </c>
      <c r="AZ3" t="s">
        <v>1273</v>
      </c>
      <c r="BA3" t="s">
        <v>1273</v>
      </c>
      <c r="BB3" t="s">
        <v>1273</v>
      </c>
      <c r="BC3" t="s">
        <v>1273</v>
      </c>
      <c r="BD3" t="s">
        <v>1273</v>
      </c>
      <c r="BE3" t="s">
        <v>1273</v>
      </c>
      <c r="BF3" t="s">
        <v>1273</v>
      </c>
      <c r="BG3" t="s">
        <v>1273</v>
      </c>
      <c r="BH3" t="s">
        <v>1273</v>
      </c>
      <c r="BI3" t="s">
        <v>1273</v>
      </c>
      <c r="BJ3" t="s">
        <v>1273</v>
      </c>
      <c r="BK3" t="s">
        <v>1273</v>
      </c>
      <c r="BL3" t="s">
        <v>1273</v>
      </c>
      <c r="BM3" t="s">
        <v>1273</v>
      </c>
      <c r="BN3" t="s">
        <v>1273</v>
      </c>
      <c r="BO3" t="s">
        <v>1273</v>
      </c>
      <c r="BP3" t="s">
        <v>1273</v>
      </c>
      <c r="BQ3" t="s">
        <v>1273</v>
      </c>
      <c r="BR3" t="s">
        <v>1273</v>
      </c>
      <c r="BS3" t="s">
        <v>1273</v>
      </c>
      <c r="BT3" t="s">
        <v>1273</v>
      </c>
      <c r="BU3" t="s">
        <v>1273</v>
      </c>
      <c r="BV3" t="s">
        <v>1273</v>
      </c>
      <c r="BW3" t="s">
        <v>1273</v>
      </c>
      <c r="BX3" t="s">
        <v>1273</v>
      </c>
      <c r="BY3" t="s">
        <v>1273</v>
      </c>
      <c r="BZ3" t="s">
        <v>1273</v>
      </c>
      <c r="CA3" t="s">
        <v>1273</v>
      </c>
      <c r="CB3" t="s">
        <v>1273</v>
      </c>
      <c r="CC3" t="s">
        <v>1273</v>
      </c>
      <c r="CD3" t="s">
        <v>1273</v>
      </c>
      <c r="CE3" t="s">
        <v>1273</v>
      </c>
      <c r="CF3" t="s">
        <v>1273</v>
      </c>
      <c r="CG3" t="s">
        <v>1273</v>
      </c>
      <c r="CH3" t="s">
        <v>1273</v>
      </c>
      <c r="CI3" t="s">
        <v>1273</v>
      </c>
      <c r="CJ3" t="s">
        <v>1273</v>
      </c>
      <c r="CK3" t="s">
        <v>1273</v>
      </c>
      <c r="CL3" t="s">
        <v>1273</v>
      </c>
      <c r="CM3" t="s">
        <v>1273</v>
      </c>
      <c r="CN3" t="s">
        <v>1273</v>
      </c>
      <c r="CO3" t="s">
        <v>1273</v>
      </c>
      <c r="CP3" t="s">
        <v>1273</v>
      </c>
      <c r="CQ3" t="s">
        <v>1273</v>
      </c>
      <c r="CR3" t="s">
        <v>1273</v>
      </c>
      <c r="CS3" t="s">
        <v>1273</v>
      </c>
      <c r="CT3" t="s">
        <v>1273</v>
      </c>
      <c r="CU3" t="s">
        <v>1273</v>
      </c>
      <c r="CV3" t="s">
        <v>1273</v>
      </c>
      <c r="CW3" t="s">
        <v>1273</v>
      </c>
      <c r="CX3" t="s">
        <v>1273</v>
      </c>
      <c r="CY3" t="s">
        <v>1273</v>
      </c>
      <c r="CZ3" t="s">
        <v>1273</v>
      </c>
      <c r="DA3" t="s">
        <v>1273</v>
      </c>
      <c r="DB3" t="s">
        <v>1273</v>
      </c>
      <c r="DC3" t="s">
        <v>1273</v>
      </c>
      <c r="DD3" t="s">
        <v>1273</v>
      </c>
      <c r="DE3" t="s">
        <v>1273</v>
      </c>
      <c r="DF3" t="s">
        <v>1273</v>
      </c>
      <c r="DG3" t="s">
        <v>1273</v>
      </c>
      <c r="DH3" t="s">
        <v>1273</v>
      </c>
      <c r="DI3" t="s">
        <v>1273</v>
      </c>
      <c r="DJ3" t="s">
        <v>1273</v>
      </c>
      <c r="DK3" t="s">
        <v>1273</v>
      </c>
      <c r="DL3" t="s">
        <v>1273</v>
      </c>
      <c r="DM3" t="s">
        <v>1273</v>
      </c>
      <c r="DN3" t="s">
        <v>1273</v>
      </c>
      <c r="DO3" t="s">
        <v>1273</v>
      </c>
      <c r="DP3" t="s">
        <v>1273</v>
      </c>
      <c r="DQ3" t="s">
        <v>1273</v>
      </c>
      <c r="DR3" t="s">
        <v>1273</v>
      </c>
      <c r="DS3" t="s">
        <v>1273</v>
      </c>
      <c r="DT3" t="s">
        <v>1273</v>
      </c>
      <c r="DU3" t="s">
        <v>1273</v>
      </c>
      <c r="DV3" t="s">
        <v>1273</v>
      </c>
      <c r="DW3" t="s">
        <v>1273</v>
      </c>
      <c r="DX3" t="s">
        <v>1273</v>
      </c>
      <c r="DY3" t="s">
        <v>1273</v>
      </c>
      <c r="DZ3" t="s">
        <v>1273</v>
      </c>
      <c r="EA3" t="s">
        <v>1273</v>
      </c>
      <c r="EB3" t="s">
        <v>1273</v>
      </c>
      <c r="EC3" t="s">
        <v>1273</v>
      </c>
      <c r="ED3" t="s">
        <v>1273</v>
      </c>
      <c r="EE3" t="s">
        <v>1273</v>
      </c>
      <c r="EF3" t="s">
        <v>1273</v>
      </c>
      <c r="EG3" t="s">
        <v>1273</v>
      </c>
      <c r="EH3" t="s">
        <v>1273</v>
      </c>
      <c r="EI3" t="s">
        <v>1273</v>
      </c>
      <c r="EJ3" t="s">
        <v>1273</v>
      </c>
      <c r="EK3" t="s">
        <v>1273</v>
      </c>
      <c r="EL3" t="s">
        <v>1273</v>
      </c>
      <c r="EM3" t="s">
        <v>1273</v>
      </c>
      <c r="EN3" t="s">
        <v>1273</v>
      </c>
      <c r="EO3" t="s">
        <v>1273</v>
      </c>
      <c r="EP3" t="s">
        <v>1273</v>
      </c>
      <c r="EQ3" t="s">
        <v>1273</v>
      </c>
      <c r="ER3" t="s">
        <v>1273</v>
      </c>
      <c r="ES3" t="s">
        <v>1273</v>
      </c>
      <c r="ET3" t="s">
        <v>1273</v>
      </c>
      <c r="EU3" t="s">
        <v>1273</v>
      </c>
      <c r="EV3" t="s">
        <v>1273</v>
      </c>
      <c r="EW3" t="s">
        <v>1273</v>
      </c>
      <c r="EX3" t="s">
        <v>1273</v>
      </c>
      <c r="EY3" t="s">
        <v>1273</v>
      </c>
      <c r="EZ3" t="s">
        <v>1273</v>
      </c>
      <c r="FA3" t="s">
        <v>1273</v>
      </c>
      <c r="FB3" t="s">
        <v>1273</v>
      </c>
      <c r="FC3" t="s">
        <v>1273</v>
      </c>
      <c r="FD3" t="s">
        <v>1273</v>
      </c>
      <c r="FE3" t="s">
        <v>1273</v>
      </c>
      <c r="FF3" t="s">
        <v>1273</v>
      </c>
      <c r="FG3" t="s">
        <v>1273</v>
      </c>
      <c r="FH3" t="s">
        <v>1273</v>
      </c>
      <c r="FI3" t="s">
        <v>1273</v>
      </c>
      <c r="FJ3" t="s">
        <v>1273</v>
      </c>
      <c r="FK3" t="s">
        <v>1273</v>
      </c>
      <c r="FL3" t="s">
        <v>1273</v>
      </c>
      <c r="FM3" t="s">
        <v>1273</v>
      </c>
      <c r="FN3" t="s">
        <v>1273</v>
      </c>
      <c r="FO3" t="s">
        <v>1273</v>
      </c>
      <c r="FP3" t="s">
        <v>1273</v>
      </c>
      <c r="FQ3" t="s">
        <v>1273</v>
      </c>
      <c r="FR3" t="s">
        <v>1273</v>
      </c>
    </row>
    <row r="4" spans="1:174" x14ac:dyDescent="0.2">
      <c r="E4" t="s">
        <v>10</v>
      </c>
      <c r="F4" t="s">
        <v>1273</v>
      </c>
      <c r="G4" t="s">
        <v>1273</v>
      </c>
      <c r="H4" t="s">
        <v>1273</v>
      </c>
      <c r="I4" t="s">
        <v>1273</v>
      </c>
      <c r="J4" t="s">
        <v>1273</v>
      </c>
      <c r="K4" t="s">
        <v>1273</v>
      </c>
      <c r="L4" t="s">
        <v>1273</v>
      </c>
      <c r="M4" t="s">
        <v>1273</v>
      </c>
      <c r="N4" t="s">
        <v>1273</v>
      </c>
      <c r="O4" t="s">
        <v>1273</v>
      </c>
      <c r="P4" t="s">
        <v>1273</v>
      </c>
      <c r="Q4" t="s">
        <v>1273</v>
      </c>
      <c r="R4" t="s">
        <v>1273</v>
      </c>
      <c r="S4" t="s">
        <v>1273</v>
      </c>
      <c r="T4" t="s">
        <v>1273</v>
      </c>
      <c r="U4" t="s">
        <v>1273</v>
      </c>
      <c r="V4" t="s">
        <v>1273</v>
      </c>
      <c r="W4" t="s">
        <v>1273</v>
      </c>
      <c r="X4" t="s">
        <v>1273</v>
      </c>
      <c r="Y4" t="s">
        <v>1273</v>
      </c>
      <c r="Z4" t="s">
        <v>1273</v>
      </c>
      <c r="AA4" t="s">
        <v>1273</v>
      </c>
      <c r="AB4" t="s">
        <v>1273</v>
      </c>
      <c r="AC4" t="s">
        <v>1273</v>
      </c>
      <c r="AD4" t="s">
        <v>1273</v>
      </c>
      <c r="AE4" t="s">
        <v>1273</v>
      </c>
      <c r="AF4" t="s">
        <v>1273</v>
      </c>
      <c r="AG4" t="s">
        <v>1273</v>
      </c>
      <c r="AH4" t="s">
        <v>1273</v>
      </c>
      <c r="AI4" t="s">
        <v>1273</v>
      </c>
      <c r="AJ4" t="s">
        <v>1273</v>
      </c>
      <c r="AK4" t="s">
        <v>1273</v>
      </c>
      <c r="AL4" t="s">
        <v>1273</v>
      </c>
      <c r="AM4" t="s">
        <v>1273</v>
      </c>
      <c r="AN4" t="s">
        <v>1273</v>
      </c>
      <c r="AO4" t="s">
        <v>1273</v>
      </c>
      <c r="AP4" t="s">
        <v>1273</v>
      </c>
      <c r="AQ4" t="s">
        <v>1273</v>
      </c>
      <c r="AR4" t="s">
        <v>1273</v>
      </c>
      <c r="AS4" t="s">
        <v>1273</v>
      </c>
      <c r="AT4" t="s">
        <v>1273</v>
      </c>
      <c r="AU4" t="s">
        <v>1273</v>
      </c>
      <c r="AV4" t="s">
        <v>1273</v>
      </c>
      <c r="AW4" t="s">
        <v>1273</v>
      </c>
      <c r="AX4" t="s">
        <v>1273</v>
      </c>
      <c r="AY4" t="s">
        <v>1273</v>
      </c>
      <c r="AZ4" t="s">
        <v>1273</v>
      </c>
      <c r="BA4" t="s">
        <v>1273</v>
      </c>
      <c r="BB4" t="s">
        <v>1273</v>
      </c>
      <c r="BC4" t="s">
        <v>1273</v>
      </c>
      <c r="BD4" t="s">
        <v>1273</v>
      </c>
      <c r="BE4" t="s">
        <v>1273</v>
      </c>
      <c r="BF4" t="s">
        <v>1273</v>
      </c>
      <c r="BG4" t="s">
        <v>1273</v>
      </c>
      <c r="BH4" t="s">
        <v>1273</v>
      </c>
      <c r="BI4" t="s">
        <v>1273</v>
      </c>
      <c r="BJ4" t="s">
        <v>1273</v>
      </c>
      <c r="BK4" t="s">
        <v>1273</v>
      </c>
      <c r="BL4" t="s">
        <v>1273</v>
      </c>
      <c r="BM4" t="s">
        <v>1273</v>
      </c>
      <c r="BN4" t="s">
        <v>1273</v>
      </c>
      <c r="BO4" t="s">
        <v>1273</v>
      </c>
      <c r="BP4" t="s">
        <v>1273</v>
      </c>
      <c r="BQ4" t="s">
        <v>1273</v>
      </c>
      <c r="BR4" t="s">
        <v>1273</v>
      </c>
      <c r="BS4" t="s">
        <v>1273</v>
      </c>
      <c r="BT4" t="s">
        <v>1273</v>
      </c>
      <c r="BU4" t="s">
        <v>1273</v>
      </c>
      <c r="BV4" t="s">
        <v>1273</v>
      </c>
      <c r="BW4" t="s">
        <v>1273</v>
      </c>
      <c r="BX4" t="s">
        <v>1273</v>
      </c>
      <c r="BY4" t="s">
        <v>1273</v>
      </c>
      <c r="BZ4" t="s">
        <v>1273</v>
      </c>
      <c r="CA4" t="s">
        <v>1273</v>
      </c>
      <c r="CB4" t="s">
        <v>1273</v>
      </c>
      <c r="CC4" t="s">
        <v>1273</v>
      </c>
      <c r="CD4" t="s">
        <v>1273</v>
      </c>
      <c r="CE4" t="s">
        <v>1273</v>
      </c>
      <c r="CF4" t="s">
        <v>1273</v>
      </c>
      <c r="CG4" t="s">
        <v>1273</v>
      </c>
      <c r="CH4" t="s">
        <v>1273</v>
      </c>
      <c r="CI4" t="s">
        <v>1273</v>
      </c>
      <c r="CJ4" t="s">
        <v>1273</v>
      </c>
      <c r="CK4" t="s">
        <v>1273</v>
      </c>
      <c r="CL4" t="s">
        <v>1273</v>
      </c>
      <c r="CM4" t="s">
        <v>1273</v>
      </c>
      <c r="CN4" t="s">
        <v>1273</v>
      </c>
      <c r="CO4" t="s">
        <v>1273</v>
      </c>
      <c r="CP4" t="s">
        <v>1273</v>
      </c>
      <c r="CQ4" t="s">
        <v>1273</v>
      </c>
      <c r="CR4" t="s">
        <v>1273</v>
      </c>
      <c r="CS4" t="s">
        <v>1273</v>
      </c>
      <c r="CT4" t="s">
        <v>1273</v>
      </c>
      <c r="CU4" t="s">
        <v>1273</v>
      </c>
      <c r="CV4" t="s">
        <v>1273</v>
      </c>
      <c r="CW4" t="s">
        <v>1273</v>
      </c>
      <c r="CX4" t="s">
        <v>1273</v>
      </c>
      <c r="CY4" t="s">
        <v>1273</v>
      </c>
      <c r="CZ4" t="s">
        <v>1273</v>
      </c>
      <c r="DA4" t="s">
        <v>1273</v>
      </c>
      <c r="DB4" t="s">
        <v>1273</v>
      </c>
      <c r="DC4" t="s">
        <v>1273</v>
      </c>
      <c r="DD4" t="s">
        <v>1273</v>
      </c>
      <c r="DE4" t="s">
        <v>1273</v>
      </c>
      <c r="DF4" t="s">
        <v>1273</v>
      </c>
      <c r="DG4" t="s">
        <v>1273</v>
      </c>
      <c r="DH4" t="s">
        <v>1273</v>
      </c>
      <c r="DI4" t="s">
        <v>1273</v>
      </c>
      <c r="DJ4" t="s">
        <v>1273</v>
      </c>
      <c r="DK4" t="s">
        <v>1273</v>
      </c>
      <c r="DL4" t="s">
        <v>1273</v>
      </c>
      <c r="DM4" t="s">
        <v>1273</v>
      </c>
      <c r="DN4" t="s">
        <v>1273</v>
      </c>
      <c r="DO4" t="s">
        <v>1273</v>
      </c>
      <c r="DP4" t="s">
        <v>1273</v>
      </c>
      <c r="DQ4" t="s">
        <v>1273</v>
      </c>
      <c r="DR4" t="s">
        <v>1273</v>
      </c>
      <c r="DS4" t="s">
        <v>1273</v>
      </c>
      <c r="DT4" t="s">
        <v>1273</v>
      </c>
      <c r="DU4" t="s">
        <v>1273</v>
      </c>
      <c r="DV4" t="s">
        <v>1273</v>
      </c>
      <c r="DW4" t="s">
        <v>1273</v>
      </c>
      <c r="DX4" t="s">
        <v>1273</v>
      </c>
      <c r="DY4" t="s">
        <v>1273</v>
      </c>
      <c r="DZ4" t="s">
        <v>1273</v>
      </c>
      <c r="EA4" t="s">
        <v>1273</v>
      </c>
      <c r="EB4" t="s">
        <v>1273</v>
      </c>
      <c r="EC4" t="s">
        <v>1273</v>
      </c>
      <c r="ED4" t="s">
        <v>1273</v>
      </c>
      <c r="EE4" t="s">
        <v>1273</v>
      </c>
      <c r="EF4" t="s">
        <v>1273</v>
      </c>
      <c r="EG4" t="s">
        <v>1273</v>
      </c>
      <c r="EH4" t="s">
        <v>1273</v>
      </c>
      <c r="EI4" t="s">
        <v>1273</v>
      </c>
      <c r="EJ4" t="s">
        <v>1273</v>
      </c>
      <c r="EK4" t="s">
        <v>1273</v>
      </c>
      <c r="EL4" t="s">
        <v>1273</v>
      </c>
      <c r="EM4" t="s">
        <v>1273</v>
      </c>
      <c r="EN4" t="s">
        <v>1273</v>
      </c>
      <c r="EO4" t="s">
        <v>1273</v>
      </c>
      <c r="EP4" t="s">
        <v>1273</v>
      </c>
      <c r="EQ4" t="s">
        <v>1273</v>
      </c>
      <c r="ER4" t="s">
        <v>1273</v>
      </c>
      <c r="ES4" t="s">
        <v>1273</v>
      </c>
      <c r="ET4" t="s">
        <v>1273</v>
      </c>
      <c r="EU4" t="s">
        <v>1273</v>
      </c>
      <c r="EV4" t="s">
        <v>1273</v>
      </c>
      <c r="EW4" t="s">
        <v>1273</v>
      </c>
      <c r="EX4" t="s">
        <v>1273</v>
      </c>
      <c r="EY4" t="s">
        <v>1273</v>
      </c>
      <c r="EZ4" t="s">
        <v>1273</v>
      </c>
      <c r="FA4" t="s">
        <v>1273</v>
      </c>
      <c r="FB4" t="s">
        <v>1273</v>
      </c>
      <c r="FC4" t="s">
        <v>1273</v>
      </c>
      <c r="FD4" t="s">
        <v>1273</v>
      </c>
      <c r="FE4" t="s">
        <v>1273</v>
      </c>
      <c r="FF4" t="s">
        <v>1273</v>
      </c>
      <c r="FG4" t="s">
        <v>1273</v>
      </c>
      <c r="FH4" t="s">
        <v>1273</v>
      </c>
      <c r="FI4" t="s">
        <v>1273</v>
      </c>
      <c r="FJ4" t="s">
        <v>1273</v>
      </c>
      <c r="FK4" t="s">
        <v>1273</v>
      </c>
      <c r="FL4" t="s">
        <v>1273</v>
      </c>
      <c r="FM4" t="s">
        <v>1273</v>
      </c>
      <c r="FN4" t="s">
        <v>1273</v>
      </c>
      <c r="FO4" t="s">
        <v>1273</v>
      </c>
      <c r="FP4" t="s">
        <v>1273</v>
      </c>
      <c r="FQ4" t="s">
        <v>1273</v>
      </c>
      <c r="FR4" t="s">
        <v>1273</v>
      </c>
    </row>
    <row r="5" spans="1:174" x14ac:dyDescent="0.2">
      <c r="A5" t="s">
        <v>1274</v>
      </c>
      <c r="B5" t="s">
        <v>6</v>
      </c>
      <c r="C5" t="s">
        <v>9</v>
      </c>
      <c r="D5" t="s">
        <v>10</v>
      </c>
      <c r="E5" t="s">
        <v>100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  <c r="P5">
        <v>4</v>
      </c>
      <c r="Q5">
        <v>4</v>
      </c>
      <c r="R5">
        <v>4</v>
      </c>
      <c r="S5">
        <v>4</v>
      </c>
      <c r="T5">
        <v>4</v>
      </c>
      <c r="U5">
        <v>4</v>
      </c>
      <c r="V5">
        <v>4</v>
      </c>
      <c r="W5">
        <v>4</v>
      </c>
      <c r="X5">
        <v>4</v>
      </c>
      <c r="Y5">
        <v>4</v>
      </c>
      <c r="Z5">
        <v>4</v>
      </c>
      <c r="AA5">
        <v>4</v>
      </c>
      <c r="AB5">
        <v>4</v>
      </c>
      <c r="AC5">
        <v>4</v>
      </c>
      <c r="AD5">
        <v>4</v>
      </c>
      <c r="AE5">
        <v>4</v>
      </c>
      <c r="AF5">
        <v>4</v>
      </c>
      <c r="AG5">
        <v>4</v>
      </c>
      <c r="AH5">
        <v>4</v>
      </c>
      <c r="AI5">
        <v>4</v>
      </c>
      <c r="AJ5">
        <v>4</v>
      </c>
      <c r="AK5">
        <v>4</v>
      </c>
      <c r="AL5">
        <v>4</v>
      </c>
      <c r="AM5">
        <v>4</v>
      </c>
      <c r="AN5">
        <v>4</v>
      </c>
      <c r="AO5">
        <v>4</v>
      </c>
      <c r="AP5">
        <v>4</v>
      </c>
      <c r="AQ5">
        <v>4</v>
      </c>
      <c r="AR5">
        <v>4</v>
      </c>
      <c r="AS5">
        <v>4</v>
      </c>
      <c r="AT5">
        <v>4</v>
      </c>
      <c r="AU5">
        <v>4</v>
      </c>
      <c r="AV5">
        <v>4</v>
      </c>
      <c r="AW5">
        <v>4</v>
      </c>
      <c r="AX5">
        <v>4</v>
      </c>
      <c r="AY5">
        <v>4</v>
      </c>
      <c r="AZ5">
        <v>4</v>
      </c>
      <c r="BA5">
        <v>4</v>
      </c>
      <c r="BB5">
        <v>4</v>
      </c>
      <c r="BC5">
        <v>4</v>
      </c>
      <c r="BD5">
        <v>4</v>
      </c>
      <c r="BE5">
        <v>4</v>
      </c>
      <c r="BF5">
        <v>4</v>
      </c>
      <c r="BG5">
        <v>4</v>
      </c>
      <c r="BH5">
        <v>4</v>
      </c>
      <c r="BI5">
        <v>4</v>
      </c>
      <c r="BJ5">
        <v>4</v>
      </c>
      <c r="BK5">
        <v>4</v>
      </c>
      <c r="BL5">
        <v>4</v>
      </c>
      <c r="BM5">
        <v>4</v>
      </c>
      <c r="BN5">
        <v>4</v>
      </c>
      <c r="BO5">
        <v>4</v>
      </c>
      <c r="BP5">
        <v>4</v>
      </c>
      <c r="BQ5">
        <v>4</v>
      </c>
      <c r="BR5">
        <v>4</v>
      </c>
      <c r="BS5">
        <v>4</v>
      </c>
      <c r="BT5">
        <v>4</v>
      </c>
      <c r="BU5">
        <v>4</v>
      </c>
      <c r="BV5">
        <v>4</v>
      </c>
      <c r="BW5">
        <v>4</v>
      </c>
      <c r="BX5">
        <v>4</v>
      </c>
      <c r="BY5">
        <v>4</v>
      </c>
      <c r="BZ5">
        <v>4</v>
      </c>
      <c r="CA5">
        <v>4</v>
      </c>
      <c r="CB5">
        <v>4</v>
      </c>
      <c r="CC5">
        <v>4</v>
      </c>
      <c r="CD5">
        <v>4</v>
      </c>
      <c r="CE5">
        <v>4</v>
      </c>
      <c r="CF5">
        <v>4</v>
      </c>
      <c r="CG5">
        <v>4</v>
      </c>
      <c r="CH5">
        <v>4</v>
      </c>
      <c r="CI5">
        <v>4</v>
      </c>
      <c r="CJ5">
        <v>4</v>
      </c>
      <c r="CK5">
        <v>4</v>
      </c>
      <c r="CL5">
        <v>4</v>
      </c>
      <c r="CM5">
        <v>4</v>
      </c>
      <c r="CN5">
        <v>4</v>
      </c>
      <c r="CO5">
        <v>4</v>
      </c>
      <c r="CP5">
        <v>4</v>
      </c>
      <c r="CQ5">
        <v>4</v>
      </c>
      <c r="CR5">
        <v>4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</row>
    <row r="6" spans="1:174" x14ac:dyDescent="0.2">
      <c r="A6">
        <v>2</v>
      </c>
      <c r="B6" t="s">
        <v>557</v>
      </c>
      <c r="C6" t="s">
        <v>1273</v>
      </c>
      <c r="D6" t="s">
        <v>1273</v>
      </c>
      <c r="E6">
        <v>1</v>
      </c>
      <c r="H6">
        <v>-1</v>
      </c>
      <c r="CU6">
        <v>1</v>
      </c>
    </row>
    <row r="7" spans="1:174" x14ac:dyDescent="0.2">
      <c r="A7">
        <v>3</v>
      </c>
      <c r="B7" t="s">
        <v>558</v>
      </c>
      <c r="C7" t="s">
        <v>1273</v>
      </c>
      <c r="D7" t="s">
        <v>1273</v>
      </c>
      <c r="E7">
        <v>1</v>
      </c>
      <c r="F7">
        <v>1</v>
      </c>
      <c r="I7">
        <v>-1</v>
      </c>
    </row>
    <row r="8" spans="1:174" x14ac:dyDescent="0.2">
      <c r="A8">
        <v>4</v>
      </c>
      <c r="B8" t="s">
        <v>559</v>
      </c>
      <c r="C8" t="s">
        <v>1273</v>
      </c>
      <c r="D8" t="s">
        <v>1273</v>
      </c>
      <c r="E8">
        <v>1</v>
      </c>
      <c r="J8">
        <v>-1</v>
      </c>
      <c r="CV8">
        <v>1</v>
      </c>
    </row>
    <row r="9" spans="1:174" x14ac:dyDescent="0.2">
      <c r="A9">
        <v>5</v>
      </c>
      <c r="B9" t="s">
        <v>560</v>
      </c>
      <c r="C9" t="s">
        <v>1273</v>
      </c>
      <c r="D9" t="s">
        <v>1273</v>
      </c>
      <c r="E9">
        <v>1</v>
      </c>
      <c r="K9">
        <v>-1</v>
      </c>
      <c r="CW9">
        <v>1</v>
      </c>
    </row>
    <row r="10" spans="1:174" x14ac:dyDescent="0.2">
      <c r="A10">
        <v>6</v>
      </c>
      <c r="B10" t="s">
        <v>561</v>
      </c>
      <c r="C10" t="s">
        <v>1273</v>
      </c>
      <c r="D10" t="s">
        <v>1273</v>
      </c>
      <c r="E10">
        <v>1</v>
      </c>
      <c r="L10">
        <v>-1</v>
      </c>
      <c r="CX10">
        <v>1</v>
      </c>
    </row>
    <row r="11" spans="1:174" x14ac:dyDescent="0.2">
      <c r="A11">
        <v>7</v>
      </c>
      <c r="B11" t="s">
        <v>562</v>
      </c>
      <c r="C11" t="s">
        <v>1273</v>
      </c>
      <c r="D11" t="s">
        <v>1273</v>
      </c>
      <c r="E11">
        <v>1</v>
      </c>
      <c r="G11">
        <v>1</v>
      </c>
      <c r="M11">
        <v>-1</v>
      </c>
    </row>
    <row r="12" spans="1:174" x14ac:dyDescent="0.2">
      <c r="A12">
        <v>8</v>
      </c>
      <c r="B12" t="s">
        <v>563</v>
      </c>
      <c r="C12" t="s">
        <v>1273</v>
      </c>
      <c r="D12" t="s">
        <v>1273</v>
      </c>
      <c r="E12">
        <v>1</v>
      </c>
      <c r="N12">
        <v>-1</v>
      </c>
      <c r="CS12">
        <v>1.4</v>
      </c>
      <c r="CT12">
        <v>-2.54</v>
      </c>
    </row>
    <row r="13" spans="1:174" x14ac:dyDescent="0.2">
      <c r="A13">
        <v>28</v>
      </c>
      <c r="B13" t="s">
        <v>589</v>
      </c>
      <c r="C13" t="s">
        <v>1273</v>
      </c>
      <c r="D13" t="s">
        <v>1273</v>
      </c>
      <c r="E13">
        <v>1</v>
      </c>
      <c r="H13">
        <v>-1.799919041287755</v>
      </c>
      <c r="J13">
        <v>9</v>
      </c>
      <c r="N13">
        <v>0.80000410278826484</v>
      </c>
      <c r="Q13">
        <v>-0.80000410278826484</v>
      </c>
      <c r="CY13">
        <v>15.999370185596792</v>
      </c>
    </row>
    <row r="14" spans="1:174" x14ac:dyDescent="0.2">
      <c r="A14">
        <v>29</v>
      </c>
      <c r="B14" t="s">
        <v>590</v>
      </c>
      <c r="C14" t="s">
        <v>1273</v>
      </c>
      <c r="D14" t="s">
        <v>1273</v>
      </c>
      <c r="E14">
        <v>1</v>
      </c>
      <c r="H14">
        <v>-1.7998952122643948</v>
      </c>
      <c r="K14">
        <v>9</v>
      </c>
      <c r="Q14">
        <v>0.80000410278826484</v>
      </c>
      <c r="X14">
        <v>-0.80000410278826484</v>
      </c>
      <c r="CY14">
        <v>15.999160954074833</v>
      </c>
    </row>
    <row r="15" spans="1:174" x14ac:dyDescent="0.2">
      <c r="A15">
        <v>30</v>
      </c>
      <c r="B15" t="s">
        <v>591</v>
      </c>
      <c r="C15" t="s">
        <v>1273</v>
      </c>
      <c r="D15" t="s">
        <v>1273</v>
      </c>
      <c r="E15">
        <v>1</v>
      </c>
      <c r="H15">
        <v>-1.7999245580932017</v>
      </c>
      <c r="L15">
        <v>9</v>
      </c>
      <c r="X15">
        <v>0.80000410278826484</v>
      </c>
      <c r="AD15">
        <v>-0.80000410278826484</v>
      </c>
      <c r="CY15">
        <v>15.999418626361553</v>
      </c>
    </row>
    <row r="16" spans="1:174" x14ac:dyDescent="0.2">
      <c r="A16">
        <v>34</v>
      </c>
      <c r="B16" t="s">
        <v>595</v>
      </c>
      <c r="C16" t="s">
        <v>1273</v>
      </c>
      <c r="D16" t="s">
        <v>1273</v>
      </c>
      <c r="E16">
        <v>1</v>
      </c>
      <c r="N16">
        <v>-0.2775659090864725</v>
      </c>
      <c r="AG16">
        <v>-1</v>
      </c>
      <c r="DA16">
        <v>-0.27801463484985273</v>
      </c>
      <c r="DB16">
        <v>-0.27801463484985273</v>
      </c>
    </row>
    <row r="17" spans="1:120" x14ac:dyDescent="0.2">
      <c r="A17">
        <v>35</v>
      </c>
      <c r="B17" t="s">
        <v>596</v>
      </c>
      <c r="C17" t="s">
        <v>1273</v>
      </c>
      <c r="D17" t="s">
        <v>1273</v>
      </c>
      <c r="E17">
        <v>1</v>
      </c>
      <c r="N17">
        <v>0</v>
      </c>
      <c r="AH17">
        <v>-1</v>
      </c>
      <c r="DB17">
        <v>-0.50487548384658187</v>
      </c>
    </row>
    <row r="18" spans="1:120" x14ac:dyDescent="0.2">
      <c r="A18">
        <v>36</v>
      </c>
      <c r="B18" t="s">
        <v>597</v>
      </c>
      <c r="C18" t="s">
        <v>1273</v>
      </c>
      <c r="D18" t="s">
        <v>1273</v>
      </c>
      <c r="E18">
        <v>1</v>
      </c>
      <c r="Q18">
        <v>-0.27754091293060429</v>
      </c>
      <c r="AI18">
        <v>-1</v>
      </c>
      <c r="DD18">
        <v>-0.27804698640156278</v>
      </c>
      <c r="DE18">
        <v>-0.27804698640156278</v>
      </c>
      <c r="DF18">
        <v>-0.27804698640156278</v>
      </c>
      <c r="DG18">
        <v>-0.27804698640156278</v>
      </c>
    </row>
    <row r="19" spans="1:120" x14ac:dyDescent="0.2">
      <c r="A19">
        <v>37</v>
      </c>
      <c r="B19" t="s">
        <v>598</v>
      </c>
      <c r="C19" t="s">
        <v>1273</v>
      </c>
      <c r="D19" t="s">
        <v>1273</v>
      </c>
      <c r="E19">
        <v>1</v>
      </c>
      <c r="Q19">
        <v>-5.5292814933886533E-2</v>
      </c>
      <c r="AJ19">
        <v>-1</v>
      </c>
      <c r="DE19">
        <v>-0.50029508439828052</v>
      </c>
      <c r="DF19">
        <v>-0.50029508439828052</v>
      </c>
      <c r="DG19">
        <v>-0.50029508439828052</v>
      </c>
    </row>
    <row r="20" spans="1:120" x14ac:dyDescent="0.2">
      <c r="A20">
        <v>38</v>
      </c>
      <c r="B20" t="s">
        <v>599</v>
      </c>
      <c r="C20" t="s">
        <v>1273</v>
      </c>
      <c r="D20" t="s">
        <v>1273</v>
      </c>
      <c r="E20">
        <v>1</v>
      </c>
      <c r="Q20">
        <v>0</v>
      </c>
      <c r="AK20">
        <v>-1</v>
      </c>
      <c r="DF20">
        <v>-0.31438954505529859</v>
      </c>
      <c r="DG20">
        <v>-0.31438954505529859</v>
      </c>
    </row>
    <row r="21" spans="1:120" x14ac:dyDescent="0.2">
      <c r="A21">
        <v>39</v>
      </c>
      <c r="B21" t="s">
        <v>1761</v>
      </c>
      <c r="C21" t="s">
        <v>1273</v>
      </c>
      <c r="D21" t="s">
        <v>1273</v>
      </c>
      <c r="E21">
        <v>1</v>
      </c>
      <c r="Q21">
        <v>0</v>
      </c>
      <c r="AL21">
        <v>-1</v>
      </c>
      <c r="DG21">
        <v>-0.26449657106736529</v>
      </c>
    </row>
    <row r="22" spans="1:120" x14ac:dyDescent="0.2">
      <c r="A22">
        <v>40</v>
      </c>
      <c r="B22" t="s">
        <v>600</v>
      </c>
      <c r="C22" t="s">
        <v>1273</v>
      </c>
      <c r="D22" t="s">
        <v>1273</v>
      </c>
      <c r="E22">
        <v>1</v>
      </c>
      <c r="X22">
        <v>0</v>
      </c>
      <c r="AM22">
        <v>-1</v>
      </c>
      <c r="DI22">
        <v>0</v>
      </c>
      <c r="DJ22">
        <v>0</v>
      </c>
      <c r="DK22">
        <v>0</v>
      </c>
      <c r="DL22">
        <v>0</v>
      </c>
    </row>
    <row r="23" spans="1:120" x14ac:dyDescent="0.2">
      <c r="A23">
        <v>41</v>
      </c>
      <c r="B23" t="s">
        <v>601</v>
      </c>
      <c r="C23" t="s">
        <v>1273</v>
      </c>
      <c r="D23" t="s">
        <v>1273</v>
      </c>
      <c r="E23">
        <v>1</v>
      </c>
      <c r="X23">
        <v>0</v>
      </c>
      <c r="AN23">
        <v>-1</v>
      </c>
      <c r="DJ23">
        <v>0</v>
      </c>
      <c r="DK23">
        <v>0</v>
      </c>
      <c r="DL23">
        <v>0</v>
      </c>
    </row>
    <row r="24" spans="1:120" x14ac:dyDescent="0.2">
      <c r="A24">
        <v>42</v>
      </c>
      <c r="B24" t="s">
        <v>602</v>
      </c>
      <c r="C24" t="s">
        <v>1273</v>
      </c>
      <c r="D24" t="s">
        <v>1273</v>
      </c>
      <c r="E24">
        <v>1</v>
      </c>
      <c r="X24">
        <v>-0.12934800915297454</v>
      </c>
      <c r="AO24">
        <v>-1</v>
      </c>
      <c r="DK24">
        <v>-0.42623083191766276</v>
      </c>
      <c r="DL24">
        <v>-0.42623083191766276</v>
      </c>
    </row>
    <row r="25" spans="1:120" x14ac:dyDescent="0.2">
      <c r="A25">
        <v>43</v>
      </c>
      <c r="B25" t="s">
        <v>1762</v>
      </c>
      <c r="C25" t="s">
        <v>1273</v>
      </c>
      <c r="D25" t="s">
        <v>1273</v>
      </c>
      <c r="E25">
        <v>1</v>
      </c>
      <c r="X25">
        <v>0</v>
      </c>
      <c r="AP25">
        <v>-1</v>
      </c>
      <c r="DL25">
        <v>-0.50482814165525181</v>
      </c>
    </row>
    <row r="26" spans="1:120" x14ac:dyDescent="0.2">
      <c r="A26">
        <v>44</v>
      </c>
      <c r="B26" t="s">
        <v>603</v>
      </c>
      <c r="C26" t="s">
        <v>1273</v>
      </c>
      <c r="D26" t="s">
        <v>1273</v>
      </c>
      <c r="E26">
        <v>1</v>
      </c>
      <c r="N26">
        <v>1.5795746402230386E-4</v>
      </c>
      <c r="O26">
        <v>-1</v>
      </c>
      <c r="Q26">
        <v>1.506908231841052E-4</v>
      </c>
      <c r="DM26">
        <v>-6.5341865346016353E-2</v>
      </c>
    </row>
    <row r="27" spans="1:120" x14ac:dyDescent="0.2">
      <c r="A27">
        <v>45</v>
      </c>
      <c r="B27" t="s">
        <v>604</v>
      </c>
      <c r="C27" t="s">
        <v>1273</v>
      </c>
      <c r="D27" t="s">
        <v>1273</v>
      </c>
      <c r="E27">
        <v>1</v>
      </c>
      <c r="Q27">
        <v>1.383577183175165E-4</v>
      </c>
      <c r="V27">
        <v>-1</v>
      </c>
      <c r="X27">
        <v>1.3308664302536224E-4</v>
      </c>
      <c r="DM27">
        <v>-6.9662090026887627E-2</v>
      </c>
    </row>
    <row r="28" spans="1:120" x14ac:dyDescent="0.2">
      <c r="A28">
        <v>46</v>
      </c>
      <c r="B28" t="s">
        <v>605</v>
      </c>
      <c r="C28" t="s">
        <v>1273</v>
      </c>
      <c r="D28" t="s">
        <v>1273</v>
      </c>
      <c r="E28">
        <v>1</v>
      </c>
      <c r="X28">
        <v>1.2389401088029782E-4</v>
      </c>
      <c r="AB28">
        <v>-1</v>
      </c>
      <c r="AD28">
        <v>1.1986567308672791E-4</v>
      </c>
      <c r="DM28">
        <v>-7.3503020072238065E-2</v>
      </c>
    </row>
    <row r="29" spans="1:120" x14ac:dyDescent="0.2">
      <c r="A29">
        <v>47</v>
      </c>
      <c r="B29" t="s">
        <v>606</v>
      </c>
      <c r="C29" t="s">
        <v>1273</v>
      </c>
      <c r="D29" t="s">
        <v>1273</v>
      </c>
      <c r="E29">
        <v>1</v>
      </c>
      <c r="N29">
        <v>4.7253989867321905E-2</v>
      </c>
      <c r="Q29">
        <v>5.0648850098417686E-2</v>
      </c>
      <c r="AQ29">
        <v>-1</v>
      </c>
      <c r="DM29">
        <v>30.526691084376584</v>
      </c>
    </row>
    <row r="30" spans="1:120" x14ac:dyDescent="0.2">
      <c r="A30">
        <v>48</v>
      </c>
      <c r="B30" t="s">
        <v>607</v>
      </c>
      <c r="C30" t="s">
        <v>1273</v>
      </c>
      <c r="D30" t="s">
        <v>1273</v>
      </c>
      <c r="E30">
        <v>1</v>
      </c>
      <c r="Q30">
        <v>-1.2449460979849961E-2</v>
      </c>
      <c r="U30">
        <v>-1</v>
      </c>
      <c r="X30">
        <v>-1.062768849059699E-2</v>
      </c>
      <c r="DM30">
        <v>24.076392789104048</v>
      </c>
    </row>
    <row r="31" spans="1:120" x14ac:dyDescent="0.2">
      <c r="A31">
        <v>49</v>
      </c>
      <c r="B31" t="s">
        <v>608</v>
      </c>
      <c r="C31" t="s">
        <v>1273</v>
      </c>
      <c r="D31" t="s">
        <v>1273</v>
      </c>
      <c r="E31">
        <v>1</v>
      </c>
      <c r="X31">
        <v>-5.9111771815612106E-2</v>
      </c>
      <c r="AA31">
        <v>-1</v>
      </c>
      <c r="AD31">
        <v>-5.8049812319813043E-2</v>
      </c>
      <c r="DM31">
        <v>19.377031951049005</v>
      </c>
    </row>
    <row r="32" spans="1:120" x14ac:dyDescent="0.2">
      <c r="A32">
        <v>50</v>
      </c>
      <c r="B32" t="s">
        <v>609</v>
      </c>
      <c r="C32" t="s">
        <v>1273</v>
      </c>
      <c r="D32" t="s">
        <v>1273</v>
      </c>
      <c r="E32">
        <v>1</v>
      </c>
      <c r="N32">
        <v>0.47813832385471838</v>
      </c>
      <c r="Q32">
        <v>0.12361528351987809</v>
      </c>
      <c r="S32">
        <v>-1</v>
      </c>
      <c r="DN32">
        <v>357.00986881470254</v>
      </c>
      <c r="DO32">
        <v>1.0534178949000539</v>
      </c>
      <c r="DP32">
        <v>1</v>
      </c>
    </row>
    <row r="33" spans="1:138" x14ac:dyDescent="0.2">
      <c r="A33">
        <v>51</v>
      </c>
      <c r="B33" t="s">
        <v>610</v>
      </c>
      <c r="C33" t="s">
        <v>1273</v>
      </c>
      <c r="D33" t="s">
        <v>1273</v>
      </c>
      <c r="E33">
        <v>1</v>
      </c>
      <c r="Q33">
        <v>0.43162030908057664</v>
      </c>
      <c r="X33">
        <v>0.15999781325516541</v>
      </c>
      <c r="Z33">
        <v>-1</v>
      </c>
      <c r="DN33">
        <v>549.52892028862891</v>
      </c>
      <c r="DO33">
        <v>1.0356749164075685</v>
      </c>
      <c r="DQ33">
        <v>1</v>
      </c>
    </row>
    <row r="34" spans="1:138" x14ac:dyDescent="0.2">
      <c r="A34">
        <v>52</v>
      </c>
      <c r="B34" t="s">
        <v>611</v>
      </c>
      <c r="C34" t="s">
        <v>1273</v>
      </c>
      <c r="D34" t="s">
        <v>1273</v>
      </c>
      <c r="E34">
        <v>1</v>
      </c>
      <c r="X34">
        <v>0.39777596010503297</v>
      </c>
      <c r="AD34">
        <v>0.18722200909421971</v>
      </c>
      <c r="AF34">
        <v>-1</v>
      </c>
      <c r="DN34">
        <v>736.84750043945678</v>
      </c>
      <c r="DO34">
        <v>1.0240858080158766</v>
      </c>
      <c r="DR34">
        <v>1</v>
      </c>
    </row>
    <row r="35" spans="1:138" x14ac:dyDescent="0.2">
      <c r="A35">
        <v>53</v>
      </c>
      <c r="B35" t="s">
        <v>612</v>
      </c>
      <c r="C35" t="s">
        <v>1273</v>
      </c>
      <c r="D35" t="s">
        <v>1273</v>
      </c>
      <c r="E35">
        <v>1</v>
      </c>
      <c r="N35">
        <v>4.0780910625517235</v>
      </c>
      <c r="P35">
        <v>-1</v>
      </c>
      <c r="Q35">
        <v>4.5269370709666585</v>
      </c>
      <c r="DS35">
        <v>394.24173083077898</v>
      </c>
      <c r="DT35">
        <v>1</v>
      </c>
    </row>
    <row r="36" spans="1:138" x14ac:dyDescent="0.2">
      <c r="A36">
        <v>54</v>
      </c>
      <c r="B36" t="s">
        <v>613</v>
      </c>
      <c r="C36" t="s">
        <v>1273</v>
      </c>
      <c r="D36" t="s">
        <v>1273</v>
      </c>
      <c r="E36">
        <v>1</v>
      </c>
      <c r="Q36">
        <v>4.1639608577345104</v>
      </c>
      <c r="W36">
        <v>-1</v>
      </c>
      <c r="X36">
        <v>4.4689285951941331</v>
      </c>
      <c r="DS36">
        <v>573.497317738368</v>
      </c>
      <c r="DT36">
        <v>1</v>
      </c>
    </row>
    <row r="37" spans="1:138" x14ac:dyDescent="0.2">
      <c r="A37">
        <v>55</v>
      </c>
      <c r="B37" t="s">
        <v>614</v>
      </c>
      <c r="C37" t="s">
        <v>1273</v>
      </c>
      <c r="D37" t="s">
        <v>1273</v>
      </c>
      <c r="E37">
        <v>1</v>
      </c>
      <c r="X37">
        <v>4.205931337800199</v>
      </c>
      <c r="AC37">
        <v>-1</v>
      </c>
      <c r="AD37">
        <v>4.4371730613998333</v>
      </c>
      <c r="DS37">
        <v>753.10842027655372</v>
      </c>
      <c r="DT37">
        <v>1</v>
      </c>
    </row>
    <row r="38" spans="1:138" x14ac:dyDescent="0.2">
      <c r="A38">
        <v>56</v>
      </c>
      <c r="B38" t="s">
        <v>615</v>
      </c>
      <c r="C38" t="s">
        <v>1273</v>
      </c>
      <c r="D38" t="s">
        <v>1273</v>
      </c>
      <c r="E38">
        <v>1</v>
      </c>
      <c r="W38">
        <v>0.49977937035505809</v>
      </c>
      <c r="AI38">
        <v>-40.003444904189337</v>
      </c>
      <c r="AR38">
        <v>-1</v>
      </c>
    </row>
    <row r="39" spans="1:138" x14ac:dyDescent="0.2">
      <c r="A39">
        <v>57</v>
      </c>
      <c r="B39" t="s">
        <v>616</v>
      </c>
      <c r="C39" t="s">
        <v>1273</v>
      </c>
      <c r="D39" t="s">
        <v>1273</v>
      </c>
      <c r="E39">
        <v>1</v>
      </c>
      <c r="AC39">
        <v>0.99999255944237619</v>
      </c>
      <c r="AM39">
        <v>-55.552328747859747</v>
      </c>
      <c r="AS39">
        <v>-1</v>
      </c>
    </row>
    <row r="40" spans="1:138" x14ac:dyDescent="0.2">
      <c r="A40">
        <v>58</v>
      </c>
      <c r="B40" t="s">
        <v>617</v>
      </c>
      <c r="C40" t="s">
        <v>1273</v>
      </c>
      <c r="D40" t="s">
        <v>1273</v>
      </c>
      <c r="E40">
        <v>1</v>
      </c>
      <c r="N40">
        <v>0.10630318428863625</v>
      </c>
      <c r="Q40">
        <v>0.25690268201613892</v>
      </c>
      <c r="R40">
        <v>-1</v>
      </c>
      <c r="DU40">
        <v>429.24318926511211</v>
      </c>
      <c r="DV40">
        <v>1</v>
      </c>
    </row>
    <row r="41" spans="1:138" x14ac:dyDescent="0.2">
      <c r="A41">
        <v>59</v>
      </c>
      <c r="B41" t="s">
        <v>618</v>
      </c>
      <c r="C41" t="s">
        <v>1273</v>
      </c>
      <c r="D41" t="s">
        <v>1273</v>
      </c>
      <c r="E41">
        <v>1</v>
      </c>
      <c r="Q41">
        <v>0.10630397291407567</v>
      </c>
      <c r="X41">
        <v>0.25690189339069958</v>
      </c>
      <c r="Y41">
        <v>-1</v>
      </c>
      <c r="DU41">
        <v>609.23301711047293</v>
      </c>
      <c r="DV41">
        <v>1</v>
      </c>
    </row>
    <row r="42" spans="1:138" x14ac:dyDescent="0.2">
      <c r="A42">
        <v>60</v>
      </c>
      <c r="B42" t="s">
        <v>619</v>
      </c>
      <c r="C42" t="s">
        <v>1273</v>
      </c>
      <c r="D42" t="s">
        <v>1273</v>
      </c>
      <c r="E42">
        <v>1</v>
      </c>
      <c r="X42">
        <v>0.10630300170999332</v>
      </c>
      <c r="AD42">
        <v>0.25690286459478201</v>
      </c>
      <c r="AE42">
        <v>-1</v>
      </c>
      <c r="DU42">
        <v>789.22509531462754</v>
      </c>
      <c r="DV42">
        <v>1</v>
      </c>
    </row>
    <row r="43" spans="1:138" x14ac:dyDescent="0.2">
      <c r="A43">
        <v>61</v>
      </c>
      <c r="B43" t="s">
        <v>620</v>
      </c>
      <c r="C43" t="s">
        <v>1273</v>
      </c>
      <c r="D43" t="s">
        <v>1273</v>
      </c>
      <c r="E43">
        <v>1</v>
      </c>
      <c r="N43">
        <v>7.2849310205956239E-2</v>
      </c>
      <c r="Q43">
        <v>0.11794333473573225</v>
      </c>
      <c r="T43">
        <v>-1</v>
      </c>
      <c r="DW43">
        <v>413.19794250768661</v>
      </c>
      <c r="DX43">
        <v>1</v>
      </c>
    </row>
    <row r="44" spans="1:138" x14ac:dyDescent="0.2">
      <c r="A44">
        <v>62</v>
      </c>
      <c r="B44" t="s">
        <v>621</v>
      </c>
      <c r="C44" t="s">
        <v>1273</v>
      </c>
      <c r="D44" t="s">
        <v>1273</v>
      </c>
      <c r="E44">
        <v>1</v>
      </c>
      <c r="H44">
        <v>0.19999896641903545</v>
      </c>
      <c r="I44">
        <v>-1</v>
      </c>
      <c r="N44">
        <v>8.8889344754251642E-2</v>
      </c>
    </row>
    <row r="45" spans="1:138" x14ac:dyDescent="0.2">
      <c r="A45">
        <v>63</v>
      </c>
      <c r="B45" t="s">
        <v>622</v>
      </c>
      <c r="C45" t="s">
        <v>1273</v>
      </c>
      <c r="D45" t="s">
        <v>1273</v>
      </c>
      <c r="E45">
        <v>1</v>
      </c>
      <c r="H45">
        <v>1</v>
      </c>
      <c r="I45">
        <v>-1</v>
      </c>
      <c r="J45">
        <v>-1</v>
      </c>
      <c r="K45">
        <v>-1</v>
      </c>
      <c r="L45">
        <v>-1</v>
      </c>
      <c r="M45">
        <v>-1</v>
      </c>
    </row>
    <row r="46" spans="1:138" x14ac:dyDescent="0.2">
      <c r="A46">
        <v>64</v>
      </c>
      <c r="B46" t="s">
        <v>556</v>
      </c>
      <c r="C46" t="s">
        <v>1273</v>
      </c>
      <c r="D46" t="s">
        <v>1273</v>
      </c>
      <c r="E46">
        <v>1</v>
      </c>
      <c r="AT46">
        <v>-1</v>
      </c>
      <c r="CV46">
        <v>1</v>
      </c>
      <c r="DY46">
        <v>-1</v>
      </c>
    </row>
    <row r="47" spans="1:138" x14ac:dyDescent="0.2">
      <c r="A47">
        <v>65</v>
      </c>
      <c r="B47" t="s">
        <v>658</v>
      </c>
      <c r="C47" t="s">
        <v>1273</v>
      </c>
      <c r="D47" t="s">
        <v>1273</v>
      </c>
      <c r="E47">
        <v>1</v>
      </c>
      <c r="AU47">
        <v>1</v>
      </c>
      <c r="AZ47">
        <v>-1</v>
      </c>
    </row>
    <row r="48" spans="1:138" x14ac:dyDescent="0.2">
      <c r="A48">
        <v>66</v>
      </c>
      <c r="B48" t="s">
        <v>659</v>
      </c>
      <c r="C48" t="s">
        <v>1273</v>
      </c>
      <c r="D48" t="s">
        <v>1273</v>
      </c>
      <c r="E48">
        <v>1</v>
      </c>
      <c r="AV48">
        <v>1</v>
      </c>
      <c r="DY48">
        <v>-1</v>
      </c>
      <c r="EH48">
        <v>0</v>
      </c>
    </row>
    <row r="49" spans="1:138" x14ac:dyDescent="0.2">
      <c r="A49">
        <v>67</v>
      </c>
      <c r="B49" t="s">
        <v>660</v>
      </c>
      <c r="C49" t="s">
        <v>1273</v>
      </c>
      <c r="D49" t="s">
        <v>1273</v>
      </c>
      <c r="E49">
        <v>1</v>
      </c>
      <c r="AW49">
        <v>1</v>
      </c>
      <c r="CW49">
        <v>-1</v>
      </c>
      <c r="EH49">
        <v>0</v>
      </c>
    </row>
    <row r="50" spans="1:138" x14ac:dyDescent="0.2">
      <c r="A50">
        <v>68</v>
      </c>
      <c r="B50" t="s">
        <v>661</v>
      </c>
      <c r="C50" t="s">
        <v>1273</v>
      </c>
      <c r="D50" t="s">
        <v>1273</v>
      </c>
      <c r="E50">
        <v>1</v>
      </c>
      <c r="AX50">
        <v>1</v>
      </c>
      <c r="CX50">
        <v>-1</v>
      </c>
      <c r="EH50">
        <v>0</v>
      </c>
    </row>
    <row r="51" spans="1:138" x14ac:dyDescent="0.2">
      <c r="A51">
        <v>69</v>
      </c>
      <c r="B51" t="s">
        <v>1511</v>
      </c>
      <c r="C51" t="s">
        <v>1273</v>
      </c>
      <c r="D51" t="s">
        <v>1273</v>
      </c>
      <c r="E51">
        <v>1</v>
      </c>
      <c r="AY51">
        <v>1</v>
      </c>
      <c r="DZ51">
        <v>-1</v>
      </c>
    </row>
    <row r="52" spans="1:138" x14ac:dyDescent="0.2">
      <c r="A52">
        <v>83</v>
      </c>
      <c r="B52" t="s">
        <v>672</v>
      </c>
      <c r="C52" t="s">
        <v>1273</v>
      </c>
      <c r="D52" t="s">
        <v>1273</v>
      </c>
      <c r="E52">
        <v>1</v>
      </c>
      <c r="O52">
        <v>8.0035591446908754</v>
      </c>
      <c r="V52">
        <v>16.000233683146245</v>
      </c>
      <c r="AB52">
        <v>15.99969795276707</v>
      </c>
      <c r="AU52">
        <v>-0.83331594270501674</v>
      </c>
      <c r="AV52">
        <v>0.78687581313163468</v>
      </c>
      <c r="AW52">
        <v>0.83890188080922612</v>
      </c>
      <c r="AX52">
        <v>0.88515606924740575</v>
      </c>
      <c r="AY52">
        <v>0.79911882830025649</v>
      </c>
      <c r="BB52">
        <v>-56.003414836948608</v>
      </c>
      <c r="EB52">
        <v>15.999967698905174</v>
      </c>
    </row>
    <row r="53" spans="1:138" x14ac:dyDescent="0.2">
      <c r="A53">
        <v>84</v>
      </c>
      <c r="B53" t="s">
        <v>673</v>
      </c>
      <c r="C53" t="s">
        <v>1273</v>
      </c>
      <c r="D53" t="s">
        <v>1273</v>
      </c>
      <c r="E53">
        <v>1</v>
      </c>
      <c r="O53">
        <v>19596.984974915471</v>
      </c>
      <c r="P53">
        <v>6.2978071099257633</v>
      </c>
      <c r="V53">
        <v>64006.446659789523</v>
      </c>
      <c r="W53">
        <v>13.422626130178516</v>
      </c>
      <c r="AB53">
        <v>88882.048053857477</v>
      </c>
      <c r="AC53">
        <v>14.162229749017065</v>
      </c>
      <c r="AU53">
        <v>-4921.9991589709061</v>
      </c>
      <c r="AV53">
        <v>1926.6920139265901</v>
      </c>
      <c r="AW53">
        <v>3355.8965168972686</v>
      </c>
      <c r="AX53">
        <v>4917.2480951995194</v>
      </c>
      <c r="AY53">
        <v>7991.1882871591861</v>
      </c>
      <c r="BB53">
        <v>-330785.41595181741</v>
      </c>
      <c r="BC53">
        <v>-46.668538429551951</v>
      </c>
      <c r="EB53">
        <v>159999.67707227566</v>
      </c>
      <c r="EC53">
        <v>12.785875440391054</v>
      </c>
    </row>
    <row r="54" spans="1:138" x14ac:dyDescent="0.2">
      <c r="A54">
        <v>85</v>
      </c>
      <c r="B54" t="s">
        <v>674</v>
      </c>
      <c r="C54" t="s">
        <v>1273</v>
      </c>
      <c r="D54" t="s">
        <v>1273</v>
      </c>
      <c r="E54">
        <v>1</v>
      </c>
      <c r="V54">
        <v>31989.101516733459</v>
      </c>
      <c r="AB54">
        <v>88881.386508263313</v>
      </c>
      <c r="AR54">
        <v>13.422626130178516</v>
      </c>
      <c r="AS54">
        <v>14.162229749017065</v>
      </c>
      <c r="AU54">
        <v>-4167.0382181775813</v>
      </c>
      <c r="AW54">
        <v>1677.2078432862027</v>
      </c>
      <c r="AX54">
        <v>4917.211496314997</v>
      </c>
      <c r="AY54">
        <v>7991.1882474780232</v>
      </c>
      <c r="BB54">
        <v>-280047.88821930374</v>
      </c>
      <c r="BG54">
        <v>12.785875440391054</v>
      </c>
      <c r="BH54">
        <v>-46.668538429551951</v>
      </c>
      <c r="EB54">
        <v>159999.6762777789</v>
      </c>
    </row>
    <row r="55" spans="1:138" x14ac:dyDescent="0.2">
      <c r="A55">
        <v>86</v>
      </c>
      <c r="B55" t="s">
        <v>675</v>
      </c>
      <c r="C55" t="s">
        <v>1273</v>
      </c>
      <c r="D55" t="s">
        <v>1273</v>
      </c>
      <c r="E55">
        <v>1</v>
      </c>
      <c r="AI55">
        <v>16.000233683146245</v>
      </c>
      <c r="AM55">
        <v>15.99969795276707</v>
      </c>
      <c r="AU55">
        <v>-28.58276640168453</v>
      </c>
      <c r="AV55">
        <v>100</v>
      </c>
      <c r="AW55">
        <v>50.022062964494189</v>
      </c>
      <c r="AX55">
        <v>7.4405576238017459E-4</v>
      </c>
      <c r="AY55">
        <v>4.9678841386194608E-7</v>
      </c>
      <c r="BI55">
        <v>15.999967698905174</v>
      </c>
      <c r="BM55">
        <v>-56.003414836948608</v>
      </c>
    </row>
    <row r="56" spans="1:138" x14ac:dyDescent="0.2">
      <c r="A56">
        <v>87</v>
      </c>
      <c r="B56" t="s">
        <v>676</v>
      </c>
      <c r="C56" t="s">
        <v>1273</v>
      </c>
      <c r="D56" t="s">
        <v>1273</v>
      </c>
      <c r="E56">
        <v>1</v>
      </c>
      <c r="AJ56">
        <v>16.000233683146245</v>
      </c>
      <c r="AN56">
        <v>15.99969795276707</v>
      </c>
      <c r="AU56">
        <v>-59.052195931401414</v>
      </c>
      <c r="AV56">
        <v>100</v>
      </c>
      <c r="AW56">
        <v>90.005194140529923</v>
      </c>
      <c r="AX56">
        <v>1.479916125936105E-6</v>
      </c>
      <c r="AY56">
        <v>66.666668874843523</v>
      </c>
      <c r="BJ56">
        <v>15.999967698905174</v>
      </c>
      <c r="BN56">
        <v>-56.003414836948608</v>
      </c>
    </row>
    <row r="57" spans="1:138" x14ac:dyDescent="0.2">
      <c r="A57">
        <v>88</v>
      </c>
      <c r="B57" t="s">
        <v>677</v>
      </c>
      <c r="C57" t="s">
        <v>1273</v>
      </c>
      <c r="D57" t="s">
        <v>1273</v>
      </c>
      <c r="E57">
        <v>1</v>
      </c>
      <c r="AK57">
        <v>16.000233683146245</v>
      </c>
      <c r="AO57">
        <v>15.99969795276707</v>
      </c>
      <c r="AU57">
        <v>-93.337572112724359</v>
      </c>
      <c r="AV57">
        <v>100</v>
      </c>
      <c r="AW57">
        <v>100.00000125411314</v>
      </c>
      <c r="AX57">
        <v>76.679360734422431</v>
      </c>
      <c r="AY57">
        <v>100.00000542877765</v>
      </c>
      <c r="BK57">
        <v>15.999967698905174</v>
      </c>
      <c r="BO57">
        <v>-56.003414836948608</v>
      </c>
    </row>
    <row r="58" spans="1:138" x14ac:dyDescent="0.2">
      <c r="A58">
        <v>89</v>
      </c>
      <c r="B58" t="s">
        <v>1767</v>
      </c>
      <c r="C58" t="s">
        <v>1273</v>
      </c>
      <c r="D58" t="s">
        <v>1273</v>
      </c>
      <c r="E58">
        <v>1</v>
      </c>
      <c r="AL58">
        <v>16.000233683146245</v>
      </c>
      <c r="AP58">
        <v>15.99969795276707</v>
      </c>
      <c r="AU58">
        <v>-100.00007889564095</v>
      </c>
      <c r="AV58">
        <v>100</v>
      </c>
      <c r="AW58">
        <v>99.999999955051038</v>
      </c>
      <c r="AX58">
        <v>100.00000171626303</v>
      </c>
      <c r="AY58">
        <v>100.00000170762857</v>
      </c>
      <c r="BL58">
        <v>15.999967698905174</v>
      </c>
      <c r="BP58">
        <v>-56.003414836948608</v>
      </c>
    </row>
    <row r="59" spans="1:138" x14ac:dyDescent="0.2">
      <c r="A59">
        <v>90</v>
      </c>
      <c r="B59" t="s">
        <v>678</v>
      </c>
      <c r="C59" t="s">
        <v>1273</v>
      </c>
      <c r="D59" t="s">
        <v>1273</v>
      </c>
      <c r="E59">
        <v>1</v>
      </c>
      <c r="BD59">
        <v>-1</v>
      </c>
      <c r="BM59">
        <v>0</v>
      </c>
      <c r="BN59">
        <v>0</v>
      </c>
      <c r="BO59">
        <v>-6.7585382977414605</v>
      </c>
      <c r="BP59">
        <v>-2.2470810516971986</v>
      </c>
    </row>
    <row r="60" spans="1:138" x14ac:dyDescent="0.2">
      <c r="A60">
        <v>91</v>
      </c>
      <c r="B60" t="s">
        <v>679</v>
      </c>
      <c r="C60" t="s">
        <v>1273</v>
      </c>
      <c r="D60" t="s">
        <v>1273</v>
      </c>
      <c r="E60">
        <v>1</v>
      </c>
      <c r="R60">
        <v>1.4862028291130322E-3</v>
      </c>
      <c r="Y60">
        <v>4.8621199464844035E-2</v>
      </c>
      <c r="AE60">
        <v>0.79565506728390356</v>
      </c>
      <c r="AU60">
        <v>-0.41762555107334093</v>
      </c>
      <c r="AV60">
        <v>4.3430666668068029E-3</v>
      </c>
      <c r="AW60">
        <v>7.1072388983687868E-2</v>
      </c>
      <c r="AX60">
        <v>1.1630934764910159</v>
      </c>
      <c r="AY60">
        <v>0.22546157050871923</v>
      </c>
      <c r="BE60">
        <v>-1</v>
      </c>
      <c r="EF60">
        <v>0.15423753042213934</v>
      </c>
    </row>
    <row r="61" spans="1:138" x14ac:dyDescent="0.2">
      <c r="A61">
        <v>92</v>
      </c>
      <c r="B61" t="s">
        <v>680</v>
      </c>
      <c r="C61" t="s">
        <v>1273</v>
      </c>
      <c r="D61" t="s">
        <v>1273</v>
      </c>
      <c r="E61">
        <v>1</v>
      </c>
      <c r="S61">
        <v>0.90012299088141412</v>
      </c>
      <c r="Z61">
        <v>2.8587715953883059E-2</v>
      </c>
      <c r="AF61">
        <v>1.7127268615980888E-3</v>
      </c>
      <c r="AU61">
        <v>0.50992813176805973</v>
      </c>
      <c r="AV61">
        <v>-2.7072888937438897</v>
      </c>
      <c r="AW61">
        <v>-6.4485249937552558E-2</v>
      </c>
      <c r="AX61">
        <v>-5.3423742638820677E-3</v>
      </c>
      <c r="AY61">
        <v>-0.36078288303658296</v>
      </c>
      <c r="BF61">
        <v>-1</v>
      </c>
      <c r="EG61">
        <v>0.19473119739686273</v>
      </c>
    </row>
    <row r="62" spans="1:138" x14ac:dyDescent="0.2">
      <c r="A62">
        <v>93</v>
      </c>
      <c r="B62" t="s">
        <v>681</v>
      </c>
      <c r="C62" t="s">
        <v>1273</v>
      </c>
      <c r="D62" t="s">
        <v>1273</v>
      </c>
      <c r="E62">
        <v>1</v>
      </c>
      <c r="U62">
        <v>16.000233683146245</v>
      </c>
      <c r="AA62">
        <v>15.99969795276707</v>
      </c>
      <c r="AQ62">
        <v>8.0035591446908754</v>
      </c>
      <c r="AU62">
        <v>-48.707373976246025</v>
      </c>
      <c r="AV62">
        <v>50.47204447563751</v>
      </c>
      <c r="AW62">
        <v>56.542030832912552</v>
      </c>
      <c r="AX62">
        <v>43.697013528744932</v>
      </c>
      <c r="AY62">
        <v>45.000000417205491</v>
      </c>
      <c r="BA62">
        <v>-56.003414836948608</v>
      </c>
      <c r="EA62">
        <v>15.999967698905174</v>
      </c>
    </row>
    <row r="63" spans="1:138" x14ac:dyDescent="0.2">
      <c r="A63">
        <v>94</v>
      </c>
      <c r="B63" t="s">
        <v>682</v>
      </c>
      <c r="C63" t="s">
        <v>1273</v>
      </c>
      <c r="D63" t="s">
        <v>1273</v>
      </c>
      <c r="E63">
        <v>1</v>
      </c>
      <c r="AU63">
        <v>1</v>
      </c>
      <c r="AV63">
        <v>-1</v>
      </c>
      <c r="AW63">
        <v>-1</v>
      </c>
      <c r="AX63">
        <v>-1</v>
      </c>
      <c r="AY63">
        <v>-1</v>
      </c>
    </row>
    <row r="64" spans="1:138" x14ac:dyDescent="0.2">
      <c r="A64">
        <v>95</v>
      </c>
      <c r="B64" t="s">
        <v>1520</v>
      </c>
      <c r="C64" t="s">
        <v>1273</v>
      </c>
      <c r="D64" t="s">
        <v>1273</v>
      </c>
      <c r="E64">
        <v>1</v>
      </c>
      <c r="BI64">
        <v>-1</v>
      </c>
      <c r="ED64">
        <v>-0.92592592470980706</v>
      </c>
      <c r="EE64">
        <v>-4.5289545947987387E-9</v>
      </c>
    </row>
    <row r="65" spans="1:152" x14ac:dyDescent="0.2">
      <c r="A65">
        <v>96</v>
      </c>
      <c r="B65" t="s">
        <v>1521</v>
      </c>
      <c r="C65" t="s">
        <v>1273</v>
      </c>
      <c r="D65" t="s">
        <v>1273</v>
      </c>
      <c r="E65">
        <v>1</v>
      </c>
      <c r="BJ65">
        <v>-1</v>
      </c>
      <c r="ED65">
        <v>-0.30864196967540874</v>
      </c>
      <c r="EE65">
        <v>-0.61728395956335291</v>
      </c>
    </row>
    <row r="66" spans="1:152" x14ac:dyDescent="0.2">
      <c r="A66">
        <v>97</v>
      </c>
      <c r="B66" t="s">
        <v>1522</v>
      </c>
      <c r="C66" t="s">
        <v>1273</v>
      </c>
      <c r="D66" t="s">
        <v>1273</v>
      </c>
      <c r="E66">
        <v>1</v>
      </c>
      <c r="BK66">
        <v>-1</v>
      </c>
      <c r="ED66">
        <v>0</v>
      </c>
      <c r="EE66">
        <v>0</v>
      </c>
    </row>
    <row r="67" spans="1:152" x14ac:dyDescent="0.2">
      <c r="A67">
        <v>98</v>
      </c>
      <c r="B67" t="s">
        <v>1768</v>
      </c>
      <c r="C67" t="s">
        <v>1273</v>
      </c>
      <c r="D67" t="s">
        <v>1273</v>
      </c>
      <c r="E67">
        <v>1</v>
      </c>
      <c r="BL67">
        <v>-1</v>
      </c>
      <c r="ED67">
        <v>0</v>
      </c>
      <c r="EE67">
        <v>0</v>
      </c>
    </row>
    <row r="68" spans="1:152" x14ac:dyDescent="0.2">
      <c r="A68">
        <v>99</v>
      </c>
      <c r="B68" t="s">
        <v>1523</v>
      </c>
      <c r="C68" t="s">
        <v>1273</v>
      </c>
      <c r="D68" t="s">
        <v>1273</v>
      </c>
      <c r="E68">
        <v>1</v>
      </c>
      <c r="BG68">
        <v>-1</v>
      </c>
      <c r="BI68">
        <v>-100.00000005201505</v>
      </c>
      <c r="EC68">
        <v>0.99999999503211578</v>
      </c>
    </row>
    <row r="69" spans="1:152" x14ac:dyDescent="0.2">
      <c r="A69">
        <v>100</v>
      </c>
      <c r="B69" t="s">
        <v>1301</v>
      </c>
      <c r="C69" t="s">
        <v>1273</v>
      </c>
      <c r="D69" t="s">
        <v>1273</v>
      </c>
      <c r="E69">
        <v>1</v>
      </c>
      <c r="BS69">
        <v>1</v>
      </c>
      <c r="EJ69">
        <v>-1</v>
      </c>
    </row>
    <row r="70" spans="1:152" x14ac:dyDescent="0.2">
      <c r="A70">
        <v>101</v>
      </c>
      <c r="B70" t="s">
        <v>1302</v>
      </c>
      <c r="C70" t="s">
        <v>1273</v>
      </c>
      <c r="D70" t="s">
        <v>1273</v>
      </c>
      <c r="E70">
        <v>1</v>
      </c>
      <c r="BR70">
        <v>1</v>
      </c>
      <c r="EI70">
        <v>-1</v>
      </c>
    </row>
    <row r="71" spans="1:152" x14ac:dyDescent="0.2">
      <c r="A71">
        <v>102</v>
      </c>
      <c r="B71" t="s">
        <v>1303</v>
      </c>
      <c r="C71" t="s">
        <v>1273</v>
      </c>
      <c r="D71" t="s">
        <v>1273</v>
      </c>
      <c r="E71">
        <v>1</v>
      </c>
      <c r="BU71">
        <v>1</v>
      </c>
      <c r="BW71">
        <v>-1</v>
      </c>
    </row>
    <row r="72" spans="1:152" x14ac:dyDescent="0.2">
      <c r="A72">
        <v>103</v>
      </c>
      <c r="B72" t="s">
        <v>1304</v>
      </c>
      <c r="C72" t="s">
        <v>1273</v>
      </c>
      <c r="D72" t="s">
        <v>1273</v>
      </c>
      <c r="E72">
        <v>1</v>
      </c>
      <c r="BV72">
        <v>1</v>
      </c>
      <c r="EK72">
        <v>-1</v>
      </c>
    </row>
    <row r="73" spans="1:152" x14ac:dyDescent="0.2">
      <c r="A73">
        <v>104</v>
      </c>
      <c r="B73" t="s">
        <v>1305</v>
      </c>
      <c r="C73" t="s">
        <v>1273</v>
      </c>
      <c r="D73" t="s">
        <v>1273</v>
      </c>
      <c r="E73">
        <v>1</v>
      </c>
      <c r="AT73">
        <v>-1</v>
      </c>
      <c r="BQ73">
        <v>1</v>
      </c>
    </row>
    <row r="74" spans="1:152" x14ac:dyDescent="0.2">
      <c r="A74">
        <v>110</v>
      </c>
      <c r="B74" t="s">
        <v>1310</v>
      </c>
      <c r="C74" t="s">
        <v>1273</v>
      </c>
      <c r="D74" t="s">
        <v>1273</v>
      </c>
      <c r="E74">
        <v>1</v>
      </c>
      <c r="BQ74">
        <v>0.68786562672801599</v>
      </c>
      <c r="BR74">
        <v>-0.13024944718295481</v>
      </c>
      <c r="BS74">
        <v>-9.6689396062803242E-3</v>
      </c>
      <c r="BT74">
        <v>-9.9999999532076903E-2</v>
      </c>
      <c r="EL74">
        <v>-5.5006597420615932</v>
      </c>
    </row>
    <row r="75" spans="1:152" x14ac:dyDescent="0.2">
      <c r="A75">
        <v>111</v>
      </c>
      <c r="B75" t="s">
        <v>1311</v>
      </c>
      <c r="C75" t="s">
        <v>1273</v>
      </c>
      <c r="D75" t="s">
        <v>1273</v>
      </c>
      <c r="E75">
        <v>1</v>
      </c>
      <c r="BQ75">
        <v>-1</v>
      </c>
      <c r="BU75">
        <v>1</v>
      </c>
      <c r="BV75">
        <v>1</v>
      </c>
      <c r="EM75">
        <v>-1</v>
      </c>
    </row>
    <row r="76" spans="1:152" x14ac:dyDescent="0.2">
      <c r="A76">
        <v>112</v>
      </c>
      <c r="B76" t="s">
        <v>1312</v>
      </c>
      <c r="C76" t="s">
        <v>1273</v>
      </c>
      <c r="D76" t="s">
        <v>1273</v>
      </c>
      <c r="E76">
        <v>1</v>
      </c>
      <c r="O76">
        <v>-7.9967068106407488</v>
      </c>
      <c r="BQ76">
        <v>-0.78687581313163468</v>
      </c>
      <c r="BU76">
        <v>0.77013014533310575</v>
      </c>
      <c r="BV76">
        <v>0.75</v>
      </c>
      <c r="BX76">
        <v>7.1967253945194827</v>
      </c>
      <c r="EN76">
        <v>1</v>
      </c>
    </row>
    <row r="77" spans="1:152" x14ac:dyDescent="0.2">
      <c r="A77">
        <v>113</v>
      </c>
      <c r="B77" t="s">
        <v>1313</v>
      </c>
      <c r="C77" t="s">
        <v>1273</v>
      </c>
      <c r="D77" t="s">
        <v>1273</v>
      </c>
      <c r="E77">
        <v>1</v>
      </c>
      <c r="AG77">
        <v>-8.1967068106407481</v>
      </c>
      <c r="BQ77">
        <v>-49.519486299712824</v>
      </c>
      <c r="BU77">
        <v>42.504985743809236</v>
      </c>
      <c r="BV77">
        <v>100</v>
      </c>
      <c r="CB77">
        <v>7.1967253945194827</v>
      </c>
      <c r="EM77">
        <v>-49.519486299712824</v>
      </c>
      <c r="EO77">
        <v>1</v>
      </c>
      <c r="EP77">
        <v>8.1967068106407481</v>
      </c>
    </row>
    <row r="78" spans="1:152" x14ac:dyDescent="0.2">
      <c r="A78">
        <v>114</v>
      </c>
      <c r="B78" t="s">
        <v>1314</v>
      </c>
      <c r="C78" t="s">
        <v>1273</v>
      </c>
      <c r="D78" t="s">
        <v>1273</v>
      </c>
      <c r="E78">
        <v>1</v>
      </c>
      <c r="AH78">
        <v>-8.1967068106407481</v>
      </c>
      <c r="BQ78">
        <v>-99.500000004285482</v>
      </c>
      <c r="BU78">
        <v>99.430267028671494</v>
      </c>
      <c r="BV78">
        <v>100</v>
      </c>
      <c r="CC78">
        <v>7.1967253945194827</v>
      </c>
      <c r="EM78">
        <v>-99.500000004285482</v>
      </c>
      <c r="EQ78">
        <v>1</v>
      </c>
      <c r="ER78">
        <v>8.1967068106407481</v>
      </c>
    </row>
    <row r="79" spans="1:152" x14ac:dyDescent="0.2">
      <c r="A79">
        <v>115</v>
      </c>
      <c r="B79" t="s">
        <v>1315</v>
      </c>
      <c r="C79" t="s">
        <v>1273</v>
      </c>
      <c r="D79" t="s">
        <v>1273</v>
      </c>
      <c r="E79">
        <v>1</v>
      </c>
      <c r="R79">
        <v>1.1523026763566013</v>
      </c>
      <c r="BQ79">
        <v>3.2879767692417943</v>
      </c>
      <c r="BU79">
        <v>-3.2498748668499391</v>
      </c>
      <c r="BV79">
        <v>-3.5621245944031967</v>
      </c>
      <c r="BY79">
        <v>-1</v>
      </c>
      <c r="EM79">
        <v>3.2879767692417943</v>
      </c>
      <c r="ES79">
        <v>-0.15230267635660122</v>
      </c>
      <c r="ET79">
        <v>1.1523026763566013</v>
      </c>
    </row>
    <row r="80" spans="1:152" x14ac:dyDescent="0.2">
      <c r="A80">
        <v>116</v>
      </c>
      <c r="B80" t="s">
        <v>1316</v>
      </c>
      <c r="C80" t="s">
        <v>1273</v>
      </c>
      <c r="D80" t="s">
        <v>1273</v>
      </c>
      <c r="E80">
        <v>1</v>
      </c>
      <c r="T80">
        <v>1.1659699043669154</v>
      </c>
      <c r="BQ80">
        <v>3.326974793910042</v>
      </c>
      <c r="BU80">
        <v>-3.2498748668499715</v>
      </c>
      <c r="BV80">
        <v>-3.8817799688029666</v>
      </c>
      <c r="CA80">
        <v>-1</v>
      </c>
      <c r="EM80">
        <v>3.326974793910042</v>
      </c>
      <c r="EU80">
        <v>-0.16596990436691539</v>
      </c>
      <c r="EV80">
        <v>1.1659699043669154</v>
      </c>
    </row>
    <row r="81" spans="1:174" x14ac:dyDescent="0.2">
      <c r="A81">
        <v>117</v>
      </c>
      <c r="B81" t="s">
        <v>1317</v>
      </c>
      <c r="C81" t="s">
        <v>1273</v>
      </c>
      <c r="D81" t="s">
        <v>1273</v>
      </c>
      <c r="E81">
        <v>1</v>
      </c>
      <c r="S81">
        <v>2.0557413989814224</v>
      </c>
      <c r="BQ81">
        <v>-6.049639217223314</v>
      </c>
      <c r="BU81">
        <v>3.5357248252691185</v>
      </c>
      <c r="BV81">
        <v>24.141478335686468</v>
      </c>
      <c r="BZ81">
        <v>-1</v>
      </c>
      <c r="EM81">
        <v>-6.049639217223314</v>
      </c>
      <c r="EW81">
        <v>-1.1414764158779658</v>
      </c>
      <c r="EX81">
        <v>2.0557413989814224</v>
      </c>
    </row>
    <row r="82" spans="1:174" x14ac:dyDescent="0.2">
      <c r="A82">
        <v>118</v>
      </c>
      <c r="B82" t="s">
        <v>1528</v>
      </c>
      <c r="C82" t="s">
        <v>1273</v>
      </c>
      <c r="D82" t="s">
        <v>1273</v>
      </c>
      <c r="E82">
        <v>1</v>
      </c>
      <c r="CF82">
        <v>1</v>
      </c>
      <c r="EZ82">
        <v>-1</v>
      </c>
    </row>
    <row r="83" spans="1:174" x14ac:dyDescent="0.2">
      <c r="A83">
        <v>119</v>
      </c>
      <c r="B83" t="s">
        <v>1529</v>
      </c>
      <c r="C83" t="s">
        <v>1273</v>
      </c>
      <c r="D83" t="s">
        <v>1273</v>
      </c>
      <c r="E83">
        <v>1</v>
      </c>
      <c r="CE83">
        <v>1</v>
      </c>
      <c r="EY83">
        <v>-1</v>
      </c>
    </row>
    <row r="84" spans="1:174" x14ac:dyDescent="0.2">
      <c r="A84">
        <v>120</v>
      </c>
      <c r="B84" t="s">
        <v>1530</v>
      </c>
      <c r="C84" t="s">
        <v>1273</v>
      </c>
      <c r="D84" t="s">
        <v>1273</v>
      </c>
      <c r="E84">
        <v>1</v>
      </c>
      <c r="CH84">
        <v>1</v>
      </c>
      <c r="CJ84">
        <v>-1</v>
      </c>
    </row>
    <row r="85" spans="1:174" x14ac:dyDescent="0.2">
      <c r="A85">
        <v>121</v>
      </c>
      <c r="B85" t="s">
        <v>1531</v>
      </c>
      <c r="C85" t="s">
        <v>1273</v>
      </c>
      <c r="D85" t="s">
        <v>1273</v>
      </c>
      <c r="E85">
        <v>1</v>
      </c>
      <c r="CI85">
        <v>1</v>
      </c>
      <c r="FA85">
        <v>-1</v>
      </c>
    </row>
    <row r="86" spans="1:174" x14ac:dyDescent="0.2">
      <c r="A86">
        <v>122</v>
      </c>
      <c r="B86" t="s">
        <v>1532</v>
      </c>
      <c r="C86" t="s">
        <v>1273</v>
      </c>
      <c r="D86" t="s">
        <v>1273</v>
      </c>
      <c r="E86">
        <v>1</v>
      </c>
      <c r="AZ86">
        <v>-1</v>
      </c>
      <c r="CD86">
        <v>1</v>
      </c>
    </row>
    <row r="87" spans="1:174" x14ac:dyDescent="0.2">
      <c r="A87">
        <v>128</v>
      </c>
      <c r="B87" t="s">
        <v>1537</v>
      </c>
      <c r="C87" t="s">
        <v>1273</v>
      </c>
      <c r="D87" t="s">
        <v>1273</v>
      </c>
      <c r="E87">
        <v>1</v>
      </c>
      <c r="BH87">
        <v>1.9997799373903041E-4</v>
      </c>
      <c r="CD87">
        <v>9.682751235792221E-2</v>
      </c>
      <c r="CE87">
        <v>-0.12840281995686983</v>
      </c>
      <c r="CF87">
        <v>-9.5318570490970887E-3</v>
      </c>
      <c r="CG87">
        <v>-4.5291778156851516E-2</v>
      </c>
      <c r="FB87">
        <v>-5.4226734752241246</v>
      </c>
    </row>
    <row r="88" spans="1:174" x14ac:dyDescent="0.2">
      <c r="A88">
        <v>129</v>
      </c>
      <c r="B88" t="s">
        <v>1538</v>
      </c>
      <c r="C88" t="s">
        <v>1273</v>
      </c>
      <c r="D88" t="s">
        <v>1273</v>
      </c>
      <c r="E88">
        <v>1</v>
      </c>
      <c r="CD88">
        <v>-1</v>
      </c>
      <c r="CH88">
        <v>1</v>
      </c>
      <c r="CI88">
        <v>1</v>
      </c>
      <c r="FC88">
        <v>-1</v>
      </c>
    </row>
    <row r="89" spans="1:174" x14ac:dyDescent="0.2">
      <c r="A89">
        <v>130</v>
      </c>
      <c r="B89" t="s">
        <v>1539</v>
      </c>
      <c r="C89" t="s">
        <v>1273</v>
      </c>
      <c r="D89" t="s">
        <v>1273</v>
      </c>
      <c r="E89">
        <v>1</v>
      </c>
      <c r="BB89">
        <v>-56.003436865952423</v>
      </c>
      <c r="CD89">
        <v>-0.83331594270501674</v>
      </c>
      <c r="CH89">
        <v>0.81555716306833048</v>
      </c>
      <c r="CI89">
        <v>0.7519012375854035</v>
      </c>
      <c r="CL89">
        <v>48.003433951255225</v>
      </c>
      <c r="FD89">
        <v>10</v>
      </c>
    </row>
    <row r="90" spans="1:174" x14ac:dyDescent="0.2">
      <c r="A90">
        <v>131</v>
      </c>
      <c r="B90" t="s">
        <v>1540</v>
      </c>
      <c r="C90" t="s">
        <v>1273</v>
      </c>
      <c r="D90" t="s">
        <v>1273</v>
      </c>
      <c r="E90">
        <v>1</v>
      </c>
      <c r="BA90">
        <v>-58.003436865952423</v>
      </c>
      <c r="CD90">
        <v>-48.207373976246025</v>
      </c>
      <c r="CH90">
        <v>49.916783465344778</v>
      </c>
      <c r="CI90">
        <v>40.00163547808414</v>
      </c>
      <c r="CK90">
        <v>48.003433951255225</v>
      </c>
      <c r="FC90">
        <v>-48.207373976246025</v>
      </c>
      <c r="FE90">
        <v>10</v>
      </c>
      <c r="FF90">
        <v>58.003436865952423</v>
      </c>
    </row>
    <row r="91" spans="1:174" x14ac:dyDescent="0.2">
      <c r="A91">
        <v>132</v>
      </c>
      <c r="B91" t="s">
        <v>1541</v>
      </c>
      <c r="C91" t="s">
        <v>1273</v>
      </c>
      <c r="D91" t="s">
        <v>1273</v>
      </c>
      <c r="E91">
        <v>1</v>
      </c>
      <c r="BM91">
        <v>-58.003436865952423</v>
      </c>
      <c r="CD91">
        <v>-28.08276640168453</v>
      </c>
      <c r="CH91">
        <v>13.101082908604115</v>
      </c>
      <c r="CI91">
        <v>100</v>
      </c>
      <c r="CO91">
        <v>48.003433951255225</v>
      </c>
      <c r="FC91">
        <v>-28.08276640168453</v>
      </c>
      <c r="FG91">
        <v>10</v>
      </c>
      <c r="FH91">
        <v>58.003436865952423</v>
      </c>
    </row>
    <row r="92" spans="1:174" x14ac:dyDescent="0.2">
      <c r="A92">
        <v>133</v>
      </c>
      <c r="B92" t="s">
        <v>1542</v>
      </c>
      <c r="C92" t="s">
        <v>1273</v>
      </c>
      <c r="D92" t="s">
        <v>1273</v>
      </c>
      <c r="E92">
        <v>1</v>
      </c>
      <c r="BN92">
        <v>-58.003436865952423</v>
      </c>
      <c r="CD92">
        <v>-58.552195931401414</v>
      </c>
      <c r="CH92">
        <v>49.917858013253664</v>
      </c>
      <c r="CI92">
        <v>100</v>
      </c>
      <c r="CP92">
        <v>48.003433951255225</v>
      </c>
      <c r="FC92">
        <v>-58.552195931401414</v>
      </c>
      <c r="FI92">
        <v>10</v>
      </c>
      <c r="FJ92">
        <v>58.003436865952423</v>
      </c>
    </row>
    <row r="93" spans="1:174" x14ac:dyDescent="0.2">
      <c r="A93">
        <v>134</v>
      </c>
      <c r="B93" t="s">
        <v>1543</v>
      </c>
      <c r="C93" t="s">
        <v>1273</v>
      </c>
      <c r="D93" t="s">
        <v>1273</v>
      </c>
      <c r="E93">
        <v>1</v>
      </c>
      <c r="BO93">
        <v>-58.003436865952423</v>
      </c>
      <c r="CD93">
        <v>-92.837572112724359</v>
      </c>
      <c r="CH93">
        <v>91.3455120167622</v>
      </c>
      <c r="CI93">
        <v>100</v>
      </c>
      <c r="CQ93">
        <v>48.003433951255225</v>
      </c>
      <c r="FC93">
        <v>-92.837572112724359</v>
      </c>
      <c r="FK93">
        <v>10</v>
      </c>
      <c r="FL93">
        <v>58.003436865952423</v>
      </c>
    </row>
    <row r="94" spans="1:174" x14ac:dyDescent="0.2">
      <c r="A94">
        <v>135</v>
      </c>
      <c r="B94" t="s">
        <v>1771</v>
      </c>
      <c r="C94" t="s">
        <v>1273</v>
      </c>
      <c r="D94" t="s">
        <v>1273</v>
      </c>
      <c r="E94">
        <v>1</v>
      </c>
      <c r="BP94">
        <v>-58.003436865952423</v>
      </c>
      <c r="CD94">
        <v>-99.500078895640954</v>
      </c>
      <c r="CH94">
        <v>99.395942157508301</v>
      </c>
      <c r="CI94">
        <v>100</v>
      </c>
      <c r="CR94">
        <v>48.003433951255225</v>
      </c>
      <c r="FC94">
        <v>-99.500078895640954</v>
      </c>
      <c r="FM94">
        <v>10</v>
      </c>
      <c r="FN94">
        <v>58.003436865952423</v>
      </c>
    </row>
    <row r="95" spans="1:174" x14ac:dyDescent="0.2">
      <c r="A95">
        <v>136</v>
      </c>
      <c r="B95" t="s">
        <v>1544</v>
      </c>
      <c r="C95" t="s">
        <v>1273</v>
      </c>
      <c r="D95" t="s">
        <v>1273</v>
      </c>
      <c r="E95">
        <v>1</v>
      </c>
      <c r="BE95">
        <v>1.0019462746056746</v>
      </c>
      <c r="CD95">
        <v>0.40401015197286694</v>
      </c>
      <c r="CH95">
        <v>-0.48722466411505555</v>
      </c>
      <c r="CI95">
        <v>-4.5520359892453465E-3</v>
      </c>
      <c r="CM95">
        <v>-1</v>
      </c>
      <c r="FC95">
        <v>0.40401015197286694</v>
      </c>
      <c r="FO95">
        <v>-1.9462746056747332E-3</v>
      </c>
      <c r="FP95">
        <v>1.0019462746056746</v>
      </c>
    </row>
    <row r="96" spans="1:174" x14ac:dyDescent="0.2">
      <c r="A96">
        <v>137</v>
      </c>
      <c r="B96" t="s">
        <v>1545</v>
      </c>
      <c r="C96" t="s">
        <v>1273</v>
      </c>
      <c r="D96" t="s">
        <v>1273</v>
      </c>
      <c r="E96">
        <v>1</v>
      </c>
      <c r="BF96">
        <v>2.2331131332740566</v>
      </c>
      <c r="CD96">
        <v>-1.1015204305177766</v>
      </c>
      <c r="CH96">
        <v>0.63297321050558419</v>
      </c>
      <c r="CI96">
        <v>3.3507083044675818</v>
      </c>
      <c r="CN96">
        <v>-1</v>
      </c>
      <c r="FC96">
        <v>-1.1015204305177766</v>
      </c>
      <c r="FQ96">
        <v>-1.31460461861838</v>
      </c>
      <c r="FR96">
        <v>2.2331131332740566</v>
      </c>
    </row>
    <row r="97" spans="1:29" x14ac:dyDescent="0.2">
      <c r="A97">
        <v>4008</v>
      </c>
      <c r="B97" t="s">
        <v>521</v>
      </c>
      <c r="C97" t="s">
        <v>1273</v>
      </c>
      <c r="D97" t="s">
        <v>1273</v>
      </c>
      <c r="E97">
        <v>0</v>
      </c>
      <c r="N97">
        <v>1</v>
      </c>
    </row>
    <row r="98" spans="1:29" x14ac:dyDescent="0.2">
      <c r="A98">
        <v>4009</v>
      </c>
      <c r="B98" t="s">
        <v>535</v>
      </c>
      <c r="C98" t="s">
        <v>1273</v>
      </c>
      <c r="D98" t="s">
        <v>1273</v>
      </c>
      <c r="E98">
        <v>0</v>
      </c>
      <c r="O98">
        <v>1</v>
      </c>
    </row>
    <row r="99" spans="1:29" x14ac:dyDescent="0.2">
      <c r="A99">
        <v>4010</v>
      </c>
      <c r="B99" t="s">
        <v>538</v>
      </c>
      <c r="C99" t="s">
        <v>1273</v>
      </c>
      <c r="D99" t="s">
        <v>1273</v>
      </c>
      <c r="E99">
        <v>0</v>
      </c>
      <c r="P99">
        <v>1</v>
      </c>
    </row>
    <row r="100" spans="1:29" x14ac:dyDescent="0.2">
      <c r="A100">
        <v>4011</v>
      </c>
      <c r="B100" t="s">
        <v>534</v>
      </c>
      <c r="C100" t="s">
        <v>1273</v>
      </c>
      <c r="D100" t="s">
        <v>1273</v>
      </c>
      <c r="E100">
        <v>0</v>
      </c>
      <c r="Q100">
        <v>1</v>
      </c>
    </row>
    <row r="101" spans="1:29" x14ac:dyDescent="0.2">
      <c r="A101">
        <v>4012</v>
      </c>
      <c r="B101" t="s">
        <v>536</v>
      </c>
      <c r="C101" t="s">
        <v>1273</v>
      </c>
      <c r="D101" t="s">
        <v>1273</v>
      </c>
      <c r="E101">
        <v>0</v>
      </c>
      <c r="R101">
        <v>1</v>
      </c>
    </row>
    <row r="102" spans="1:29" x14ac:dyDescent="0.2">
      <c r="A102">
        <v>4013</v>
      </c>
      <c r="B102" t="s">
        <v>539</v>
      </c>
      <c r="C102" t="s">
        <v>1273</v>
      </c>
      <c r="D102" t="s">
        <v>1273</v>
      </c>
      <c r="E102">
        <v>0</v>
      </c>
      <c r="T102">
        <v>1</v>
      </c>
    </row>
    <row r="103" spans="1:29" x14ac:dyDescent="0.2">
      <c r="A103">
        <v>4014</v>
      </c>
      <c r="B103" t="s">
        <v>537</v>
      </c>
      <c r="C103" t="s">
        <v>1273</v>
      </c>
      <c r="D103" t="s">
        <v>1273</v>
      </c>
      <c r="E103">
        <v>0</v>
      </c>
      <c r="S103">
        <v>1</v>
      </c>
    </row>
    <row r="104" spans="1:29" x14ac:dyDescent="0.2">
      <c r="A104">
        <v>4015</v>
      </c>
      <c r="B104" t="s">
        <v>527</v>
      </c>
      <c r="C104" t="s">
        <v>1273</v>
      </c>
      <c r="D104" t="s">
        <v>1273</v>
      </c>
      <c r="E104">
        <v>0</v>
      </c>
      <c r="U104">
        <v>1</v>
      </c>
    </row>
    <row r="105" spans="1:29" x14ac:dyDescent="0.2">
      <c r="A105">
        <v>4016</v>
      </c>
      <c r="B105" t="s">
        <v>523</v>
      </c>
      <c r="C105" t="s">
        <v>1273</v>
      </c>
      <c r="D105" t="s">
        <v>1273</v>
      </c>
      <c r="E105">
        <v>0</v>
      </c>
      <c r="V105">
        <v>1</v>
      </c>
    </row>
    <row r="106" spans="1:29" x14ac:dyDescent="0.2">
      <c r="A106">
        <v>4017</v>
      </c>
      <c r="B106" t="s">
        <v>526</v>
      </c>
      <c r="C106" t="s">
        <v>1273</v>
      </c>
      <c r="D106" t="s">
        <v>1273</v>
      </c>
      <c r="E106">
        <v>0</v>
      </c>
      <c r="W106">
        <v>1</v>
      </c>
    </row>
    <row r="107" spans="1:29" x14ac:dyDescent="0.2">
      <c r="A107">
        <v>4018</v>
      </c>
      <c r="B107" t="s">
        <v>522</v>
      </c>
      <c r="C107" t="s">
        <v>1273</v>
      </c>
      <c r="D107" t="s">
        <v>1273</v>
      </c>
      <c r="E107">
        <v>0</v>
      </c>
      <c r="X107">
        <v>1</v>
      </c>
    </row>
    <row r="108" spans="1:29" x14ac:dyDescent="0.2">
      <c r="A108">
        <v>4019</v>
      </c>
      <c r="B108" t="s">
        <v>524</v>
      </c>
      <c r="C108" t="s">
        <v>1273</v>
      </c>
      <c r="D108" t="s">
        <v>1273</v>
      </c>
      <c r="E108">
        <v>0</v>
      </c>
      <c r="Y108">
        <v>1</v>
      </c>
    </row>
    <row r="109" spans="1:29" x14ac:dyDescent="0.2">
      <c r="A109">
        <v>4020</v>
      </c>
      <c r="B109" t="s">
        <v>525</v>
      </c>
      <c r="C109" t="s">
        <v>1273</v>
      </c>
      <c r="D109" t="s">
        <v>1273</v>
      </c>
      <c r="E109">
        <v>0</v>
      </c>
      <c r="Z109">
        <v>1</v>
      </c>
    </row>
    <row r="110" spans="1:29" x14ac:dyDescent="0.2">
      <c r="A110">
        <v>4021</v>
      </c>
      <c r="B110" t="s">
        <v>533</v>
      </c>
      <c r="C110" t="s">
        <v>1273</v>
      </c>
      <c r="D110" t="s">
        <v>1273</v>
      </c>
      <c r="E110">
        <v>0</v>
      </c>
      <c r="AA110">
        <v>1</v>
      </c>
    </row>
    <row r="111" spans="1:29" x14ac:dyDescent="0.2">
      <c r="A111">
        <v>4022</v>
      </c>
      <c r="B111" t="s">
        <v>529</v>
      </c>
      <c r="C111" t="s">
        <v>1273</v>
      </c>
      <c r="D111" t="s">
        <v>1273</v>
      </c>
      <c r="E111">
        <v>0</v>
      </c>
      <c r="AB111">
        <v>1</v>
      </c>
    </row>
    <row r="112" spans="1:29" x14ac:dyDescent="0.2">
      <c r="A112">
        <v>4023</v>
      </c>
      <c r="B112" t="s">
        <v>532</v>
      </c>
      <c r="C112" t="s">
        <v>1273</v>
      </c>
      <c r="D112" t="s">
        <v>1273</v>
      </c>
      <c r="E112">
        <v>0</v>
      </c>
      <c r="AC112">
        <v>1</v>
      </c>
    </row>
    <row r="113" spans="1:134" x14ac:dyDescent="0.2">
      <c r="A113">
        <v>4024</v>
      </c>
      <c r="B113" t="s">
        <v>528</v>
      </c>
      <c r="C113" t="s">
        <v>1273</v>
      </c>
      <c r="D113" t="s">
        <v>1273</v>
      </c>
      <c r="E113">
        <v>0</v>
      </c>
      <c r="AD113">
        <v>1</v>
      </c>
    </row>
    <row r="114" spans="1:134" x14ac:dyDescent="0.2">
      <c r="A114">
        <v>4025</v>
      </c>
      <c r="B114" t="s">
        <v>530</v>
      </c>
      <c r="C114" t="s">
        <v>1273</v>
      </c>
      <c r="D114" t="s">
        <v>1273</v>
      </c>
      <c r="E114">
        <v>0</v>
      </c>
      <c r="AE114">
        <v>1</v>
      </c>
    </row>
    <row r="115" spans="1:134" x14ac:dyDescent="0.2">
      <c r="A115">
        <v>4026</v>
      </c>
      <c r="B115" t="s">
        <v>531</v>
      </c>
      <c r="C115" t="s">
        <v>1273</v>
      </c>
      <c r="D115" t="s">
        <v>1273</v>
      </c>
      <c r="E115">
        <v>0</v>
      </c>
      <c r="AF115">
        <v>1</v>
      </c>
    </row>
    <row r="116" spans="1:134" x14ac:dyDescent="0.2">
      <c r="A116">
        <v>4030</v>
      </c>
      <c r="B116" t="s">
        <v>592</v>
      </c>
      <c r="C116" t="s">
        <v>1273</v>
      </c>
      <c r="D116" t="s">
        <v>1273</v>
      </c>
      <c r="E116">
        <v>0</v>
      </c>
      <c r="Q116">
        <v>1</v>
      </c>
      <c r="CZ116">
        <v>-1</v>
      </c>
      <c r="DA116">
        <v>-1</v>
      </c>
      <c r="DB116">
        <v>-1</v>
      </c>
    </row>
    <row r="117" spans="1:134" x14ac:dyDescent="0.2">
      <c r="A117">
        <v>4031</v>
      </c>
      <c r="B117" t="s">
        <v>593</v>
      </c>
      <c r="C117" t="s">
        <v>1273</v>
      </c>
      <c r="D117" t="s">
        <v>1273</v>
      </c>
      <c r="E117">
        <v>0</v>
      </c>
      <c r="X117">
        <v>1</v>
      </c>
      <c r="DC117">
        <v>-1</v>
      </c>
      <c r="DD117">
        <v>-1</v>
      </c>
      <c r="DE117">
        <v>-1</v>
      </c>
      <c r="DF117">
        <v>-1</v>
      </c>
      <c r="DG117">
        <v>-1</v>
      </c>
    </row>
    <row r="118" spans="1:134" x14ac:dyDescent="0.2">
      <c r="A118">
        <v>4032</v>
      </c>
      <c r="B118" t="s">
        <v>594</v>
      </c>
      <c r="C118" t="s">
        <v>1273</v>
      </c>
      <c r="D118" t="s">
        <v>1273</v>
      </c>
      <c r="E118">
        <v>0</v>
      </c>
      <c r="AD118">
        <v>1</v>
      </c>
      <c r="DH118">
        <v>-1</v>
      </c>
      <c r="DI118">
        <v>-1</v>
      </c>
      <c r="DJ118">
        <v>-1</v>
      </c>
      <c r="DK118">
        <v>-1</v>
      </c>
      <c r="DL118">
        <v>-1</v>
      </c>
    </row>
    <row r="119" spans="1:134" x14ac:dyDescent="0.2">
      <c r="A119">
        <v>4069</v>
      </c>
      <c r="B119" t="s">
        <v>553</v>
      </c>
      <c r="C119" t="s">
        <v>1273</v>
      </c>
      <c r="D119" t="s">
        <v>1273</v>
      </c>
      <c r="E119">
        <v>0</v>
      </c>
      <c r="BA119">
        <v>1</v>
      </c>
    </row>
    <row r="120" spans="1:134" x14ac:dyDescent="0.2">
      <c r="A120">
        <v>4070</v>
      </c>
      <c r="B120" t="s">
        <v>549</v>
      </c>
      <c r="C120" t="s">
        <v>1273</v>
      </c>
      <c r="D120" t="s">
        <v>1273</v>
      </c>
      <c r="E120">
        <v>0</v>
      </c>
      <c r="BB120">
        <v>1</v>
      </c>
    </row>
    <row r="121" spans="1:134" x14ac:dyDescent="0.2">
      <c r="A121">
        <v>4071</v>
      </c>
      <c r="B121" t="s">
        <v>552</v>
      </c>
      <c r="C121" t="s">
        <v>1273</v>
      </c>
      <c r="D121" t="s">
        <v>1273</v>
      </c>
      <c r="E121">
        <v>0</v>
      </c>
      <c r="BC121">
        <v>1</v>
      </c>
    </row>
    <row r="122" spans="1:134" x14ac:dyDescent="0.2">
      <c r="A122">
        <v>4072</v>
      </c>
      <c r="B122" t="s">
        <v>548</v>
      </c>
      <c r="C122" t="s">
        <v>1273</v>
      </c>
      <c r="D122" t="s">
        <v>1273</v>
      </c>
      <c r="E122">
        <v>0</v>
      </c>
      <c r="BD122">
        <v>1</v>
      </c>
    </row>
    <row r="123" spans="1:134" x14ac:dyDescent="0.2">
      <c r="A123">
        <v>4073</v>
      </c>
      <c r="B123" t="s">
        <v>550</v>
      </c>
      <c r="C123" t="s">
        <v>1273</v>
      </c>
      <c r="D123" t="s">
        <v>1273</v>
      </c>
      <c r="E123">
        <v>0</v>
      </c>
      <c r="BE123">
        <v>1</v>
      </c>
    </row>
    <row r="124" spans="1:134" x14ac:dyDescent="0.2">
      <c r="A124">
        <v>4074</v>
      </c>
      <c r="B124" t="s">
        <v>551</v>
      </c>
      <c r="C124" t="s">
        <v>1273</v>
      </c>
      <c r="D124" t="s">
        <v>1273</v>
      </c>
      <c r="E124">
        <v>0</v>
      </c>
      <c r="BF124">
        <v>1</v>
      </c>
    </row>
    <row r="125" spans="1:134" x14ac:dyDescent="0.2">
      <c r="A125">
        <v>4075</v>
      </c>
      <c r="B125" t="s">
        <v>1503</v>
      </c>
      <c r="C125" t="s">
        <v>1273</v>
      </c>
      <c r="D125" t="s">
        <v>1273</v>
      </c>
      <c r="E125">
        <v>0</v>
      </c>
      <c r="EA125">
        <v>1</v>
      </c>
    </row>
    <row r="126" spans="1:134" x14ac:dyDescent="0.2">
      <c r="A126">
        <v>4076</v>
      </c>
      <c r="B126" t="s">
        <v>1497</v>
      </c>
      <c r="C126" t="s">
        <v>1273</v>
      </c>
      <c r="D126" t="s">
        <v>1273</v>
      </c>
      <c r="E126">
        <v>0</v>
      </c>
      <c r="EB126">
        <v>1</v>
      </c>
    </row>
    <row r="127" spans="1:134" x14ac:dyDescent="0.2">
      <c r="A127">
        <v>4077</v>
      </c>
      <c r="B127" t="s">
        <v>1501</v>
      </c>
      <c r="C127" t="s">
        <v>1273</v>
      </c>
      <c r="D127" t="s">
        <v>1273</v>
      </c>
      <c r="E127">
        <v>0</v>
      </c>
      <c r="EC127">
        <v>1</v>
      </c>
    </row>
    <row r="128" spans="1:134" x14ac:dyDescent="0.2">
      <c r="A128">
        <v>4078</v>
      </c>
      <c r="B128" t="s">
        <v>1498</v>
      </c>
      <c r="C128" t="s">
        <v>1273</v>
      </c>
      <c r="D128" t="s">
        <v>1273</v>
      </c>
      <c r="E128">
        <v>0</v>
      </c>
      <c r="ED128">
        <v>1</v>
      </c>
    </row>
    <row r="129" spans="1:137" x14ac:dyDescent="0.2">
      <c r="A129">
        <v>4079</v>
      </c>
      <c r="B129" t="s">
        <v>1499</v>
      </c>
      <c r="C129" t="s">
        <v>1273</v>
      </c>
      <c r="D129" t="s">
        <v>1273</v>
      </c>
      <c r="E129">
        <v>0</v>
      </c>
      <c r="EE129">
        <v>1</v>
      </c>
    </row>
    <row r="130" spans="1:137" x14ac:dyDescent="0.2">
      <c r="A130">
        <v>4080</v>
      </c>
      <c r="B130" t="s">
        <v>1500</v>
      </c>
      <c r="C130" t="s">
        <v>1273</v>
      </c>
      <c r="D130" t="s">
        <v>1273</v>
      </c>
      <c r="E130">
        <v>0</v>
      </c>
      <c r="EF130">
        <v>1</v>
      </c>
    </row>
    <row r="131" spans="1:137" x14ac:dyDescent="0.2">
      <c r="A131">
        <v>4081</v>
      </c>
      <c r="B131" t="s">
        <v>1502</v>
      </c>
      <c r="C131" t="s">
        <v>1273</v>
      </c>
      <c r="D131" t="s">
        <v>1273</v>
      </c>
      <c r="E131">
        <v>0</v>
      </c>
      <c r="EG131">
        <v>1</v>
      </c>
    </row>
    <row r="132" spans="1:137" x14ac:dyDescent="0.2">
      <c r="A132">
        <v>4104</v>
      </c>
      <c r="B132" t="s">
        <v>1290</v>
      </c>
      <c r="C132" t="s">
        <v>1273</v>
      </c>
      <c r="D132" t="s">
        <v>1273</v>
      </c>
      <c r="E132">
        <v>0</v>
      </c>
      <c r="BT132">
        <v>1</v>
      </c>
    </row>
    <row r="133" spans="1:137" x14ac:dyDescent="0.2">
      <c r="A133">
        <v>4105</v>
      </c>
      <c r="B133" t="s">
        <v>1293</v>
      </c>
      <c r="C133" t="s">
        <v>1273</v>
      </c>
      <c r="D133" t="s">
        <v>1273</v>
      </c>
      <c r="E133">
        <v>0</v>
      </c>
      <c r="BX133">
        <v>1</v>
      </c>
    </row>
    <row r="134" spans="1:137" x14ac:dyDescent="0.2">
      <c r="A134">
        <v>4106</v>
      </c>
      <c r="B134" t="s">
        <v>1294</v>
      </c>
      <c r="C134" t="s">
        <v>1273</v>
      </c>
      <c r="D134" t="s">
        <v>1273</v>
      </c>
      <c r="E134">
        <v>0</v>
      </c>
      <c r="BY134">
        <v>1</v>
      </c>
    </row>
    <row r="135" spans="1:137" x14ac:dyDescent="0.2">
      <c r="A135">
        <v>4107</v>
      </c>
      <c r="B135" t="s">
        <v>1296</v>
      </c>
      <c r="C135" t="s">
        <v>1273</v>
      </c>
      <c r="D135" t="s">
        <v>1273</v>
      </c>
      <c r="E135">
        <v>0</v>
      </c>
      <c r="CA135">
        <v>1</v>
      </c>
    </row>
    <row r="136" spans="1:137" x14ac:dyDescent="0.2">
      <c r="A136">
        <v>4108</v>
      </c>
      <c r="B136" t="s">
        <v>1295</v>
      </c>
      <c r="C136" t="s">
        <v>1273</v>
      </c>
      <c r="D136" t="s">
        <v>1273</v>
      </c>
      <c r="E136">
        <v>0</v>
      </c>
      <c r="BZ136">
        <v>1</v>
      </c>
    </row>
    <row r="137" spans="1:137" x14ac:dyDescent="0.2">
      <c r="A137">
        <v>4122</v>
      </c>
      <c r="B137" t="s">
        <v>1287</v>
      </c>
      <c r="C137" t="s">
        <v>1273</v>
      </c>
      <c r="D137" t="s">
        <v>1273</v>
      </c>
      <c r="E137">
        <v>0</v>
      </c>
      <c r="CG137">
        <v>1</v>
      </c>
    </row>
    <row r="138" spans="1:137" x14ac:dyDescent="0.2">
      <c r="A138">
        <v>4123</v>
      </c>
      <c r="B138" t="s">
        <v>1300</v>
      </c>
      <c r="C138" t="s">
        <v>1273</v>
      </c>
      <c r="D138" t="s">
        <v>1273</v>
      </c>
      <c r="E138">
        <v>0</v>
      </c>
      <c r="CK138">
        <v>1</v>
      </c>
    </row>
    <row r="139" spans="1:137" x14ac:dyDescent="0.2">
      <c r="A139">
        <v>4124</v>
      </c>
      <c r="B139" t="s">
        <v>1297</v>
      </c>
      <c r="C139" t="s">
        <v>1273</v>
      </c>
      <c r="D139" t="s">
        <v>1273</v>
      </c>
      <c r="E139">
        <v>0</v>
      </c>
      <c r="CL139">
        <v>1</v>
      </c>
    </row>
    <row r="140" spans="1:137" x14ac:dyDescent="0.2">
      <c r="A140">
        <v>4125</v>
      </c>
      <c r="B140" t="s">
        <v>1298</v>
      </c>
      <c r="C140" t="s">
        <v>1273</v>
      </c>
      <c r="D140" t="s">
        <v>1273</v>
      </c>
      <c r="E140">
        <v>0</v>
      </c>
      <c r="CM140">
        <v>1</v>
      </c>
    </row>
    <row r="141" spans="1:137" x14ac:dyDescent="0.2">
      <c r="A141">
        <v>4126</v>
      </c>
      <c r="B141" t="s">
        <v>1299</v>
      </c>
      <c r="C141" t="s">
        <v>1273</v>
      </c>
      <c r="D141" t="s">
        <v>1273</v>
      </c>
      <c r="E141">
        <v>0</v>
      </c>
      <c r="CN141">
        <v>1</v>
      </c>
    </row>
  </sheetData>
  <sortState xmlns:xlrd2="http://schemas.microsoft.com/office/spreadsheetml/2017/richdata2" ref="A6:FR141">
    <sortCondition ref="A6:A141"/>
  </sortState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"/>
  <dimension ref="A1:FR141"/>
  <sheetViews>
    <sheetView workbookViewId="0">
      <pane xSplit="5" ySplit="5" topLeftCell="CO6" activePane="bottomRight" state="frozen"/>
      <selection pane="topRight" activeCell="F1" sqref="F1"/>
      <selection pane="bottomLeft" activeCell="A6" sqref="A6"/>
      <selection pane="bottomRight" sqref="A1:EXA4005"/>
    </sheetView>
  </sheetViews>
  <sheetFormatPr defaultColWidth="15.28515625" defaultRowHeight="12.75" x14ac:dyDescent="0.2"/>
  <cols>
    <col min="1" max="1" width="6.28515625" customWidth="1"/>
    <col min="2" max="2" width="24.28515625" bestFit="1" customWidth="1"/>
    <col min="3" max="3" width="11.140625" customWidth="1"/>
    <col min="4" max="4" width="7.7109375" customWidth="1"/>
    <col min="5" max="5" width="10.85546875" customWidth="1"/>
    <col min="6" max="6" width="9.42578125" bestFit="1" customWidth="1"/>
    <col min="7" max="7" width="8.85546875" bestFit="1" customWidth="1"/>
    <col min="8" max="12" width="9.5703125" bestFit="1" customWidth="1"/>
    <col min="13" max="13" width="8.7109375" bestFit="1" customWidth="1"/>
    <col min="14" max="14" width="17.7109375" bestFit="1" customWidth="1"/>
    <col min="15" max="15" width="16.5703125" bestFit="1" customWidth="1"/>
    <col min="16" max="18" width="16.140625" bestFit="1" customWidth="1"/>
    <col min="19" max="19" width="16.42578125" bestFit="1" customWidth="1"/>
    <col min="20" max="20" width="14.140625" bestFit="1" customWidth="1"/>
    <col min="21" max="21" width="13.42578125" bestFit="1" customWidth="1"/>
    <col min="22" max="22" width="14.28515625" bestFit="1" customWidth="1"/>
    <col min="23" max="23" width="13.7109375" bestFit="1" customWidth="1"/>
    <col min="24" max="24" width="14" bestFit="1" customWidth="1"/>
    <col min="25" max="26" width="13.85546875" bestFit="1" customWidth="1"/>
    <col min="27" max="27" width="12.28515625" bestFit="1" customWidth="1"/>
    <col min="28" max="28" width="13.42578125" bestFit="1" customWidth="1"/>
    <col min="29" max="29" width="14.28515625" bestFit="1" customWidth="1"/>
    <col min="30" max="30" width="13.7109375" bestFit="1" customWidth="1"/>
    <col min="31" max="31" width="14" bestFit="1" customWidth="1"/>
    <col min="32" max="32" width="13.85546875" bestFit="1" customWidth="1"/>
    <col min="33" max="33" width="12.28515625" bestFit="1" customWidth="1"/>
    <col min="34" max="34" width="13.42578125" bestFit="1" customWidth="1"/>
    <col min="35" max="35" width="14.28515625" bestFit="1" customWidth="1"/>
    <col min="36" max="36" width="13.7109375" bestFit="1" customWidth="1"/>
    <col min="37" max="37" width="14" bestFit="1" customWidth="1"/>
    <col min="38" max="38" width="13.85546875" bestFit="1" customWidth="1"/>
    <col min="39" max="39" width="17" bestFit="1" customWidth="1"/>
    <col min="40" max="50" width="14.7109375" bestFit="1" customWidth="1"/>
    <col min="51" max="58" width="16.85546875" bestFit="1" customWidth="1"/>
    <col min="59" max="59" width="17" bestFit="1" customWidth="1"/>
    <col min="60" max="60" width="12.28515625" bestFit="1" customWidth="1"/>
    <col min="61" max="62" width="20.85546875" bestFit="1" customWidth="1"/>
    <col min="63" max="65" width="19.42578125" bestFit="1" customWidth="1"/>
    <col min="66" max="67" width="21.42578125" bestFit="1" customWidth="1"/>
    <col min="68" max="69" width="15.5703125" bestFit="1" customWidth="1"/>
    <col min="70" max="71" width="21" bestFit="1" customWidth="1"/>
    <col min="72" max="73" width="20.85546875" bestFit="1" customWidth="1"/>
    <col min="74" max="74" width="9.5703125" bestFit="1" customWidth="1"/>
    <col min="75" max="75" width="8.7109375" bestFit="1" customWidth="1"/>
    <col min="76" max="76" width="16.7109375" bestFit="1" customWidth="1"/>
    <col min="77" max="80" width="14.85546875" bestFit="1" customWidth="1"/>
    <col min="81" max="82" width="9.5703125" bestFit="1" customWidth="1"/>
    <col min="83" max="83" width="12.85546875" bestFit="1" customWidth="1"/>
    <col min="84" max="84" width="14" bestFit="1" customWidth="1"/>
    <col min="85" max="85" width="14.85546875" bestFit="1" customWidth="1"/>
    <col min="86" max="86" width="14.28515625" bestFit="1" customWidth="1"/>
    <col min="87" max="87" width="14.5703125" bestFit="1" customWidth="1"/>
    <col min="88" max="88" width="14.42578125" bestFit="1" customWidth="1"/>
    <col min="89" max="89" width="11" bestFit="1" customWidth="1"/>
    <col min="90" max="90" width="12" bestFit="1" customWidth="1"/>
    <col min="91" max="91" width="12.85546875" bestFit="1" customWidth="1"/>
    <col min="92" max="94" width="12.5703125" bestFit="1" customWidth="1"/>
    <col min="95" max="95" width="12.42578125" bestFit="1" customWidth="1"/>
    <col min="96" max="96" width="14.85546875" bestFit="1" customWidth="1"/>
    <col min="97" max="97" width="14.28515625" bestFit="1" customWidth="1"/>
    <col min="98" max="98" width="16.140625" bestFit="1" customWidth="1"/>
    <col min="99" max="101" width="15.5703125" bestFit="1" customWidth="1"/>
    <col min="102" max="104" width="17.5703125" bestFit="1" customWidth="1"/>
    <col min="105" max="105" width="19" bestFit="1" customWidth="1"/>
    <col min="106" max="106" width="13.28515625" bestFit="1" customWidth="1"/>
    <col min="107" max="107" width="12.5703125" bestFit="1" customWidth="1"/>
    <col min="108" max="108" width="17.42578125" bestFit="1" customWidth="1"/>
    <col min="109" max="109" width="19.28515625" bestFit="1" customWidth="1"/>
    <col min="110" max="110" width="18" bestFit="1" customWidth="1"/>
    <col min="111" max="111" width="9.140625" customWidth="1"/>
    <col min="112" max="112" width="9.42578125" bestFit="1" customWidth="1"/>
    <col min="113" max="114" width="9.5703125" bestFit="1" customWidth="1"/>
    <col min="115" max="115" width="12.5703125" bestFit="1" customWidth="1"/>
    <col min="116" max="116" width="18.28515625" bestFit="1" customWidth="1"/>
    <col min="117" max="117" width="16.42578125" bestFit="1" customWidth="1"/>
    <col min="118" max="118" width="15.140625" bestFit="1" customWidth="1"/>
    <col min="119" max="119" width="20" bestFit="1" customWidth="1"/>
    <col min="120" max="120" width="18.7109375" bestFit="1" customWidth="1"/>
    <col min="121" max="121" width="19" bestFit="1" customWidth="1"/>
    <col min="122" max="122" width="20" bestFit="1" customWidth="1"/>
    <col min="123" max="123" width="18.7109375" bestFit="1" customWidth="1"/>
    <col min="124" max="124" width="19" bestFit="1" customWidth="1"/>
    <col min="125" max="125" width="15.7109375" bestFit="1" customWidth="1"/>
    <col min="126" max="126" width="17" bestFit="1" customWidth="1"/>
    <col min="127" max="127" width="16" bestFit="1" customWidth="1"/>
    <col min="128" max="128" width="15.5703125" bestFit="1" customWidth="1"/>
    <col min="129" max="129" width="16.85546875" bestFit="1" customWidth="1"/>
    <col min="130" max="130" width="15.85546875" bestFit="1" customWidth="1"/>
    <col min="131" max="131" width="15.5703125" bestFit="1" customWidth="1"/>
    <col min="132" max="132" width="16.85546875" bestFit="1" customWidth="1"/>
    <col min="133" max="133" width="15.85546875" bestFit="1" customWidth="1"/>
    <col min="134" max="134" width="16.5703125" bestFit="1" customWidth="1"/>
    <col min="135" max="135" width="12.5703125" bestFit="1" customWidth="1"/>
    <col min="136" max="136" width="11.5703125" bestFit="1" customWidth="1"/>
    <col min="137" max="137" width="15" bestFit="1" customWidth="1"/>
    <col min="138" max="138" width="16.85546875" bestFit="1" customWidth="1"/>
    <col min="139" max="139" width="15.5703125" bestFit="1" customWidth="1"/>
    <col min="140" max="140" width="9.140625" customWidth="1"/>
    <col min="141" max="141" width="9.42578125" bestFit="1" customWidth="1"/>
    <col min="142" max="143" width="9.5703125" bestFit="1" customWidth="1"/>
    <col min="144" max="144" width="12.5703125" bestFit="1" customWidth="1"/>
    <col min="145" max="145" width="15.85546875" bestFit="1" customWidth="1"/>
    <col min="146" max="146" width="14.140625" bestFit="1" customWidth="1"/>
    <col min="147" max="147" width="12.7109375" bestFit="1" customWidth="1"/>
    <col min="148" max="148" width="13.140625" bestFit="1" customWidth="1"/>
    <col min="149" max="149" width="11.7109375" bestFit="1" customWidth="1"/>
    <col min="150" max="150" width="12" bestFit="1" customWidth="1"/>
    <col min="151" max="151" width="17.7109375" bestFit="1" customWidth="1"/>
    <col min="152" max="152" width="16.28515625" bestFit="1" customWidth="1"/>
    <col min="153" max="153" width="16.5703125" bestFit="1" customWidth="1"/>
    <col min="154" max="154" width="17.7109375" bestFit="1" customWidth="1"/>
    <col min="155" max="155" width="16.28515625" bestFit="1" customWidth="1"/>
    <col min="156" max="156" width="16.5703125" bestFit="1" customWidth="1"/>
    <col min="157" max="157" width="17.7109375" bestFit="1" customWidth="1"/>
    <col min="158" max="158" width="16.28515625" bestFit="1" customWidth="1"/>
    <col min="159" max="159" width="16.5703125" bestFit="1" customWidth="1"/>
    <col min="160" max="160" width="13.42578125" bestFit="1" customWidth="1"/>
    <col min="161" max="161" width="14.7109375" bestFit="1" customWidth="1"/>
    <col min="162" max="162" width="13.7109375" bestFit="1" customWidth="1"/>
    <col min="163" max="163" width="13.28515625" bestFit="1" customWidth="1"/>
    <col min="164" max="164" width="14.5703125" bestFit="1" customWidth="1"/>
    <col min="165" max="165" width="13.5703125" bestFit="1" customWidth="1"/>
    <col min="166" max="255" width="9.140625" customWidth="1"/>
  </cols>
  <sheetData>
    <row r="1" spans="1:174" x14ac:dyDescent="0.2">
      <c r="E1" s="3" t="s">
        <v>8</v>
      </c>
      <c r="F1">
        <v>1</v>
      </c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  <c r="DK1">
        <v>110</v>
      </c>
      <c r="DL1">
        <v>111</v>
      </c>
      <c r="DM1">
        <v>112</v>
      </c>
      <c r="DN1">
        <v>113</v>
      </c>
      <c r="DO1">
        <v>114</v>
      </c>
      <c r="DP1">
        <v>115</v>
      </c>
      <c r="DQ1">
        <v>116</v>
      </c>
      <c r="DR1">
        <v>117</v>
      </c>
      <c r="DS1">
        <v>118</v>
      </c>
      <c r="DT1">
        <v>119</v>
      </c>
      <c r="DU1">
        <v>120</v>
      </c>
      <c r="DV1">
        <v>121</v>
      </c>
      <c r="DW1">
        <v>122</v>
      </c>
      <c r="DX1">
        <v>123</v>
      </c>
      <c r="DY1">
        <v>124</v>
      </c>
      <c r="DZ1">
        <v>125</v>
      </c>
      <c r="EA1">
        <v>126</v>
      </c>
      <c r="EB1">
        <v>127</v>
      </c>
      <c r="EC1">
        <v>128</v>
      </c>
      <c r="ED1">
        <v>129</v>
      </c>
      <c r="EE1">
        <v>130</v>
      </c>
      <c r="EF1">
        <v>131</v>
      </c>
      <c r="EG1">
        <v>132</v>
      </c>
      <c r="EH1">
        <v>133</v>
      </c>
      <c r="EI1">
        <v>134</v>
      </c>
      <c r="EJ1">
        <v>135</v>
      </c>
      <c r="EK1">
        <v>136</v>
      </c>
      <c r="EL1">
        <v>137</v>
      </c>
      <c r="EM1">
        <v>138</v>
      </c>
      <c r="EN1">
        <v>139</v>
      </c>
      <c r="EO1">
        <v>140</v>
      </c>
      <c r="EP1">
        <v>141</v>
      </c>
      <c r="EQ1">
        <v>142</v>
      </c>
      <c r="ER1">
        <v>143</v>
      </c>
      <c r="ES1">
        <v>144</v>
      </c>
      <c r="ET1">
        <v>145</v>
      </c>
      <c r="EU1">
        <v>146</v>
      </c>
      <c r="EV1">
        <v>147</v>
      </c>
      <c r="EW1">
        <v>148</v>
      </c>
      <c r="EX1">
        <v>149</v>
      </c>
      <c r="EY1">
        <v>150</v>
      </c>
      <c r="EZ1">
        <v>151</v>
      </c>
      <c r="FA1">
        <v>152</v>
      </c>
      <c r="FB1">
        <v>153</v>
      </c>
      <c r="FC1">
        <v>154</v>
      </c>
      <c r="FD1">
        <v>155</v>
      </c>
      <c r="FE1">
        <v>156</v>
      </c>
      <c r="FF1">
        <v>157</v>
      </c>
      <c r="FG1">
        <v>158</v>
      </c>
      <c r="FH1">
        <v>159</v>
      </c>
      <c r="FI1">
        <v>160</v>
      </c>
      <c r="FJ1">
        <v>161</v>
      </c>
      <c r="FK1">
        <v>162</v>
      </c>
      <c r="FL1">
        <v>163</v>
      </c>
      <c r="FM1">
        <v>164</v>
      </c>
      <c r="FN1">
        <v>165</v>
      </c>
      <c r="FO1">
        <v>166</v>
      </c>
      <c r="FP1">
        <v>167</v>
      </c>
      <c r="FQ1">
        <v>168</v>
      </c>
      <c r="FR1">
        <v>169</v>
      </c>
    </row>
    <row r="2" spans="1:174" x14ac:dyDescent="0.2">
      <c r="E2" s="3" t="s">
        <v>7</v>
      </c>
      <c r="F2" t="str">
        <f>IF('CDU1.GMAP'!F2="","",'CDU1.GMAP'!F2)</f>
        <v>TC_11.PV</v>
      </c>
      <c r="G2" t="str">
        <f>IF('CDU1.GMAP'!G2="","",'CDU1.GMAP'!G2)</f>
        <v>PI_11.PV</v>
      </c>
      <c r="H2" t="str">
        <f>IF('CDU1.GMAP'!H2="","",'CDU1.GMAP'!H2)</f>
        <v>FC_10.PV</v>
      </c>
      <c r="I2" t="str">
        <f>IF('CDU1.GMAP'!I2="","",'CDU1.GMAP'!I2)</f>
        <v>FC_11.PV</v>
      </c>
      <c r="J2" t="str">
        <f>IF('CDU1.GMAP'!J2="","",'CDU1.GMAP'!J2)</f>
        <v>FC_12.SP</v>
      </c>
      <c r="K2" t="str">
        <f>IF('CDU1.GMAP'!K2="","",'CDU1.GMAP'!K2)</f>
        <v>FC_13.SP</v>
      </c>
      <c r="L2" t="str">
        <f>IF('CDU1.GMAP'!L2="","",'CDU1.GMAP'!L2)</f>
        <v>FC_14.SP</v>
      </c>
      <c r="M2" t="str">
        <f>IF('CDU1.GMAP'!M2="","",'CDU1.GMAP'!M2)</f>
        <v>FI_15.PV</v>
      </c>
      <c r="N2" t="str">
        <f>IF('CDU1.GMAP'!N2="","",'CDU1.GMAP'!N2)</f>
        <v>CDU1.FEED.FLOW</v>
      </c>
      <c r="O2" t="str">
        <f>IF('CDU1.GMAP'!O2="","",'CDU1.GMAP'!O2)</f>
        <v>CDU1.OVH.FLOW</v>
      </c>
      <c r="P2" t="str">
        <f>IF('CDU1.GMAP'!P2="","",'CDU1.GMAP'!P2)</f>
        <v>CDU1.SC1.FLOW</v>
      </c>
      <c r="Q2" t="str">
        <f>IF('CDU1.GMAP'!Q2="","",'CDU1.GMAP'!Q2)</f>
        <v>CDU1.SC2.FLOW</v>
      </c>
      <c r="R2" t="str">
        <f>IF('CDU1.GMAP'!R2="","",'CDU1.GMAP'!R2)</f>
        <v>CDU1.SC3.FLOW</v>
      </c>
      <c r="S2" t="str">
        <f>IF('CDU1.GMAP'!S2="","",'CDU1.GMAP'!S2)</f>
        <v>CDU1.RES.FLOW</v>
      </c>
      <c r="T2" t="str">
        <f>IF('CDU1.GMAP'!T2="","",'CDU1.GMAP'!T2)</f>
        <v>CDU1.OVH.T95</v>
      </c>
      <c r="U2" t="str">
        <f>IF('CDU1.GMAP'!U2="","",'CDU1.GMAP'!U2)</f>
        <v>CDU1.SC1.SG</v>
      </c>
      <c r="V2" t="str">
        <f>IF('CDU1.GMAP'!V2="","",'CDU1.GMAP'!V2)</f>
        <v>CDU1.SC1.SUL</v>
      </c>
      <c r="W2" t="str">
        <f>IF('CDU1.GMAP'!W2="","",'CDU1.GMAP'!W2)</f>
        <v>CDU1.SC1.T95</v>
      </c>
      <c r="X2" t="str">
        <f>IF('CDU1.GMAP'!X2="","",'CDU1.GMAP'!X2)</f>
        <v>CDU1.SC1.TCL</v>
      </c>
      <c r="Y2" t="str">
        <f>IF('CDU1.GMAP'!Y2="","",'CDU1.GMAP'!Y2)</f>
        <v>CDU1.SC1.TFL</v>
      </c>
      <c r="Z2" t="str">
        <f>IF('CDU1.GMAP'!Z2="","",'CDU1.GMAP'!Z2)</f>
        <v>CDU1.SC1.TFZ</v>
      </c>
      <c r="AA2" t="str">
        <f>IF('CDU1.GMAP'!AA2="","",'CDU1.GMAP'!AA2)</f>
        <v>CDU1.SC2.CI</v>
      </c>
      <c r="AB2" t="str">
        <f>IF('CDU1.GMAP'!AB2="","",'CDU1.GMAP'!AB2)</f>
        <v>CDU1.SC2.SG</v>
      </c>
      <c r="AC2" t="str">
        <f>IF('CDU1.GMAP'!AC2="","",'CDU1.GMAP'!AC2)</f>
        <v>CDU1.SC2.SUL</v>
      </c>
      <c r="AD2" t="str">
        <f>IF('CDU1.GMAP'!AD2="","",'CDU1.GMAP'!AD2)</f>
        <v>CDU1.SC2.T95</v>
      </c>
      <c r="AE2" t="str">
        <f>IF('CDU1.GMAP'!AE2="","",'CDU1.GMAP'!AE2)</f>
        <v>CDU1.SC2.TCL</v>
      </c>
      <c r="AF2" t="str">
        <f>IF('CDU1.GMAP'!AF2="","",'CDU1.GMAP'!AF2)</f>
        <v>CDU1.SC2.TFL</v>
      </c>
      <c r="AG2" t="str">
        <f>IF('CDU1.GMAP'!AG2="","",'CDU1.GMAP'!AG2)</f>
        <v>CDU1.SC3.CI</v>
      </c>
      <c r="AH2" t="str">
        <f>IF('CDU1.GMAP'!AH2="","",'CDU1.GMAP'!AH2)</f>
        <v>CDU1.SC3.SG</v>
      </c>
      <c r="AI2" t="str">
        <f>IF('CDU1.GMAP'!AI2="","",'CDU1.GMAP'!AI2)</f>
        <v>CDU1.SC3.SUL</v>
      </c>
      <c r="AJ2" t="str">
        <f>IF('CDU1.GMAP'!AJ2="","",'CDU1.GMAP'!AJ2)</f>
        <v>CDU1.SC3.T95</v>
      </c>
      <c r="AK2" t="str">
        <f>IF('CDU1.GMAP'!AK2="","",'CDU1.GMAP'!AK2)</f>
        <v>CDU1.SC3.TCL</v>
      </c>
      <c r="AL2" t="str">
        <f>IF('CDU1.GMAP'!AL2="","",'CDU1.GMAP'!AL2)</f>
        <v>CDU1.SC3.TFL</v>
      </c>
      <c r="AM2" t="str">
        <f>IF('CDU1.GDOT'!G2="","",'CDU1.GDOT'!G2)</f>
        <v>CDU1.FEED.PAR1</v>
      </c>
      <c r="AN2" t="str">
        <f>IF('CDU1.GDOT'!O2="","",'CDU1.GDOT'!O2)</f>
        <v>CDU1.SC1.T951</v>
      </c>
      <c r="AO2" t="str">
        <f>IF('CDU1.GDOT'!P2="","",'CDU1.GDOT'!P2)</f>
        <v>CDU1.SC1.T952</v>
      </c>
      <c r="AP2" t="str">
        <f>IF('CDU1.GDOT'!Q2="","",'CDU1.GDOT'!Q2)</f>
        <v>CDU1.SC1.T953</v>
      </c>
      <c r="AQ2" t="str">
        <f>IF('CDU1.GDOT'!R2="","",'CDU1.GDOT'!R2)</f>
        <v>CDU1.SC2.T951</v>
      </c>
      <c r="AR2" t="str">
        <f>IF('CDU1.GDOT'!S2="","",'CDU1.GDOT'!S2)</f>
        <v>CDU1.SC2.T952</v>
      </c>
      <c r="AS2" t="str">
        <f>IF('CDU1.GDOT'!T2="","",'CDU1.GDOT'!T2)</f>
        <v>CDU1.SC2.T953</v>
      </c>
      <c r="AT2" t="str">
        <f>IF('CDU1.GDOT'!U2="","",'CDU1.GDOT'!U2)</f>
        <v>CDU1.SC2.T954</v>
      </c>
      <c r="AU2" t="str">
        <f>IF('CDU1.GDOT'!V2="","",'CDU1.GDOT'!V2)</f>
        <v>CDU1.SC2.T955</v>
      </c>
      <c r="AV2" t="str">
        <f>IF('CDU1.GDOT'!W2="","",'CDU1.GDOT'!W2)</f>
        <v>CDU1.SC3.T951</v>
      </c>
      <c r="AW2" t="str">
        <f>IF('CDU1.GDOT'!X2="","",'CDU1.GDOT'!X2)</f>
        <v>CDU1.SC3.T952</v>
      </c>
      <c r="AX2" t="str">
        <f>IF('CDU1.GDOT'!Y2="","",'CDU1.GDOT'!Y2)</f>
        <v>CDU1.SC3.T953</v>
      </c>
      <c r="AY2" t="str">
        <f>IF('CDU1.GDOT'!Z2="","",'CDU1.GDOT'!Z2)</f>
        <v>CDU1.SC3.T954</v>
      </c>
      <c r="AZ2" t="str">
        <f>IF('CDU1.GDOT'!AA2="","",'CDU1.GDOT'!AA2)</f>
        <v>CDU1.SC3.T955</v>
      </c>
      <c r="BA2" t="str">
        <f>IF('CDU1.GDOT'!AB2="","",'CDU1.GDOT'!AB2)</f>
        <v>CDU1.SC1.EVAP1</v>
      </c>
      <c r="BB2" t="str">
        <f>IF('CDU1.GDOT'!AC2="","",'CDU1.GDOT'!AC2)</f>
        <v>CDU1.SC1.EVAP2</v>
      </c>
      <c r="BC2" t="str">
        <f>IF('CDU1.GDOT'!AD2="","",'CDU1.GDOT'!AD2)</f>
        <v>CDU1.SC2.EVAP1</v>
      </c>
      <c r="BD2" t="str">
        <f>IF('CDU1.GDOT'!AE2="","",'CDU1.GDOT'!AE2)</f>
        <v>CDU1.SC2.EVAP2</v>
      </c>
      <c r="BE2" t="str">
        <f>IF('CDU1.GDOT'!AF2="","",'CDU1.GDOT'!AF2)</f>
        <v>CDU1.SC2.EVAP3</v>
      </c>
      <c r="BF2" t="str">
        <f>IF('CDU1.GDOT'!AG2="","",'CDU1.GDOT'!AG2)</f>
        <v>CDU1.SC2.EVAP4</v>
      </c>
      <c r="BG2" t="str">
        <f>IF('CDU1.GDOT'!AH2="","",'CDU1.GDOT'!AH2)</f>
        <v>CDU1.SC3.EVAP1</v>
      </c>
      <c r="BH2" t="str">
        <f>IF('CDU1.GDOT'!AI2="","",'CDU1.GDOT'!AI2)</f>
        <v>CDU1.SC3.EVAP2</v>
      </c>
      <c r="BI2" t="str">
        <f>IF('CDU1.GDOT'!AJ2="","",'CDU1.GDOT'!AJ2)</f>
        <v>CDU1.SC3.EVAP3</v>
      </c>
      <c r="BJ2" t="str">
        <f>IF('CDU1.GDOT'!AK2="","",'CDU1.GDOT'!AK2)</f>
        <v>CDU1.SC3.EVAP4</v>
      </c>
      <c r="BK2" t="str">
        <f>IF('CDU1.GDOT'!AL2="","",'CDU1.GDOT'!AL2)</f>
        <v>CDU1.FEED.PAR2</v>
      </c>
      <c r="BL2" t="str">
        <f>IF('CDU1.GDOT'!AP2="","",'CDU1.GDOT'!AP2)</f>
        <v>CDU1.SC1.CI</v>
      </c>
      <c r="BM2" t="str">
        <f>IF('CDU1.GDOT'!AS2="","",'CDU1.GDOT'!AS2)</f>
        <v>CDU1.FEED.TFL.PAR3</v>
      </c>
      <c r="BN2" t="str">
        <f>IF('CDU1.GDOT'!AT2="","",'CDU1.GDOT'!AT2)</f>
        <v>CDU1.FEED.TFL.PAR4</v>
      </c>
      <c r="BO2" t="str">
        <f>IF('CDU1.GDOT'!AV2="","",'CDU1.GDOT'!AV2)</f>
        <v>CDU1.SC1.TFL.PAR4</v>
      </c>
      <c r="BP2" t="str">
        <f>IF('CDU1.GDOT'!AX2="","",'CDU1.GDOT'!AX2)</f>
        <v>CDU1.SC2.TFL.PAR4</v>
      </c>
      <c r="BQ2" t="str">
        <f>IF('CDU1.GDOT'!AZ2="","",'CDU1.GDOT'!AZ2)</f>
        <v>CDU1.SC3.TFL.PAR4</v>
      </c>
      <c r="BR2" t="str">
        <f>IF('CDU1.GDOT'!BA2="","",'CDU1.GDOT'!BA2)</f>
        <v>CDU1.FEED.SUL.PAR3</v>
      </c>
      <c r="BS2" t="str">
        <f>IF('CDU1.GDOT'!BB2="","",'CDU1.GDOT'!BB2)</f>
        <v>CDU1.FEED.SUL.PAR4</v>
      </c>
      <c r="BT2" t="str">
        <f>IF('CDU1.GDOT'!BF2="","",'CDU1.GDOT'!BF2)</f>
        <v>CDU1.SC2.VAR1</v>
      </c>
      <c r="BU2" t="str">
        <f>IF('CDU1.GDOT'!BG2="","",'CDU1.GDOT'!BG2)</f>
        <v>CDU1.SC3.VAR1</v>
      </c>
      <c r="BV2" t="str">
        <f>IF('CDU1.GDOT'!BH2="","",'CDU1.GDOT'!BH2)</f>
        <v>CDU1.FEED.TCL.PAR3</v>
      </c>
      <c r="BW2" t="str">
        <f>IF('CDU1.GDOT'!BI2="","",'CDU1.GDOT'!BI2)</f>
        <v>CDU1.FEED.TCL.PAR4</v>
      </c>
      <c r="BX2" t="str">
        <f>IF('CDU1.GDOT'!BM2="","",'CDU1.GDOT'!BM2)</f>
        <v>CDU1.FEED.TFZ.PAR3</v>
      </c>
      <c r="BY2" t="str">
        <f>IF('CDU1.GDOT'!BN2="","",'CDU1.GDOT'!BN2)</f>
        <v>CDU1.FEED.TFZ.PAR4</v>
      </c>
      <c r="BZ2" t="str">
        <f>IF(HFB.CMAP!G2="","",HFB.CMAP!G2)</f>
        <v>FC_31.SP</v>
      </c>
      <c r="CA2" t="str">
        <f>IF(HFB.CMAP!H2="","",HFB.CMAP!H2)</f>
        <v>FI_71.PV</v>
      </c>
      <c r="CB2" t="str">
        <f>IF(HFB.GMAP!F2="","",HFB.GMAP!F2)</f>
        <v>HFB.PROD.FLOW</v>
      </c>
      <c r="CC2" t="str">
        <f>IF(HFB.GMAP!G2="","",HFB.GMAP!G2)</f>
        <v>HFB.FD1.FLOW</v>
      </c>
      <c r="CD2" t="str">
        <f>IF(HFB.GMAP!H2="","",HFB.GMAP!H2)</f>
        <v>HFB.FD2.FLOW</v>
      </c>
      <c r="CE2" t="str">
        <f>IF(HFB.GMAP!I2="","",HFB.GMAP!I2)</f>
        <v>HFB.FD3.FLOW</v>
      </c>
      <c r="CF2" t="str">
        <f>IF(HFB.GMAP!J2="","",HFB.GMAP!J2)</f>
        <v>HFB.FD4.FLOW</v>
      </c>
      <c r="CG2" t="str">
        <f>IF(HFB.GMAP!K2="","",HFB.GMAP!K2)</f>
        <v>FC_40.SP</v>
      </c>
      <c r="CH2" t="str">
        <f>IF(HFB.GMAP!O2="","",HFB.GMAP!O2)</f>
        <v>FC_81.SP</v>
      </c>
      <c r="CI2" t="str">
        <f>IF(HFB.GMAP!P2="","",HFB.GMAP!P2)</f>
        <v>HFB.PROD.CI</v>
      </c>
      <c r="CJ2" t="str">
        <f>IF(HFB.GMAP!Q2="","",HFB.GMAP!Q2)</f>
        <v>HFB.PROD.SG</v>
      </c>
      <c r="CK2" t="str">
        <f>IF(HFB.GMAP!R2="","",HFB.GMAP!R2)</f>
        <v>HFB.PROD.SUL</v>
      </c>
      <c r="CL2" t="str">
        <f>IF(HFB.GMAP!S2="","",HFB.GMAP!S2)</f>
        <v>HFB.PROD.T95</v>
      </c>
      <c r="CM2" t="str">
        <f>IF(HFB.GMAP!T2="","",HFB.GMAP!T2)</f>
        <v>HFB.PROD.TCL</v>
      </c>
      <c r="CN2" t="str">
        <f>IF(HFB.GMAP!U2="","",HFB.GMAP!U2)</f>
        <v>HFB.PROD.TFL</v>
      </c>
      <c r="CO2" t="str">
        <f>IF(HFB.GMAP!V2="","",HFB.GMAP!V2)</f>
        <v>HFB.FD4.CI</v>
      </c>
      <c r="CP2" t="str">
        <f>IF(HFB.GMAP!W2="","",HFB.GMAP!W2)</f>
        <v>HFB.FD4.SG</v>
      </c>
      <c r="CQ2" t="str">
        <f>IF(HFB.GMAP!X2="","",HFB.GMAP!X2)</f>
        <v>HFB.FD4.SUL</v>
      </c>
      <c r="CR2" t="str">
        <f>IF(HFB.GMAP!Y2="","",HFB.GMAP!Y2)</f>
        <v>HFB.FD4.T05</v>
      </c>
      <c r="CS2" t="str">
        <f>IF(HFB.GMAP!Z2="","",HFB.GMAP!Z2)</f>
        <v>HFB.FD4.T95</v>
      </c>
      <c r="CT2" t="str">
        <f>IF(HFB.GMAP!AA2="","",HFB.GMAP!AA2)</f>
        <v>HFB.FD4.TCL</v>
      </c>
      <c r="CU2" t="str">
        <f>IF(HFB.GMAP!AB2="","",HFB.GMAP!AB2)</f>
        <v>HFB.FD4.TFL</v>
      </c>
      <c r="CV2" t="str">
        <f>IF(HFB.GMAP!AC2="","",HFB.GMAP!AC2)</f>
        <v>CDU1.RUNNING</v>
      </c>
      <c r="CW2" t="str">
        <f>IF(HFB.GDOT!W2="","",HFB.GDOT!W2)</f>
        <v>HFB.FD4.VAR1</v>
      </c>
      <c r="CX2" t="str">
        <f>IF(HFB.GDOT!X2="","",HFB.GDOT!X2)</f>
        <v>HFB.PROD.VAR1</v>
      </c>
      <c r="CY2" t="str">
        <f>IF(HFB.GDOT!AG2="","",HFB.GDOT!AG2)</f>
        <v>HFB.FD4.EVAP1</v>
      </c>
      <c r="CZ2" t="str">
        <f>IF(HFB.GDOT!AH2="","",HFB.GDOT!AH2)</f>
        <v>HFB.FD4.EVAP2</v>
      </c>
      <c r="DA2" t="str">
        <f>IF(HFB.GDOT!AI2="","",HFB.GDOT!AI2)</f>
        <v>HFB.FD4.EVAP3</v>
      </c>
      <c r="DB2" t="str">
        <f>IF(HFB.GDOT!AJ2="","",HFB.GDOT!AJ2)</f>
        <v>HFB.FD4.EVAP4</v>
      </c>
      <c r="DC2" t="str">
        <f>IF(HFB.GDOT!AK2="","",HFB.GDOT!AK2)</f>
        <v>HFB.PROD.EVAP1</v>
      </c>
      <c r="DD2" t="str">
        <f>IF(HFB.GDOT!AL2="","",HFB.GDOT!AL2)</f>
        <v>HFB.PROD.EVAP2</v>
      </c>
      <c r="DE2" t="str">
        <f>IF(HFB.GDOT!AM2="","",HFB.GDOT!AM2)</f>
        <v>HFB.PROD.EVAP3</v>
      </c>
      <c r="DF2" t="str">
        <f>IF(HFB.GDOT!AN2="","",HFB.GDOT!AN2)</f>
        <v>HFB.PROD.EVAP4</v>
      </c>
      <c r="DG2" t="str">
        <f>IF(KERHT.GMAP!F2="","",KERHT.GMAP!F2)</f>
        <v>KERHT.FEED.FLOW</v>
      </c>
      <c r="DH2" t="str">
        <f>IF(KERHT.GMAP!G2="","",KERHT.GMAP!G2)</f>
        <v>KERHT.WABT</v>
      </c>
      <c r="DI2" t="str">
        <f>IF(KERHT.GMAP!H2="","",KERHT.GMAP!H2)</f>
        <v>KERHT.H2PP</v>
      </c>
      <c r="DJ2" t="str">
        <f>IF(KERHT.GMAP!I2="","",KERHT.GMAP!I2)</f>
        <v>KERHT.PROD.SUL</v>
      </c>
      <c r="DK2" t="str">
        <f>IF(KERHT.GMAP!J2="","",KERHT.GMAP!J2)</f>
        <v>KERHT.PROD.FLOW</v>
      </c>
      <c r="DL2" t="str">
        <f>IF(KERHT.GMAP!K2="","",KERHT.GMAP!K2)</f>
        <v>KERHT.OVH.FLOW</v>
      </c>
      <c r="DM2" t="str">
        <f>IF(KERHT.GMAP!M2="","",KERHT.GMAP!M2)</f>
        <v>TX_71.PV</v>
      </c>
      <c r="DN2" t="str">
        <f>IF(KERHT.GMAP!N2="","",KERHT.GMAP!N2)</f>
        <v>PX_71.PV</v>
      </c>
      <c r="DO2" t="str">
        <f>IF(KERHT.GMAP!O2="","",KERHT.GMAP!O2)</f>
        <v>FC_73.PV</v>
      </c>
      <c r="DP2" t="str">
        <f>IF(KERHT.GMAP!P2="","",KERHT.GMAP!P2)</f>
        <v>FC_72.PV</v>
      </c>
      <c r="DQ2" t="str">
        <f>IF(KERHT.GMAP!Q2="","",KERHT.GMAP!Q2)</f>
        <v>KERHT.PROD.SG</v>
      </c>
      <c r="DR2" t="str">
        <f>IF(KERHT.GMAP!R2="","",KERHT.GMAP!R2)</f>
        <v>KERHT.PROD.TCL</v>
      </c>
      <c r="DS2" t="str">
        <f>IF(KERHT.GMAP!S2="","",KERHT.GMAP!S2)</f>
        <v>KERHT.PROD.TFL</v>
      </c>
      <c r="DT2" t="str">
        <f>IF(KERHT.GMAP!T2="","",KERHT.GMAP!T2)</f>
        <v>KERHT.PROD.TFZ</v>
      </c>
      <c r="DU2" t="str">
        <f>IF(KERHT.GDOT!K2="","",KERHT.GDOT!K2)</f>
        <v>KERHT.PAR5</v>
      </c>
      <c r="DV2" t="str">
        <f>IF(KERHT.GDOT!N2="","",KERHT.GDOT!N2)</f>
        <v>KERHT.FLOW.BIAS</v>
      </c>
      <c r="DW2" t="str">
        <f>IF(KERHT.GDOT!Q2="","",KERHT.GDOT!Q2)</f>
        <v>KERHT.OVH.SG</v>
      </c>
      <c r="DX2" t="str">
        <f>IF(KERHT.GDOT!S2="","",KERHT.GDOT!S2)</f>
        <v>KERHT.PROD.EVAP1</v>
      </c>
      <c r="DY2" t="str">
        <f>IF(KERHT.GDOT!T2="","",KERHT.GDOT!T2)</f>
        <v>KERHT.OVH.EVAP1</v>
      </c>
      <c r="DZ2" t="str">
        <f>IF(KERHT.GDOT!U2="","",KERHT.GDOT!U2)</f>
        <v>KERHT.EVAP1.BIAS</v>
      </c>
      <c r="EA2" t="str">
        <f>IF(KERHT.GDOT!W2="","",KERHT.GDOT!W2)</f>
        <v>KERHT.PROD.EVAP2</v>
      </c>
      <c r="EB2" t="str">
        <f>IF(KERHT.GDOT!X2="","",KERHT.GDOT!X2)</f>
        <v>KERHT.OVH.EVAP2</v>
      </c>
      <c r="EC2" t="str">
        <f>IF(KERHT.GDOT!Y2="","",KERHT.GDOT!Y2)</f>
        <v>KERHT.EVAP2.BIAS</v>
      </c>
      <c r="ED2" t="str">
        <f>IF(KERHT.GDOT!AA2="","",KERHT.GDOT!AA2)</f>
        <v>KERHT.OVH.TCL</v>
      </c>
      <c r="EE2" t="str">
        <f>IF(KERHT.GDOT!AC2="","",KERHT.GDOT!AC2)</f>
        <v>KERHT.TCL.BIAS</v>
      </c>
      <c r="EF2" t="str">
        <f>IF(KERHT.GDOT!AE2="","",KERHT.GDOT!AE2)</f>
        <v>KERHT.OVH.TFZ</v>
      </c>
      <c r="EG2" t="str">
        <f>IF(KERHT.GDOT!AG2="","",KERHT.GDOT!AG2)</f>
        <v>KERHT.TFZ.BIAS</v>
      </c>
      <c r="EH2" t="str">
        <f>IF(KERHT.GDOT!AI2="","",KERHT.GDOT!AI2)</f>
        <v>KERHT.OVH.TFL</v>
      </c>
      <c r="EI2" t="str">
        <f>IF(KERHT.GDOT!AK2="","",KERHT.GDOT!AK2)</f>
        <v>KERHT.TFL.BIAS</v>
      </c>
      <c r="EJ2" t="str">
        <f>IF(HDS.GMAP!F2="","",HDS.GMAP!F2)</f>
        <v>HDS.FEED.FLOW</v>
      </c>
      <c r="EK2" t="str">
        <f>IF(HDS.GMAP!G2="","",HDS.GMAP!G2)</f>
        <v>HDS.WABT</v>
      </c>
      <c r="EL2" t="str">
        <f>IF(HDS.GMAP!H2="","",HDS.GMAP!H2)</f>
        <v>HDS.H2PP</v>
      </c>
      <c r="EM2" t="str">
        <f>IF(HDS.GMAP!I2="","",HDS.GMAP!I2)</f>
        <v>HDS.PROD.SUL</v>
      </c>
      <c r="EN2" t="str">
        <f>IF(HDS.GMAP!J2="","",HDS.GMAP!J2)</f>
        <v>HDS.PROD.FLOW</v>
      </c>
      <c r="EO2" t="str">
        <f>IF(HDS.GMAP!K2="","",HDS.GMAP!K2)</f>
        <v>HDS.OVH.FLOW</v>
      </c>
      <c r="EP2" t="str">
        <f>IF(HDS.GMAP!M2="","",HDS.GMAP!M2)</f>
        <v>TX_40.PV</v>
      </c>
      <c r="EQ2" t="str">
        <f>IF(HDS.GMAP!N2="","",HDS.GMAP!N2)</f>
        <v>PX_40.PV</v>
      </c>
      <c r="ER2" t="str">
        <f>IF(HDS.GMAP!O2="","",HDS.GMAP!O2)</f>
        <v>FC_42.PV</v>
      </c>
      <c r="ES2" t="str">
        <f>IF(HDS.GMAP!P2="","",HDS.GMAP!P2)</f>
        <v>FC_41.PV</v>
      </c>
      <c r="ET2" t="str">
        <f>IF(HDS.GMAP!Q2="","",HDS.GMAP!Q2)</f>
        <v>HDS.PROD.CI</v>
      </c>
      <c r="EU2" t="str">
        <f>IF(HDS.GMAP!R2="","",HDS.GMAP!R2)</f>
        <v>HDS.PROD.SG</v>
      </c>
      <c r="EV2" t="str">
        <f>IF(HDS.GMAP!S2="","",HDS.GMAP!S2)</f>
        <v>HDS.PROD.TCL</v>
      </c>
      <c r="EW2" t="str">
        <f>IF(HDS.GMAP!T2="","",HDS.GMAP!T2)</f>
        <v>HDS.PROD.TFL</v>
      </c>
      <c r="EX2" t="str">
        <f>IF(HDS.GDOT!K2="","",HDS.GDOT!K2)</f>
        <v>HDS.PAR5</v>
      </c>
      <c r="EY2" t="str">
        <f>IF(HDS.GDOT!N2="","",HDS.GDOT!N2)</f>
        <v>HDS.FLOW.BIAS</v>
      </c>
      <c r="EZ2" t="str">
        <f>IF(HDS.GDOT!Q2="","",HDS.GDOT!Q2)</f>
        <v>HDS.OVH.SG</v>
      </c>
      <c r="FA2" t="str">
        <f>IF(HDS.GDOT!T2="","",HDS.GDOT!T2)</f>
        <v>HDS.OVH.CI</v>
      </c>
      <c r="FB2" t="str">
        <f>IF(HDS.GDOT!U2="","",HDS.GDOT!U2)</f>
        <v>HDS.CI.BIAS</v>
      </c>
      <c r="FC2" t="str">
        <f>IF(HDS.GDOT!W2="","",HDS.GDOT!W2)</f>
        <v>HDS.PROD.EVAP1</v>
      </c>
      <c r="FD2" t="str">
        <f>IF(HDS.GDOT!X2="","",HDS.GDOT!X2)</f>
        <v>HDS.OVH.EVAP1</v>
      </c>
      <c r="FE2" t="str">
        <f>IF(HDS.GDOT!Y2="","",HDS.GDOT!Y2)</f>
        <v>HDS.EVAP1.BIAS</v>
      </c>
      <c r="FF2" t="str">
        <f>IF(HDS.GDOT!AA2="","",HDS.GDOT!AA2)</f>
        <v>HDS.PROD.EVAP2</v>
      </c>
      <c r="FG2" t="str">
        <f>IF(HDS.GDOT!AB2="","",HDS.GDOT!AB2)</f>
        <v>HDS.OVH.EVAP2</v>
      </c>
      <c r="FH2" t="str">
        <f>IF(HDS.GDOT!AC2="","",HDS.GDOT!AC2)</f>
        <v>HDS.EVAP2.BIAS</v>
      </c>
      <c r="FI2" t="str">
        <f>IF(HDS.GDOT!AE2="","",HDS.GDOT!AE2)</f>
        <v>HDS.PROD.EVAP3</v>
      </c>
      <c r="FJ2" t="str">
        <f>IF(HDS.GDOT!AF2="","",HDS.GDOT!AF2)</f>
        <v>HDS.OVH.EVAP3</v>
      </c>
      <c r="FK2" t="str">
        <f>IF(HDS.GDOT!AG2="","",HDS.GDOT!AG2)</f>
        <v>HDS.EVAP3.BIAS</v>
      </c>
      <c r="FL2" t="str">
        <f>IF(HDS.GDOT!AI2="","",HDS.GDOT!AI2)</f>
        <v>HDS.PROD.EVAP4</v>
      </c>
      <c r="FM2" t="str">
        <f>IF(HDS.GDOT!AJ2="","",HDS.GDOT!AJ2)</f>
        <v>HDS.OVH.EVAP4</v>
      </c>
      <c r="FN2" t="str">
        <f>IF(HDS.GDOT!AK2="","",HDS.GDOT!AK2)</f>
        <v>HDS.EVAP4.BIAS</v>
      </c>
      <c r="FO2" t="str">
        <f>IF(HDS.GDOT!AM2="","",HDS.GDOT!AM2)</f>
        <v>HDS.OVH.TCL</v>
      </c>
      <c r="FP2" t="str">
        <f>IF(HDS.GDOT!AO2="","",HDS.GDOT!AO2)</f>
        <v>HDS.TCL.BIAS</v>
      </c>
      <c r="FQ2" t="str">
        <f>IF(HDS.GDOT!AQ2="","",HDS.GDOT!AQ2)</f>
        <v>HDS.OVH.TFL</v>
      </c>
      <c r="FR2" t="str">
        <f>IF(HDS.GDOT!AS2="","",HDS.GDOT!AS2)</f>
        <v>HDS.TFL.BIAS</v>
      </c>
    </row>
    <row r="3" spans="1:174" x14ac:dyDescent="0.2">
      <c r="E3" s="3" t="s">
        <v>9</v>
      </c>
      <c r="F3" t="str">
        <f>IF('CDU1.GMAP'!F3="","",'CDU1.GMAP'!F3)</f>
        <v/>
      </c>
      <c r="G3" t="str">
        <f>IF('CDU1.GMAP'!G3="","",'CDU1.GMAP'!G3)</f>
        <v/>
      </c>
      <c r="H3" t="str">
        <f>IF('CDU1.GMAP'!H3="","",'CDU1.GMAP'!H3)</f>
        <v/>
      </c>
      <c r="I3" t="str">
        <f>IF('CDU1.GMAP'!I3="","",'CDU1.GMAP'!I3)</f>
        <v/>
      </c>
      <c r="J3" t="str">
        <f>IF('CDU1.GMAP'!J3="","",'CDU1.GMAP'!J3)</f>
        <v/>
      </c>
      <c r="K3" t="str">
        <f>IF('CDU1.GMAP'!K3="","",'CDU1.GMAP'!K3)</f>
        <v/>
      </c>
      <c r="L3" t="str">
        <f>IF('CDU1.GMAP'!L3="","",'CDU1.GMAP'!L3)</f>
        <v/>
      </c>
      <c r="M3" t="str">
        <f>IF('CDU1.GMAP'!M3="","",'CDU1.GMAP'!M3)</f>
        <v/>
      </c>
      <c r="N3" t="str">
        <f>IF('CDU1.GMAP'!N3="","",'CDU1.GMAP'!N3)</f>
        <v/>
      </c>
      <c r="O3" t="str">
        <f>IF('CDU1.GMAP'!O3="","",'CDU1.GMAP'!O3)</f>
        <v/>
      </c>
      <c r="P3" t="str">
        <f>IF('CDU1.GMAP'!P3="","",'CDU1.GMAP'!P3)</f>
        <v/>
      </c>
      <c r="Q3" t="str">
        <f>IF('CDU1.GMAP'!Q3="","",'CDU1.GMAP'!Q3)</f>
        <v/>
      </c>
      <c r="R3" t="str">
        <f>IF('CDU1.GMAP'!R3="","",'CDU1.GMAP'!R3)</f>
        <v/>
      </c>
      <c r="S3" t="str">
        <f>IF('CDU1.GMAP'!S3="","",'CDU1.GMAP'!S3)</f>
        <v/>
      </c>
      <c r="T3" t="str">
        <f>IF('CDU1.GMAP'!T3="","",'CDU1.GMAP'!T3)</f>
        <v/>
      </c>
      <c r="U3" t="str">
        <f>IF('CDU1.GMAP'!U3="","",'CDU1.GMAP'!U3)</f>
        <v/>
      </c>
      <c r="V3" t="str">
        <f>IF('CDU1.GMAP'!V3="","",'CDU1.GMAP'!V3)</f>
        <v/>
      </c>
      <c r="W3" t="str">
        <f>IF('CDU1.GMAP'!W3="","",'CDU1.GMAP'!W3)</f>
        <v/>
      </c>
      <c r="X3" t="str">
        <f>IF('CDU1.GMAP'!X3="","",'CDU1.GMAP'!X3)</f>
        <v/>
      </c>
      <c r="Y3" t="str">
        <f>IF('CDU1.GMAP'!Y3="","",'CDU1.GMAP'!Y3)</f>
        <v/>
      </c>
      <c r="Z3" t="str">
        <f>IF('CDU1.GMAP'!Z3="","",'CDU1.GMAP'!Z3)</f>
        <v/>
      </c>
      <c r="AA3" t="str">
        <f>IF('CDU1.GMAP'!AA3="","",'CDU1.GMAP'!AA3)</f>
        <v/>
      </c>
      <c r="AB3" t="str">
        <f>IF('CDU1.GMAP'!AB3="","",'CDU1.GMAP'!AB3)</f>
        <v/>
      </c>
      <c r="AC3" t="str">
        <f>IF('CDU1.GMAP'!AC3="","",'CDU1.GMAP'!AC3)</f>
        <v/>
      </c>
      <c r="AD3" t="str">
        <f>IF('CDU1.GMAP'!AD3="","",'CDU1.GMAP'!AD3)</f>
        <v/>
      </c>
      <c r="AE3" t="str">
        <f>IF('CDU1.GMAP'!AE3="","",'CDU1.GMAP'!AE3)</f>
        <v/>
      </c>
      <c r="AF3" t="str">
        <f>IF('CDU1.GMAP'!AF3="","",'CDU1.GMAP'!AF3)</f>
        <v/>
      </c>
      <c r="AG3" t="str">
        <f>IF('CDU1.GMAP'!AG3="","",'CDU1.GMAP'!AG3)</f>
        <v/>
      </c>
      <c r="AH3" t="str">
        <f>IF('CDU1.GMAP'!AH3="","",'CDU1.GMAP'!AH3)</f>
        <v/>
      </c>
      <c r="AI3" t="str">
        <f>IF('CDU1.GMAP'!AI3="","",'CDU1.GMAP'!AI3)</f>
        <v/>
      </c>
      <c r="AJ3" t="str">
        <f>IF('CDU1.GMAP'!AJ3="","",'CDU1.GMAP'!AJ3)</f>
        <v/>
      </c>
      <c r="AK3" t="str">
        <f>IF('CDU1.GMAP'!AK3="","",'CDU1.GMAP'!AK3)</f>
        <v/>
      </c>
      <c r="AL3" t="str">
        <f>IF('CDU1.GMAP'!AL3="","",'CDU1.GMAP'!AL3)</f>
        <v/>
      </c>
      <c r="AM3" t="str">
        <f>IF('CDU1.GDOT'!G3="","",'CDU1.GDOT'!G3)</f>
        <v/>
      </c>
      <c r="AN3" t="str">
        <f>IF('CDU1.GDOT'!O3="","",'CDU1.GDOT'!O3)</f>
        <v/>
      </c>
      <c r="AO3" t="str">
        <f>IF('CDU1.GDOT'!P3="","",'CDU1.GDOT'!P3)</f>
        <v/>
      </c>
      <c r="AP3" t="str">
        <f>IF('CDU1.GDOT'!Q3="","",'CDU1.GDOT'!Q3)</f>
        <v/>
      </c>
      <c r="AQ3" t="str">
        <f>IF('CDU1.GDOT'!R3="","",'CDU1.GDOT'!R3)</f>
        <v/>
      </c>
      <c r="AR3" t="str">
        <f>IF('CDU1.GDOT'!S3="","",'CDU1.GDOT'!S3)</f>
        <v/>
      </c>
      <c r="AS3" t="str">
        <f>IF('CDU1.GDOT'!T3="","",'CDU1.GDOT'!T3)</f>
        <v/>
      </c>
      <c r="AT3" t="str">
        <f>IF('CDU1.GDOT'!U3="","",'CDU1.GDOT'!U3)</f>
        <v/>
      </c>
      <c r="AU3" t="str">
        <f>IF('CDU1.GDOT'!V3="","",'CDU1.GDOT'!V3)</f>
        <v/>
      </c>
      <c r="AV3" t="str">
        <f>IF('CDU1.GDOT'!W3="","",'CDU1.GDOT'!W3)</f>
        <v/>
      </c>
      <c r="AW3" t="str">
        <f>IF('CDU1.GDOT'!X3="","",'CDU1.GDOT'!X3)</f>
        <v/>
      </c>
      <c r="AX3" t="str">
        <f>IF('CDU1.GDOT'!Y3="","",'CDU1.GDOT'!Y3)</f>
        <v/>
      </c>
      <c r="AY3" t="str">
        <f>IF('CDU1.GDOT'!Z3="","",'CDU1.GDOT'!Z3)</f>
        <v/>
      </c>
      <c r="AZ3" t="str">
        <f>IF('CDU1.GDOT'!AA3="","",'CDU1.GDOT'!AA3)</f>
        <v/>
      </c>
      <c r="BA3" t="str">
        <f>IF('CDU1.GDOT'!AB3="","",'CDU1.GDOT'!AB3)</f>
        <v/>
      </c>
      <c r="BB3" t="str">
        <f>IF('CDU1.GDOT'!AC3="","",'CDU1.GDOT'!AC3)</f>
        <v/>
      </c>
      <c r="BC3" t="str">
        <f>IF('CDU1.GDOT'!AD3="","",'CDU1.GDOT'!AD3)</f>
        <v/>
      </c>
      <c r="BD3" t="str">
        <f>IF('CDU1.GDOT'!AE3="","",'CDU1.GDOT'!AE3)</f>
        <v/>
      </c>
      <c r="BE3" t="str">
        <f>IF('CDU1.GDOT'!AF3="","",'CDU1.GDOT'!AF3)</f>
        <v/>
      </c>
      <c r="BF3" t="str">
        <f>IF('CDU1.GDOT'!AG3="","",'CDU1.GDOT'!AG3)</f>
        <v/>
      </c>
      <c r="BG3" t="str">
        <f>IF('CDU1.GDOT'!AH3="","",'CDU1.GDOT'!AH3)</f>
        <v/>
      </c>
      <c r="BH3" t="str">
        <f>IF('CDU1.GDOT'!AI3="","",'CDU1.GDOT'!AI3)</f>
        <v/>
      </c>
      <c r="BI3" t="str">
        <f>IF('CDU1.GDOT'!AJ3="","",'CDU1.GDOT'!AJ3)</f>
        <v/>
      </c>
      <c r="BJ3" t="str">
        <f>IF('CDU1.GDOT'!AK3="","",'CDU1.GDOT'!AK3)</f>
        <v/>
      </c>
      <c r="BK3" t="str">
        <f>IF('CDU1.GDOT'!AL3="","",'CDU1.GDOT'!AL3)</f>
        <v/>
      </c>
      <c r="BL3" t="str">
        <f>IF('CDU1.GDOT'!AP3="","",'CDU1.GDOT'!AP3)</f>
        <v/>
      </c>
      <c r="BM3" t="str">
        <f>IF('CDU1.GDOT'!AS3="","",'CDU1.GDOT'!AS3)</f>
        <v/>
      </c>
      <c r="BN3" t="str">
        <f>IF('CDU1.GDOT'!AT3="","",'CDU1.GDOT'!AT3)</f>
        <v/>
      </c>
      <c r="BO3" t="str">
        <f>IF('CDU1.GDOT'!AV3="","",'CDU1.GDOT'!AV3)</f>
        <v/>
      </c>
      <c r="BP3" t="str">
        <f>IF('CDU1.GDOT'!AX3="","",'CDU1.GDOT'!AX3)</f>
        <v/>
      </c>
      <c r="BQ3" t="str">
        <f>IF('CDU1.GDOT'!AZ3="","",'CDU1.GDOT'!AZ3)</f>
        <v/>
      </c>
      <c r="BR3" t="str">
        <f>IF('CDU1.GDOT'!BA3="","",'CDU1.GDOT'!BA3)</f>
        <v/>
      </c>
      <c r="BS3" t="str">
        <f>IF('CDU1.GDOT'!BB3="","",'CDU1.GDOT'!BB3)</f>
        <v/>
      </c>
      <c r="BT3" t="str">
        <f>IF('CDU1.GDOT'!BF3="","",'CDU1.GDOT'!BF3)</f>
        <v/>
      </c>
      <c r="BU3" t="str">
        <f>IF('CDU1.GDOT'!BG3="","",'CDU1.GDOT'!BG3)</f>
        <v/>
      </c>
      <c r="BV3" t="str">
        <f>IF('CDU1.GDOT'!BH3="","",'CDU1.GDOT'!BH3)</f>
        <v/>
      </c>
      <c r="BW3" t="str">
        <f>IF('CDU1.GDOT'!BI3="","",'CDU1.GDOT'!BI3)</f>
        <v/>
      </c>
      <c r="BX3" t="str">
        <f>IF('CDU1.GDOT'!BM3="","",'CDU1.GDOT'!BM3)</f>
        <v/>
      </c>
      <c r="BY3" t="str">
        <f>IF('CDU1.GDOT'!BN3="","",'CDU1.GDOT'!BN3)</f>
        <v/>
      </c>
      <c r="BZ3" t="str">
        <f>IF(HFB.CMAP!G3="","",HFB.CMAP!G3)</f>
        <v/>
      </c>
      <c r="CA3" t="str">
        <f>IF(HFB.CMAP!H3="","",HFB.CMAP!H3)</f>
        <v/>
      </c>
      <c r="CB3" t="str">
        <f>IF(HFB.GMAP!F3="","",HFB.GMAP!F3)</f>
        <v/>
      </c>
      <c r="CC3" t="str">
        <f>IF(HFB.GMAP!G3="","",HFB.GMAP!G3)</f>
        <v/>
      </c>
      <c r="CD3" t="str">
        <f>IF(HFB.GMAP!H3="","",HFB.GMAP!H3)</f>
        <v/>
      </c>
      <c r="CE3" t="str">
        <f>IF(HFB.GMAP!I3="","",HFB.GMAP!I3)</f>
        <v/>
      </c>
      <c r="CF3" t="str">
        <f>IF(HFB.GMAP!J3="","",HFB.GMAP!J3)</f>
        <v/>
      </c>
      <c r="CG3" t="str">
        <f>IF(HFB.GMAP!K3="","",HFB.GMAP!K3)</f>
        <v/>
      </c>
      <c r="CH3" t="str">
        <f>IF(HFB.GMAP!O3="","",HFB.GMAP!O3)</f>
        <v/>
      </c>
      <c r="CI3" t="str">
        <f>IF(HFB.GMAP!P3="","",HFB.GMAP!P3)</f>
        <v/>
      </c>
      <c r="CJ3" t="str">
        <f>IF(HFB.GMAP!Q3="","",HFB.GMAP!Q3)</f>
        <v/>
      </c>
      <c r="CK3" t="str">
        <f>IF(HFB.GMAP!R3="","",HFB.GMAP!R3)</f>
        <v/>
      </c>
      <c r="CL3" t="str">
        <f>IF(HFB.GMAP!S3="","",HFB.GMAP!S3)</f>
        <v/>
      </c>
      <c r="CM3" t="str">
        <f>IF(HFB.GMAP!T3="","",HFB.GMAP!T3)</f>
        <v/>
      </c>
      <c r="CN3" t="str">
        <f>IF(HFB.GMAP!U3="","",HFB.GMAP!U3)</f>
        <v/>
      </c>
      <c r="CO3" t="str">
        <f>IF(HFB.GMAP!V3="","",HFB.GMAP!V3)</f>
        <v/>
      </c>
      <c r="CP3" t="str">
        <f>IF(HFB.GMAP!W3="","",HFB.GMAP!W3)</f>
        <v/>
      </c>
      <c r="CQ3" t="str">
        <f>IF(HFB.GMAP!X3="","",HFB.GMAP!X3)</f>
        <v/>
      </c>
      <c r="CR3" t="str">
        <f>IF(HFB.GMAP!Y3="","",HFB.GMAP!Y3)</f>
        <v/>
      </c>
      <c r="CS3" t="str">
        <f>IF(HFB.GMAP!Z3="","",HFB.GMAP!Z3)</f>
        <v/>
      </c>
      <c r="CT3" t="str">
        <f>IF(HFB.GMAP!AA3="","",HFB.GMAP!AA3)</f>
        <v/>
      </c>
      <c r="CU3" t="str">
        <f>IF(HFB.GMAP!AB3="","",HFB.GMAP!AB3)</f>
        <v/>
      </c>
      <c r="CV3" t="str">
        <f>IF(HFB.GMAP!AC3="","",HFB.GMAP!AC3)</f>
        <v/>
      </c>
      <c r="CW3" t="str">
        <f>IF(HFB.GDOT!W3="","",HFB.GDOT!W3)</f>
        <v/>
      </c>
      <c r="CX3" t="str">
        <f>IF(HFB.GDOT!X3="","",HFB.GDOT!X3)</f>
        <v/>
      </c>
      <c r="CY3" t="str">
        <f>IF(HFB.GDOT!AG3="","",HFB.GDOT!AG3)</f>
        <v/>
      </c>
      <c r="CZ3" t="str">
        <f>IF(HFB.GDOT!AH3="","",HFB.GDOT!AH3)</f>
        <v/>
      </c>
      <c r="DA3" t="str">
        <f>IF(HFB.GDOT!AI3="","",HFB.GDOT!AI3)</f>
        <v/>
      </c>
      <c r="DB3" t="str">
        <f>IF(HFB.GDOT!AJ3="","",HFB.GDOT!AJ3)</f>
        <v/>
      </c>
      <c r="DC3" t="str">
        <f>IF(HFB.GDOT!AK3="","",HFB.GDOT!AK3)</f>
        <v/>
      </c>
      <c r="DD3" t="str">
        <f>IF(HFB.GDOT!AL3="","",HFB.GDOT!AL3)</f>
        <v/>
      </c>
      <c r="DE3" t="str">
        <f>IF(HFB.GDOT!AM3="","",HFB.GDOT!AM3)</f>
        <v/>
      </c>
      <c r="DF3" t="str">
        <f>IF(HFB.GDOT!AN3="","",HFB.GDOT!AN3)</f>
        <v/>
      </c>
      <c r="DG3" t="str">
        <f>IF(KERHT.GMAP!F3="","",KERHT.GMAP!F3)</f>
        <v/>
      </c>
      <c r="DH3" t="str">
        <f>IF(KERHT.GMAP!G3="","",KERHT.GMAP!G3)</f>
        <v/>
      </c>
      <c r="DI3" t="str">
        <f>IF(KERHT.GMAP!H3="","",KERHT.GMAP!H3)</f>
        <v/>
      </c>
      <c r="DJ3" t="str">
        <f>IF(KERHT.GMAP!I3="","",KERHT.GMAP!I3)</f>
        <v/>
      </c>
      <c r="DK3" t="str">
        <f>IF(KERHT.GMAP!J3="","",KERHT.GMAP!J3)</f>
        <v/>
      </c>
      <c r="DL3" t="str">
        <f>IF(KERHT.GMAP!K3="","",KERHT.GMAP!K3)</f>
        <v/>
      </c>
      <c r="DM3" t="str">
        <f>IF(KERHT.GMAP!M3="","",KERHT.GMAP!M3)</f>
        <v/>
      </c>
      <c r="DN3" t="str">
        <f>IF(KERHT.GMAP!N3="","",KERHT.GMAP!N3)</f>
        <v/>
      </c>
      <c r="DO3" t="str">
        <f>IF(KERHT.GMAP!O3="","",KERHT.GMAP!O3)</f>
        <v/>
      </c>
      <c r="DP3" t="str">
        <f>IF(KERHT.GMAP!P3="","",KERHT.GMAP!P3)</f>
        <v/>
      </c>
      <c r="DQ3" t="str">
        <f>IF(KERHT.GMAP!Q3="","",KERHT.GMAP!Q3)</f>
        <v/>
      </c>
      <c r="DR3" t="str">
        <f>IF(KERHT.GMAP!R3="","",KERHT.GMAP!R3)</f>
        <v/>
      </c>
      <c r="DS3" t="str">
        <f>IF(KERHT.GMAP!S3="","",KERHT.GMAP!S3)</f>
        <v/>
      </c>
      <c r="DT3" t="str">
        <f>IF(KERHT.GMAP!T3="","",KERHT.GMAP!T3)</f>
        <v/>
      </c>
      <c r="DU3" t="str">
        <f>IF(KERHT.GDOT!K3="","",KERHT.GDOT!K3)</f>
        <v/>
      </c>
      <c r="DV3" t="str">
        <f>IF(KERHT.GDOT!N3="","",KERHT.GDOT!N3)</f>
        <v/>
      </c>
      <c r="DW3" t="str">
        <f>IF(KERHT.GDOT!Q3="","",KERHT.GDOT!Q3)</f>
        <v/>
      </c>
      <c r="DX3" t="str">
        <f>IF(KERHT.GDOT!S3="","",KERHT.GDOT!S3)</f>
        <v/>
      </c>
      <c r="DY3" t="str">
        <f>IF(KERHT.GDOT!T3="","",KERHT.GDOT!T3)</f>
        <v/>
      </c>
      <c r="DZ3" t="str">
        <f>IF(KERHT.GDOT!U3="","",KERHT.GDOT!U3)</f>
        <v/>
      </c>
      <c r="EA3" t="str">
        <f>IF(KERHT.GDOT!W3="","",KERHT.GDOT!W3)</f>
        <v/>
      </c>
      <c r="EB3" t="str">
        <f>IF(KERHT.GDOT!X3="","",KERHT.GDOT!X3)</f>
        <v/>
      </c>
      <c r="EC3" t="str">
        <f>IF(KERHT.GDOT!Y3="","",KERHT.GDOT!Y3)</f>
        <v/>
      </c>
      <c r="ED3" t="str">
        <f>IF(KERHT.GDOT!AA3="","",KERHT.GDOT!AA3)</f>
        <v/>
      </c>
      <c r="EE3" t="str">
        <f>IF(KERHT.GDOT!AC3="","",KERHT.GDOT!AC3)</f>
        <v/>
      </c>
      <c r="EF3" t="str">
        <f>IF(KERHT.GDOT!AE3="","",KERHT.GDOT!AE3)</f>
        <v/>
      </c>
      <c r="EG3" t="str">
        <f>IF(KERHT.GDOT!AG3="","",KERHT.GDOT!AG3)</f>
        <v/>
      </c>
      <c r="EH3" t="str">
        <f>IF(KERHT.GDOT!AI3="","",KERHT.GDOT!AI3)</f>
        <v/>
      </c>
      <c r="EI3" t="str">
        <f>IF(KERHT.GDOT!AK3="","",KERHT.GDOT!AK3)</f>
        <v/>
      </c>
      <c r="EJ3" t="str">
        <f>IF(HDS.GMAP!F3="","",HDS.GMAP!F3)</f>
        <v/>
      </c>
      <c r="EK3" t="str">
        <f>IF(HDS.GMAP!G3="","",HDS.GMAP!G3)</f>
        <v/>
      </c>
      <c r="EL3" t="str">
        <f>IF(HDS.GMAP!H3="","",HDS.GMAP!H3)</f>
        <v/>
      </c>
      <c r="EM3" t="str">
        <f>IF(HDS.GMAP!I3="","",HDS.GMAP!I3)</f>
        <v/>
      </c>
      <c r="EN3" t="str">
        <f>IF(HDS.GMAP!J3="","",HDS.GMAP!J3)</f>
        <v/>
      </c>
      <c r="EO3" t="str">
        <f>IF(HDS.GMAP!K3="","",HDS.GMAP!K3)</f>
        <v/>
      </c>
      <c r="EP3" t="str">
        <f>IF(HDS.GMAP!M3="","",HDS.GMAP!M3)</f>
        <v/>
      </c>
      <c r="EQ3" t="str">
        <f>IF(HDS.GMAP!N3="","",HDS.GMAP!N3)</f>
        <v/>
      </c>
      <c r="ER3" t="str">
        <f>IF(HDS.GMAP!O3="","",HDS.GMAP!O3)</f>
        <v/>
      </c>
      <c r="ES3" t="str">
        <f>IF(HDS.GMAP!P3="","",HDS.GMAP!P3)</f>
        <v/>
      </c>
      <c r="ET3" t="str">
        <f>IF(HDS.GMAP!Q3="","",HDS.GMAP!Q3)</f>
        <v/>
      </c>
      <c r="EU3" t="str">
        <f>IF(HDS.GMAP!R3="","",HDS.GMAP!R3)</f>
        <v/>
      </c>
      <c r="EV3" t="str">
        <f>IF(HDS.GMAP!S3="","",HDS.GMAP!S3)</f>
        <v/>
      </c>
      <c r="EW3" t="str">
        <f>IF(HDS.GMAP!T3="","",HDS.GMAP!T3)</f>
        <v/>
      </c>
      <c r="EX3" t="str">
        <f>IF(HDS.GDOT!K3="","",HDS.GDOT!K3)</f>
        <v/>
      </c>
      <c r="EY3" t="str">
        <f>IF(HDS.GDOT!N3="","",HDS.GDOT!N3)</f>
        <v/>
      </c>
      <c r="EZ3" t="str">
        <f>IF(HDS.GDOT!Q3="","",HDS.GDOT!Q3)</f>
        <v/>
      </c>
      <c r="FA3" t="str">
        <f>IF(HDS.GDOT!T3="","",HDS.GDOT!T3)</f>
        <v/>
      </c>
      <c r="FB3" t="str">
        <f>IF(HDS.GDOT!U3="","",HDS.GDOT!U3)</f>
        <v/>
      </c>
      <c r="FC3" t="str">
        <f>IF(HDS.GDOT!W3="","",HDS.GDOT!W3)</f>
        <v/>
      </c>
      <c r="FD3" t="str">
        <f>IF(HDS.GDOT!X3="","",HDS.GDOT!X3)</f>
        <v/>
      </c>
      <c r="FE3" t="str">
        <f>IF(HDS.GDOT!Y3="","",HDS.GDOT!Y3)</f>
        <v/>
      </c>
      <c r="FF3" t="str">
        <f>IF(HDS.GDOT!AA3="","",HDS.GDOT!AA3)</f>
        <v/>
      </c>
      <c r="FG3" t="str">
        <f>IF(HDS.GDOT!AB3="","",HDS.GDOT!AB3)</f>
        <v/>
      </c>
      <c r="FH3" t="str">
        <f>IF(HDS.GDOT!AC3="","",HDS.GDOT!AC3)</f>
        <v/>
      </c>
      <c r="FI3" t="str">
        <f>IF(HDS.GDOT!AE3="","",HDS.GDOT!AE3)</f>
        <v/>
      </c>
      <c r="FJ3" t="str">
        <f>IF(HDS.GDOT!AF3="","",HDS.GDOT!AF3)</f>
        <v/>
      </c>
      <c r="FK3" t="str">
        <f>IF(HDS.GDOT!AG3="","",HDS.GDOT!AG3)</f>
        <v/>
      </c>
      <c r="FL3" t="str">
        <f>IF(HDS.GDOT!AI3="","",HDS.GDOT!AI3)</f>
        <v/>
      </c>
      <c r="FM3" t="str">
        <f>IF(HDS.GDOT!AJ3="","",HDS.GDOT!AJ3)</f>
        <v/>
      </c>
      <c r="FN3" t="str">
        <f>IF(HDS.GDOT!AK3="","",HDS.GDOT!AK3)</f>
        <v/>
      </c>
      <c r="FO3" t="str">
        <f>IF(HDS.GDOT!AM3="","",HDS.GDOT!AM3)</f>
        <v/>
      </c>
      <c r="FP3" t="str">
        <f>IF(HDS.GDOT!AO3="","",HDS.GDOT!AO3)</f>
        <v/>
      </c>
      <c r="FQ3" t="str">
        <f>IF(HDS.GDOT!AQ3="","",HDS.GDOT!AQ3)</f>
        <v/>
      </c>
      <c r="FR3" t="str">
        <f>IF(HDS.GDOT!AS3="","",HDS.GDOT!AS3)</f>
        <v/>
      </c>
    </row>
    <row r="4" spans="1:174" x14ac:dyDescent="0.2">
      <c r="E4" s="3" t="s">
        <v>10</v>
      </c>
      <c r="F4" t="str">
        <f>IF('CDU1.GMAP'!F4="","",'CDU1.GMAP'!F4)</f>
        <v/>
      </c>
      <c r="G4" t="str">
        <f>IF('CDU1.GMAP'!G4="","",'CDU1.GMAP'!G4)</f>
        <v/>
      </c>
      <c r="H4" t="str">
        <f>IF('CDU1.GMAP'!H4="","",'CDU1.GMAP'!H4)</f>
        <v/>
      </c>
      <c r="I4" t="str">
        <f>IF('CDU1.GMAP'!I4="","",'CDU1.GMAP'!I4)</f>
        <v/>
      </c>
      <c r="J4" t="str">
        <f>IF('CDU1.GMAP'!J4="","",'CDU1.GMAP'!J4)</f>
        <v/>
      </c>
      <c r="K4" t="str">
        <f>IF('CDU1.GMAP'!K4="","",'CDU1.GMAP'!K4)</f>
        <v/>
      </c>
      <c r="L4" t="str">
        <f>IF('CDU1.GMAP'!L4="","",'CDU1.GMAP'!L4)</f>
        <v/>
      </c>
      <c r="M4" t="str">
        <f>IF('CDU1.GMAP'!M4="","",'CDU1.GMAP'!M4)</f>
        <v/>
      </c>
      <c r="N4" t="str">
        <f>IF('CDU1.GMAP'!N4="","",'CDU1.GMAP'!N4)</f>
        <v/>
      </c>
      <c r="O4" t="str">
        <f>IF('CDU1.GMAP'!O4="","",'CDU1.GMAP'!O4)</f>
        <v/>
      </c>
      <c r="P4" t="str">
        <f>IF('CDU1.GMAP'!P4="","",'CDU1.GMAP'!P4)</f>
        <v/>
      </c>
      <c r="Q4" t="str">
        <f>IF('CDU1.GMAP'!Q4="","",'CDU1.GMAP'!Q4)</f>
        <v/>
      </c>
      <c r="R4" t="str">
        <f>IF('CDU1.GMAP'!R4="","",'CDU1.GMAP'!R4)</f>
        <v/>
      </c>
      <c r="S4" t="str">
        <f>IF('CDU1.GMAP'!S4="","",'CDU1.GMAP'!S4)</f>
        <v/>
      </c>
      <c r="T4" t="str">
        <f>IF('CDU1.GMAP'!T4="","",'CDU1.GMAP'!T4)</f>
        <v/>
      </c>
      <c r="U4" t="str">
        <f>IF('CDU1.GMAP'!U4="","",'CDU1.GMAP'!U4)</f>
        <v/>
      </c>
      <c r="V4" t="str">
        <f>IF('CDU1.GMAP'!V4="","",'CDU1.GMAP'!V4)</f>
        <v/>
      </c>
      <c r="W4" t="str">
        <f>IF('CDU1.GMAP'!W4="","",'CDU1.GMAP'!W4)</f>
        <v/>
      </c>
      <c r="X4" t="str">
        <f>IF('CDU1.GMAP'!X4="","",'CDU1.GMAP'!X4)</f>
        <v/>
      </c>
      <c r="Y4" t="str">
        <f>IF('CDU1.GMAP'!Y4="","",'CDU1.GMAP'!Y4)</f>
        <v/>
      </c>
      <c r="Z4" t="str">
        <f>IF('CDU1.GMAP'!Z4="","",'CDU1.GMAP'!Z4)</f>
        <v/>
      </c>
      <c r="AA4" t="str">
        <f>IF('CDU1.GMAP'!AA4="","",'CDU1.GMAP'!AA4)</f>
        <v/>
      </c>
      <c r="AB4" t="str">
        <f>IF('CDU1.GMAP'!AB4="","",'CDU1.GMAP'!AB4)</f>
        <v/>
      </c>
      <c r="AC4" t="str">
        <f>IF('CDU1.GMAP'!AC4="","",'CDU1.GMAP'!AC4)</f>
        <v/>
      </c>
      <c r="AD4" t="str">
        <f>IF('CDU1.GMAP'!AD4="","",'CDU1.GMAP'!AD4)</f>
        <v/>
      </c>
      <c r="AE4" t="str">
        <f>IF('CDU1.GMAP'!AE4="","",'CDU1.GMAP'!AE4)</f>
        <v/>
      </c>
      <c r="AF4" t="str">
        <f>IF('CDU1.GMAP'!AF4="","",'CDU1.GMAP'!AF4)</f>
        <v/>
      </c>
      <c r="AG4" t="str">
        <f>IF('CDU1.GMAP'!AG4="","",'CDU1.GMAP'!AG4)</f>
        <v/>
      </c>
      <c r="AH4" t="str">
        <f>IF('CDU1.GMAP'!AH4="","",'CDU1.GMAP'!AH4)</f>
        <v/>
      </c>
      <c r="AI4" t="str">
        <f>IF('CDU1.GMAP'!AI4="","",'CDU1.GMAP'!AI4)</f>
        <v/>
      </c>
      <c r="AJ4" t="str">
        <f>IF('CDU1.GMAP'!AJ4="","",'CDU1.GMAP'!AJ4)</f>
        <v/>
      </c>
      <c r="AK4" t="str">
        <f>IF('CDU1.GMAP'!AK4="","",'CDU1.GMAP'!AK4)</f>
        <v/>
      </c>
      <c r="AL4" t="str">
        <f>IF('CDU1.GMAP'!AL4="","",'CDU1.GMAP'!AL4)</f>
        <v/>
      </c>
      <c r="AM4" t="str">
        <f>IF('CDU1.GDOT'!G4="","",'CDU1.GDOT'!G4)</f>
        <v/>
      </c>
      <c r="AN4" t="str">
        <f>IF('CDU1.GDOT'!O4="","",'CDU1.GDOT'!O4)</f>
        <v/>
      </c>
      <c r="AO4" t="str">
        <f>IF('CDU1.GDOT'!P4="","",'CDU1.GDOT'!P4)</f>
        <v/>
      </c>
      <c r="AP4" t="str">
        <f>IF('CDU1.GDOT'!Q4="","",'CDU1.GDOT'!Q4)</f>
        <v/>
      </c>
      <c r="AQ4" t="str">
        <f>IF('CDU1.GDOT'!R4="","",'CDU1.GDOT'!R4)</f>
        <v/>
      </c>
      <c r="AR4" t="str">
        <f>IF('CDU1.GDOT'!S4="","",'CDU1.GDOT'!S4)</f>
        <v/>
      </c>
      <c r="AS4" t="str">
        <f>IF('CDU1.GDOT'!T4="","",'CDU1.GDOT'!T4)</f>
        <v/>
      </c>
      <c r="AT4" t="str">
        <f>IF('CDU1.GDOT'!U4="","",'CDU1.GDOT'!U4)</f>
        <v/>
      </c>
      <c r="AU4" t="str">
        <f>IF('CDU1.GDOT'!V4="","",'CDU1.GDOT'!V4)</f>
        <v/>
      </c>
      <c r="AV4" t="str">
        <f>IF('CDU1.GDOT'!W4="","",'CDU1.GDOT'!W4)</f>
        <v/>
      </c>
      <c r="AW4" t="str">
        <f>IF('CDU1.GDOT'!X4="","",'CDU1.GDOT'!X4)</f>
        <v/>
      </c>
      <c r="AX4" t="str">
        <f>IF('CDU1.GDOT'!Y4="","",'CDU1.GDOT'!Y4)</f>
        <v/>
      </c>
      <c r="AY4" t="str">
        <f>IF('CDU1.GDOT'!Z4="","",'CDU1.GDOT'!Z4)</f>
        <v/>
      </c>
      <c r="AZ4" t="str">
        <f>IF('CDU1.GDOT'!AA4="","",'CDU1.GDOT'!AA4)</f>
        <v/>
      </c>
      <c r="BA4" t="str">
        <f>IF('CDU1.GDOT'!AB4="","",'CDU1.GDOT'!AB4)</f>
        <v/>
      </c>
      <c r="BB4" t="str">
        <f>IF('CDU1.GDOT'!AC4="","",'CDU1.GDOT'!AC4)</f>
        <v/>
      </c>
      <c r="BC4" t="str">
        <f>IF('CDU1.GDOT'!AD4="","",'CDU1.GDOT'!AD4)</f>
        <v/>
      </c>
      <c r="BD4" t="str">
        <f>IF('CDU1.GDOT'!AE4="","",'CDU1.GDOT'!AE4)</f>
        <v/>
      </c>
      <c r="BE4" t="str">
        <f>IF('CDU1.GDOT'!AF4="","",'CDU1.GDOT'!AF4)</f>
        <v/>
      </c>
      <c r="BF4" t="str">
        <f>IF('CDU1.GDOT'!AG4="","",'CDU1.GDOT'!AG4)</f>
        <v/>
      </c>
      <c r="BG4" t="str">
        <f>IF('CDU1.GDOT'!AH4="","",'CDU1.GDOT'!AH4)</f>
        <v/>
      </c>
      <c r="BH4" t="str">
        <f>IF('CDU1.GDOT'!AI4="","",'CDU1.GDOT'!AI4)</f>
        <v/>
      </c>
      <c r="BI4" t="str">
        <f>IF('CDU1.GDOT'!AJ4="","",'CDU1.GDOT'!AJ4)</f>
        <v/>
      </c>
      <c r="BJ4" t="str">
        <f>IF('CDU1.GDOT'!AK4="","",'CDU1.GDOT'!AK4)</f>
        <v/>
      </c>
      <c r="BK4" t="str">
        <f>IF('CDU1.GDOT'!AL4="","",'CDU1.GDOT'!AL4)</f>
        <v/>
      </c>
      <c r="BL4" t="str">
        <f>IF('CDU1.GDOT'!AP4="","",'CDU1.GDOT'!AP4)</f>
        <v/>
      </c>
      <c r="BM4" t="str">
        <f>IF('CDU1.GDOT'!AS4="","",'CDU1.GDOT'!AS4)</f>
        <v/>
      </c>
      <c r="BN4" t="str">
        <f>IF('CDU1.GDOT'!AT4="","",'CDU1.GDOT'!AT4)</f>
        <v/>
      </c>
      <c r="BO4" t="str">
        <f>IF('CDU1.GDOT'!AV4="","",'CDU1.GDOT'!AV4)</f>
        <v/>
      </c>
      <c r="BP4" t="str">
        <f>IF('CDU1.GDOT'!AX4="","",'CDU1.GDOT'!AX4)</f>
        <v/>
      </c>
      <c r="BQ4" t="str">
        <f>IF('CDU1.GDOT'!AZ4="","",'CDU1.GDOT'!AZ4)</f>
        <v/>
      </c>
      <c r="BR4" t="str">
        <f>IF('CDU1.GDOT'!BA4="","",'CDU1.GDOT'!BA4)</f>
        <v/>
      </c>
      <c r="BS4" t="str">
        <f>IF('CDU1.GDOT'!BB4="","",'CDU1.GDOT'!BB4)</f>
        <v/>
      </c>
      <c r="BT4" t="str">
        <f>IF('CDU1.GDOT'!BF4="","",'CDU1.GDOT'!BF4)</f>
        <v/>
      </c>
      <c r="BU4" t="str">
        <f>IF('CDU1.GDOT'!BG4="","",'CDU1.GDOT'!BG4)</f>
        <v/>
      </c>
      <c r="BV4" t="str">
        <f>IF('CDU1.GDOT'!BH4="","",'CDU1.GDOT'!BH4)</f>
        <v/>
      </c>
      <c r="BW4" t="str">
        <f>IF('CDU1.GDOT'!BI4="","",'CDU1.GDOT'!BI4)</f>
        <v/>
      </c>
      <c r="BX4" t="str">
        <f>IF('CDU1.GDOT'!BM4="","",'CDU1.GDOT'!BM4)</f>
        <v/>
      </c>
      <c r="BY4" t="str">
        <f>IF('CDU1.GDOT'!BN4="","",'CDU1.GDOT'!BN4)</f>
        <v/>
      </c>
      <c r="BZ4" t="str">
        <f>IF(HFB.CMAP!G4="","",HFB.CMAP!G4)</f>
        <v/>
      </c>
      <c r="CA4" t="str">
        <f>IF(HFB.CMAP!H4="","",HFB.CMAP!H4)</f>
        <v/>
      </c>
      <c r="CB4" t="str">
        <f>IF(HFB.GMAP!F4="","",HFB.GMAP!F4)</f>
        <v/>
      </c>
      <c r="CC4" t="str">
        <f>IF(HFB.GMAP!G4="","",HFB.GMAP!G4)</f>
        <v/>
      </c>
      <c r="CD4" t="str">
        <f>IF(HFB.GMAP!H4="","",HFB.GMAP!H4)</f>
        <v/>
      </c>
      <c r="CE4" t="str">
        <f>IF(HFB.GMAP!I4="","",HFB.GMAP!I4)</f>
        <v/>
      </c>
      <c r="CF4" t="str">
        <f>IF(HFB.GMAP!J4="","",HFB.GMAP!J4)</f>
        <v/>
      </c>
      <c r="CG4" t="str">
        <f>IF(HFB.GMAP!K4="","",HFB.GMAP!K4)</f>
        <v/>
      </c>
      <c r="CH4" t="str">
        <f>IF(HFB.GMAP!O4="","",HFB.GMAP!O4)</f>
        <v/>
      </c>
      <c r="CI4" t="str">
        <f>IF(HFB.GMAP!P4="","",HFB.GMAP!P4)</f>
        <v/>
      </c>
      <c r="CJ4" t="str">
        <f>IF(HFB.GMAP!Q4="","",HFB.GMAP!Q4)</f>
        <v/>
      </c>
      <c r="CK4" t="str">
        <f>IF(HFB.GMAP!R4="","",HFB.GMAP!R4)</f>
        <v/>
      </c>
      <c r="CL4" t="str">
        <f>IF(HFB.GMAP!S4="","",HFB.GMAP!S4)</f>
        <v/>
      </c>
      <c r="CM4" t="str">
        <f>IF(HFB.GMAP!T4="","",HFB.GMAP!T4)</f>
        <v/>
      </c>
      <c r="CN4" t="str">
        <f>IF(HFB.GMAP!U4="","",HFB.GMAP!U4)</f>
        <v/>
      </c>
      <c r="CO4" t="str">
        <f>IF(HFB.GMAP!V4="","",HFB.GMAP!V4)</f>
        <v/>
      </c>
      <c r="CP4" t="str">
        <f>IF(HFB.GMAP!W4="","",HFB.GMAP!W4)</f>
        <v/>
      </c>
      <c r="CQ4" t="str">
        <f>IF(HFB.GMAP!X4="","",HFB.GMAP!X4)</f>
        <v/>
      </c>
      <c r="CR4" t="str">
        <f>IF(HFB.GMAP!Y4="","",HFB.GMAP!Y4)</f>
        <v/>
      </c>
      <c r="CS4" t="str">
        <f>IF(HFB.GMAP!Z4="","",HFB.GMAP!Z4)</f>
        <v/>
      </c>
      <c r="CT4" t="str">
        <f>IF(HFB.GMAP!AA4="","",HFB.GMAP!AA4)</f>
        <v/>
      </c>
      <c r="CU4" t="str">
        <f>IF(HFB.GMAP!AB4="","",HFB.GMAP!AB4)</f>
        <v/>
      </c>
      <c r="CV4" t="str">
        <f>IF(HFB.GMAP!AC4="","",HFB.GMAP!AC4)</f>
        <v/>
      </c>
      <c r="CW4" t="str">
        <f>IF(HFB.GDOT!W4="","",HFB.GDOT!W4)</f>
        <v/>
      </c>
      <c r="CX4" t="str">
        <f>IF(HFB.GDOT!X4="","",HFB.GDOT!X4)</f>
        <v/>
      </c>
      <c r="CY4" t="str">
        <f>IF(HFB.GDOT!AG4="","",HFB.GDOT!AG4)</f>
        <v/>
      </c>
      <c r="CZ4" t="str">
        <f>IF(HFB.GDOT!AH4="","",HFB.GDOT!AH4)</f>
        <v/>
      </c>
      <c r="DA4" t="str">
        <f>IF(HFB.GDOT!AI4="","",HFB.GDOT!AI4)</f>
        <v/>
      </c>
      <c r="DB4" t="str">
        <f>IF(HFB.GDOT!AJ4="","",HFB.GDOT!AJ4)</f>
        <v/>
      </c>
      <c r="DC4" t="str">
        <f>IF(HFB.GDOT!AK4="","",HFB.GDOT!AK4)</f>
        <v/>
      </c>
      <c r="DD4" t="str">
        <f>IF(HFB.GDOT!AL4="","",HFB.GDOT!AL4)</f>
        <v/>
      </c>
      <c r="DE4" t="str">
        <f>IF(HFB.GDOT!AM4="","",HFB.GDOT!AM4)</f>
        <v/>
      </c>
      <c r="DF4" t="str">
        <f>IF(HFB.GDOT!AN4="","",HFB.GDOT!AN4)</f>
        <v/>
      </c>
      <c r="DG4" t="str">
        <f>IF(KERHT.GMAP!F4="","",KERHT.GMAP!F4)</f>
        <v/>
      </c>
      <c r="DH4" t="str">
        <f>IF(KERHT.GMAP!G4="","",KERHT.GMAP!G4)</f>
        <v/>
      </c>
      <c r="DI4" t="str">
        <f>IF(KERHT.GMAP!H4="","",KERHT.GMAP!H4)</f>
        <v/>
      </c>
      <c r="DJ4" t="str">
        <f>IF(KERHT.GMAP!I4="","",KERHT.GMAP!I4)</f>
        <v/>
      </c>
      <c r="DK4" t="str">
        <f>IF(KERHT.GMAP!J4="","",KERHT.GMAP!J4)</f>
        <v/>
      </c>
      <c r="DL4" t="str">
        <f>IF(KERHT.GMAP!K4="","",KERHT.GMAP!K4)</f>
        <v/>
      </c>
      <c r="DM4" t="str">
        <f>IF(KERHT.GMAP!M4="","",KERHT.GMAP!M4)</f>
        <v/>
      </c>
      <c r="DN4" t="str">
        <f>IF(KERHT.GMAP!N4="","",KERHT.GMAP!N4)</f>
        <v/>
      </c>
      <c r="DO4" t="str">
        <f>IF(KERHT.GMAP!O4="","",KERHT.GMAP!O4)</f>
        <v/>
      </c>
      <c r="DP4" t="str">
        <f>IF(KERHT.GMAP!P4="","",KERHT.GMAP!P4)</f>
        <v/>
      </c>
      <c r="DQ4" t="str">
        <f>IF(KERHT.GMAP!Q4="","",KERHT.GMAP!Q4)</f>
        <v/>
      </c>
      <c r="DR4" t="str">
        <f>IF(KERHT.GMAP!R4="","",KERHT.GMAP!R4)</f>
        <v/>
      </c>
      <c r="DS4" t="str">
        <f>IF(KERHT.GMAP!S4="","",KERHT.GMAP!S4)</f>
        <v/>
      </c>
      <c r="DT4" t="str">
        <f>IF(KERHT.GMAP!T4="","",KERHT.GMAP!T4)</f>
        <v/>
      </c>
      <c r="DU4" t="str">
        <f>IF(KERHT.GDOT!K4="","",KERHT.GDOT!K4)</f>
        <v/>
      </c>
      <c r="DV4" t="str">
        <f>IF(KERHT.GDOT!N4="","",KERHT.GDOT!N4)</f>
        <v/>
      </c>
      <c r="DW4" t="str">
        <f>IF(KERHT.GDOT!Q4="","",KERHT.GDOT!Q4)</f>
        <v/>
      </c>
      <c r="DX4" t="str">
        <f>IF(KERHT.GDOT!S4="","",KERHT.GDOT!S4)</f>
        <v/>
      </c>
      <c r="DY4" t="str">
        <f>IF(KERHT.GDOT!T4="","",KERHT.GDOT!T4)</f>
        <v/>
      </c>
      <c r="DZ4" t="str">
        <f>IF(KERHT.GDOT!U4="","",KERHT.GDOT!U4)</f>
        <v/>
      </c>
      <c r="EA4" t="str">
        <f>IF(KERHT.GDOT!W4="","",KERHT.GDOT!W4)</f>
        <v/>
      </c>
      <c r="EB4" t="str">
        <f>IF(KERHT.GDOT!X4="","",KERHT.GDOT!X4)</f>
        <v/>
      </c>
      <c r="EC4" t="str">
        <f>IF(KERHT.GDOT!Y4="","",KERHT.GDOT!Y4)</f>
        <v/>
      </c>
      <c r="ED4" t="str">
        <f>IF(KERHT.GDOT!AA4="","",KERHT.GDOT!AA4)</f>
        <v/>
      </c>
      <c r="EE4" t="str">
        <f>IF(KERHT.GDOT!AC4="","",KERHT.GDOT!AC4)</f>
        <v/>
      </c>
      <c r="EF4" t="str">
        <f>IF(KERHT.GDOT!AE4="","",KERHT.GDOT!AE4)</f>
        <v/>
      </c>
      <c r="EG4" t="str">
        <f>IF(KERHT.GDOT!AG4="","",KERHT.GDOT!AG4)</f>
        <v/>
      </c>
      <c r="EH4" t="str">
        <f>IF(KERHT.GDOT!AI4="","",KERHT.GDOT!AI4)</f>
        <v/>
      </c>
      <c r="EI4" t="str">
        <f>IF(KERHT.GDOT!AK4="","",KERHT.GDOT!AK4)</f>
        <v/>
      </c>
      <c r="EJ4" t="str">
        <f>IF(HDS.GMAP!F4="","",HDS.GMAP!F4)</f>
        <v/>
      </c>
      <c r="EK4" t="str">
        <f>IF(HDS.GMAP!G4="","",HDS.GMAP!G4)</f>
        <v/>
      </c>
      <c r="EL4" t="str">
        <f>IF(HDS.GMAP!H4="","",HDS.GMAP!H4)</f>
        <v/>
      </c>
      <c r="EM4" t="str">
        <f>IF(HDS.GMAP!I4="","",HDS.GMAP!I4)</f>
        <v/>
      </c>
      <c r="EN4" t="str">
        <f>IF(HDS.GMAP!J4="","",HDS.GMAP!J4)</f>
        <v/>
      </c>
      <c r="EO4" t="str">
        <f>IF(HDS.GMAP!K4="","",HDS.GMAP!K4)</f>
        <v/>
      </c>
      <c r="EP4" t="str">
        <f>IF(HDS.GMAP!M4="","",HDS.GMAP!M4)</f>
        <v/>
      </c>
      <c r="EQ4" t="str">
        <f>IF(HDS.GMAP!N4="","",HDS.GMAP!N4)</f>
        <v/>
      </c>
      <c r="ER4" t="str">
        <f>IF(HDS.GMAP!O4="","",HDS.GMAP!O4)</f>
        <v/>
      </c>
      <c r="ES4" t="str">
        <f>IF(HDS.GMAP!P4="","",HDS.GMAP!P4)</f>
        <v/>
      </c>
      <c r="ET4" t="str">
        <f>IF(HDS.GMAP!Q4="","",HDS.GMAP!Q4)</f>
        <v/>
      </c>
      <c r="EU4" t="str">
        <f>IF(HDS.GMAP!R4="","",HDS.GMAP!R4)</f>
        <v/>
      </c>
      <c r="EV4" t="str">
        <f>IF(HDS.GMAP!S4="","",HDS.GMAP!S4)</f>
        <v/>
      </c>
      <c r="EW4" t="str">
        <f>IF(HDS.GMAP!T4="","",HDS.GMAP!T4)</f>
        <v/>
      </c>
      <c r="EX4" t="str">
        <f>IF(HDS.GDOT!K4="","",HDS.GDOT!K4)</f>
        <v/>
      </c>
      <c r="EY4" t="str">
        <f>IF(HDS.GDOT!N4="","",HDS.GDOT!N4)</f>
        <v/>
      </c>
      <c r="EZ4" t="str">
        <f>IF(HDS.GDOT!Q4="","",HDS.GDOT!Q4)</f>
        <v/>
      </c>
      <c r="FA4" t="str">
        <f>IF(HDS.GDOT!T4="","",HDS.GDOT!T4)</f>
        <v/>
      </c>
      <c r="FB4" t="str">
        <f>IF(HDS.GDOT!U4="","",HDS.GDOT!U4)</f>
        <v/>
      </c>
      <c r="FC4" t="str">
        <f>IF(HDS.GDOT!W4="","",HDS.GDOT!W4)</f>
        <v/>
      </c>
      <c r="FD4" t="str">
        <f>IF(HDS.GDOT!X4="","",HDS.GDOT!X4)</f>
        <v/>
      </c>
      <c r="FE4" t="str">
        <f>IF(HDS.GDOT!Y4="","",HDS.GDOT!Y4)</f>
        <v/>
      </c>
      <c r="FF4" t="str">
        <f>IF(HDS.GDOT!AA4="","",HDS.GDOT!AA4)</f>
        <v/>
      </c>
      <c r="FG4" t="str">
        <f>IF(HDS.GDOT!AB4="","",HDS.GDOT!AB4)</f>
        <v/>
      </c>
      <c r="FH4" t="str">
        <f>IF(HDS.GDOT!AC4="","",HDS.GDOT!AC4)</f>
        <v/>
      </c>
      <c r="FI4" t="str">
        <f>IF(HDS.GDOT!AE4="","",HDS.GDOT!AE4)</f>
        <v/>
      </c>
      <c r="FJ4" t="str">
        <f>IF(HDS.GDOT!AF4="","",HDS.GDOT!AF4)</f>
        <v/>
      </c>
      <c r="FK4" t="str">
        <f>IF(HDS.GDOT!AG4="","",HDS.GDOT!AG4)</f>
        <v/>
      </c>
      <c r="FL4" t="str">
        <f>IF(HDS.GDOT!AI4="","",HDS.GDOT!AI4)</f>
        <v/>
      </c>
      <c r="FM4" t="str">
        <f>IF(HDS.GDOT!AJ4="","",HDS.GDOT!AJ4)</f>
        <v/>
      </c>
      <c r="FN4" t="str">
        <f>IF(HDS.GDOT!AK4="","",HDS.GDOT!AK4)</f>
        <v/>
      </c>
      <c r="FO4" t="str">
        <f>IF(HDS.GDOT!AM4="","",HDS.GDOT!AM4)</f>
        <v/>
      </c>
      <c r="FP4" t="str">
        <f>IF(HDS.GDOT!AO4="","",HDS.GDOT!AO4)</f>
        <v/>
      </c>
      <c r="FQ4" t="str">
        <f>IF(HDS.GDOT!AQ4="","",HDS.GDOT!AQ4)</f>
        <v/>
      </c>
      <c r="FR4" t="str">
        <f>IF(HDS.GDOT!AS4="","",HDS.GDOT!AS4)</f>
        <v/>
      </c>
    </row>
    <row r="5" spans="1:174" x14ac:dyDescent="0.2">
      <c r="A5" s="4" t="s">
        <v>8</v>
      </c>
      <c r="B5" s="4" t="s">
        <v>6</v>
      </c>
      <c r="C5" s="4" t="s">
        <v>9</v>
      </c>
      <c r="D5" s="4" t="s">
        <v>10</v>
      </c>
      <c r="E5" s="6" t="s">
        <v>11</v>
      </c>
      <c r="F5">
        <f>MIN(MAX('MV Config'!AC6,'Model Update'!H151),'MV Config'!AD6)</f>
        <v>212</v>
      </c>
      <c r="G5">
        <f>MIN(MAX('MV Config'!AC7,'Model Update'!H152),'MV Config'!AD7)</f>
        <v>14.2</v>
      </c>
      <c r="H5">
        <f>MIN(MAX('MV Config'!AC8,'Model Update'!H153),'MV Config'!AD8)</f>
        <v>80</v>
      </c>
      <c r="I5">
        <f>MIN(MAX('MV Config'!AC9,'Model Update'!H154),'MV Config'!AD9)</f>
        <v>16</v>
      </c>
      <c r="J5">
        <f>MIN(MAX('MV Config'!AC10,'Model Update'!H155),'MV Config'!AD10)</f>
        <v>16</v>
      </c>
      <c r="K5">
        <f>MIN(MAX('MV Config'!AC11,'Model Update'!H156),'MV Config'!AD11)</f>
        <v>16</v>
      </c>
      <c r="L5">
        <f>MIN(MAX('MV Config'!AC12,'Model Update'!H157),'MV Config'!AD12)</f>
        <v>16</v>
      </c>
      <c r="M5">
        <f>MIN(MAX('MV Config'!AC13,'Model Update'!H158),'MV Config'!AD13)</f>
        <v>16.002462090651669</v>
      </c>
      <c r="N5">
        <f>MIN(MAX('MV Config'!AC14,'Model Update'!H159),'MV Config'!AD14)</f>
        <v>80.000410278826479</v>
      </c>
      <c r="O5">
        <f>MIN(MAX('MV Config'!AC15,'Model Update'!H160),'MV Config'!AD15)</f>
        <v>15.999999368864074</v>
      </c>
      <c r="P5">
        <f>MIN(MAX('MV Config'!AC16,'Model Update'!H161),'MV Config'!AD16)</f>
        <v>15.999370185596792</v>
      </c>
      <c r="Q5">
        <f>MIN(MAX('MV Config'!AC17,'Model Update'!H162),'MV Config'!AD17)</f>
        <v>15.999160954074833</v>
      </c>
      <c r="R5">
        <f>MIN(MAX('MV Config'!AC18,'Model Update'!H163),'MV Config'!AD18)</f>
        <v>15.999418626361553</v>
      </c>
      <c r="S5">
        <f>MIN(MAX('MV Config'!AC19,'Model Update'!H164),'MV Config'!AD19)</f>
        <v>16.002461775080032</v>
      </c>
      <c r="T5">
        <f>MIN(MAX('MV Config'!AC20,'Model Update'!H165),'MV Config'!AD20)</f>
        <v>301.93136090088439</v>
      </c>
      <c r="U5">
        <f>MIN(MAX('MV Config'!AC21,'Model Update'!H166),'MV Config'!AD21)</f>
        <v>0.78687581313163468</v>
      </c>
      <c r="V5">
        <f>MIN(MAX('MV Config'!AC22,'Model Update'!H167),'MV Config'!AD22)</f>
        <v>2448.5337861112757</v>
      </c>
      <c r="W5">
        <f>MIN(MAX('MV Config'!AC23,'Model Update'!H168),'MV Config'!AD23)</f>
        <v>481.92326502965989</v>
      </c>
      <c r="X5">
        <f>MIN(MAX('MV Config'!AC24,'Model Update'!H169),'MV Config'!AD24)</f>
        <v>-60.374325444521361</v>
      </c>
      <c r="Y5">
        <f>MIN(MAX('MV Config'!AC25,'Model Update'!H170),'MV Config'!AD25)</f>
        <v>107.76190101259661</v>
      </c>
      <c r="Z5">
        <f>MIN(MAX('MV Config'!AC26,'Model Update'!H171),'MV Config'!AD26)</f>
        <v>-44.107280850804877</v>
      </c>
      <c r="AA5">
        <f>MIN(MAX('MV Config'!AC27,'Model Update'!H172),'MV Config'!AD27)</f>
        <v>56.542030832912552</v>
      </c>
      <c r="AB5">
        <f>MIN(MAX('MV Config'!AC28,'Model Update'!H173),'MV Config'!AD28)</f>
        <v>0.83890188080922612</v>
      </c>
      <c r="AC5">
        <f>MIN(MAX('MV Config'!AC29,'Model Update'!H174),'MV Config'!AD29)</f>
        <v>4000.3444904189337</v>
      </c>
      <c r="AD5">
        <f>MIN(MAX('MV Config'!AC30,'Model Update'!H175),'MV Config'!AD30)</f>
        <v>661.91278625609937</v>
      </c>
      <c r="AE5">
        <f>MIN(MAX('MV Config'!AC31,'Model Update'!H176),'MV Config'!AD31)</f>
        <v>4.9991767357895505</v>
      </c>
      <c r="AF5">
        <f>MIN(MAX('MV Config'!AC32,'Model Update'!H177),'MV Config'!AD32)</f>
        <v>217.91980074046342</v>
      </c>
      <c r="AG5">
        <f>MIN(MAX('MV Config'!AC33,'Model Update'!H178),'MV Config'!AD33)</f>
        <v>43.697013528744932</v>
      </c>
      <c r="AH5">
        <f>MIN(MAX('MV Config'!AC34,'Model Update'!H179),'MV Config'!AD34)</f>
        <v>0.88515606924740575</v>
      </c>
      <c r="AI5">
        <f>MIN(MAX('MV Config'!AC35,'Model Update'!H180),'MV Config'!AD35)</f>
        <v>5555.2328747859747</v>
      </c>
      <c r="AJ5">
        <f>MIN(MAX('MV Config'!AC36,'Model Update'!H181),'MV Config'!AD36)</f>
        <v>841.90524206541954</v>
      </c>
      <c r="AK5">
        <f>MIN(MAX('MV Config'!AC37,'Model Update'!H182),'MV Config'!AD37)</f>
        <v>70.373179121805592</v>
      </c>
      <c r="AL5">
        <f>MIN(MAX('MV Config'!AC38,'Model Update'!H183),'MV Config'!AD38)</f>
        <v>323.62968758858381</v>
      </c>
      <c r="AM5">
        <f>MIN(MAX('MV Config'!AC39,'Model Update'!H184),'MV Config'!AD39)</f>
        <v>9</v>
      </c>
      <c r="AN5">
        <f>MIN(MAX('MV Config'!AC40,'Model Update'!H185),'MV Config'!AD40)</f>
        <v>392</v>
      </c>
      <c r="AO5">
        <f>MIN(MAX('MV Config'!AC41,'Model Update'!H186),'MV Config'!AD41)</f>
        <v>89.923270082517803</v>
      </c>
      <c r="AP5">
        <f>MIN(MAX('MV Config'!AC42,'Model Update'!H187),'MV Config'!AD42)</f>
        <v>7.4253871050726477E-6</v>
      </c>
      <c r="AQ5">
        <f>MIN(MAX('MV Config'!AC43,'Model Update'!H188),'MV Config'!AD43)</f>
        <v>572</v>
      </c>
      <c r="AR5">
        <f>MIN(MAX('MV Config'!AC44,'Model Update'!H189),'MV Config'!AD44)</f>
        <v>71.999341009024945</v>
      </c>
      <c r="AS5">
        <f>MIN(MAX('MV Config'!AC45,'Model Update'!H190),'MV Config'!AD45)</f>
        <v>17.912036566801998</v>
      </c>
      <c r="AT5">
        <f>MIN(MAX('MV Config'!AC46,'Model Update'!H191),'MV Config'!AD46)</f>
        <v>-6.8366673485698785E-4</v>
      </c>
      <c r="AU5">
        <f>MIN(MAX('MV Config'!AC47,'Model Update'!H192),'MV Config'!AD47)</f>
        <v>-6.8817582518782363E-4</v>
      </c>
      <c r="AV5">
        <f>MIN(MAX('MV Config'!AC48,'Model Update'!H193),'MV Config'!AD48)</f>
        <v>572</v>
      </c>
      <c r="AW5">
        <f>MIN(MAX('MV Config'!AC49,'Model Update'!H194),'MV Config'!AD49)</f>
        <v>72</v>
      </c>
      <c r="AX5">
        <f>MIN(MAX('MV Config'!AC50,'Model Update'!H195),'MV Config'!AD50)</f>
        <v>156</v>
      </c>
      <c r="AY5">
        <f>MIN(MAX('MV Config'!AC51,'Model Update'!H196),'MV Config'!AD51)</f>
        <v>41.905071869113371</v>
      </c>
      <c r="AZ5">
        <f>MIN(MAX('MV Config'!AC52,'Model Update'!H197),'MV Config'!AD52)</f>
        <v>-3.2534118875754215E-5</v>
      </c>
      <c r="BA5">
        <f>MIN(MAX('MV Config'!AC53,'Model Update'!H198),'MV Config'!AD53)</f>
        <v>50.019486299712824</v>
      </c>
      <c r="BB5">
        <f>MIN(MAX('MV Config'!AC54,'Model Update'!H199),'MV Config'!AD54)</f>
        <v>100.00000000428548</v>
      </c>
      <c r="BC5">
        <f>MIN(MAX('MV Config'!AC55,'Model Update'!H200),'MV Config'!AD55)</f>
        <v>50.022062964494189</v>
      </c>
      <c r="BD5">
        <f>MIN(MAX('MV Config'!AC56,'Model Update'!H201),'MV Config'!AD56)</f>
        <v>90.005194140529923</v>
      </c>
      <c r="BE5">
        <f>MIN(MAX('MV Config'!AC57,'Model Update'!H202),'MV Config'!AD57)</f>
        <v>100.00000125411314</v>
      </c>
      <c r="BF5">
        <f>MIN(MAX('MV Config'!AC58,'Model Update'!H203),'MV Config'!AD58)</f>
        <v>99.999999955051038</v>
      </c>
      <c r="BG5">
        <f>MIN(MAX('MV Config'!AC59,'Model Update'!H204),'MV Config'!AD59)</f>
        <v>7.4405576238017459E-4</v>
      </c>
      <c r="BH5">
        <f>MIN(MAX('MV Config'!AC60,'Model Update'!H205),'MV Config'!AD60)</f>
        <v>1.479916125936105E-6</v>
      </c>
      <c r="BI5">
        <f>MIN(MAX('MV Config'!AC61,'Model Update'!H206),'MV Config'!AD61)</f>
        <v>76.679360734422431</v>
      </c>
      <c r="BJ5">
        <f>MIN(MAX('MV Config'!AC62,'Model Update'!H207),'MV Config'!AD62)</f>
        <v>100.00000171626303</v>
      </c>
      <c r="BK5">
        <f>MIN(MAX('MV Config'!AC63,'Model Update'!H208),'MV Config'!AD63)</f>
        <v>12.042444900597099</v>
      </c>
      <c r="BL5">
        <f>MIN(MAX('MV Config'!AC64,'Model Update'!H209),'MV Config'!AD64)</f>
        <v>50.47204447563751</v>
      </c>
      <c r="BM5">
        <f>MIN(MAX('MV Config'!AC65,'Model Update'!H210),'MV Config'!AD65)</f>
        <v>0.57123921122650978</v>
      </c>
      <c r="BN5">
        <f>MIN(MAX('MV Config'!AC66,'Model Update'!H211),'MV Config'!AD66)</f>
        <v>-96.779302032670685</v>
      </c>
      <c r="BO5">
        <f>MIN(MAX('MV Config'!AC67,'Model Update'!H212),'MV Config'!AD67)</f>
        <v>-2.1427294392888583</v>
      </c>
      <c r="BP5">
        <f>MIN(MAX('MV Config'!AC68,'Model Update'!H213),'MV Config'!AD68)</f>
        <v>0.67462869817872928</v>
      </c>
      <c r="BQ5">
        <f>MIN(MAX('MV Config'!AC69,'Model Update'!H214),'MV Config'!AD69)</f>
        <v>0.53994793387550022</v>
      </c>
      <c r="BR5">
        <f>MIN(MAX('MV Config'!AC70,'Model Update'!H215),'MV Config'!AD70)</f>
        <v>8.6569726422060906</v>
      </c>
      <c r="BS5">
        <f>MIN(MAX('MV Config'!AC71,'Model Update'!H216),'MV Config'!AD71)</f>
        <v>-964.40610524564363</v>
      </c>
      <c r="BT5">
        <f>MIN(MAX('MV Config'!AC72,'Model Update'!H217),'MV Config'!AD72)</f>
        <v>1999.2896447774383</v>
      </c>
      <c r="BU5">
        <f>MIN(MAX('MV Config'!AC73,'Model Update'!H218),'MV Config'!AD73)</f>
        <v>5555.1915274057856</v>
      </c>
      <c r="BV5">
        <f>MIN(MAX('MV Config'!AC74,'Model Update'!H219),'MV Config'!AD74)</f>
        <v>0.36320586630477525</v>
      </c>
      <c r="BW5">
        <f>MIN(MAX('MV Config'!AC75,'Model Update'!H220),'MV Config'!AD75)</f>
        <v>-209.89636191041382</v>
      </c>
      <c r="BX5">
        <f>MIN(MAX('MV Config'!AC76,'Model Update'!H221),'MV Config'!AD76)</f>
        <v>0.19079264494168846</v>
      </c>
      <c r="BY5">
        <f>MIN(MAX('MV Config'!AC77,'Model Update'!H222),'MV Config'!AD77)</f>
        <v>-120.9485792326718</v>
      </c>
      <c r="BZ5">
        <f>MIN(MAX('MV Config'!AC78,'Model Update'!H223),'MV Config'!AD78)</f>
        <v>8.0032560903597965</v>
      </c>
      <c r="CA5">
        <f>MIN(MAX('MV Config'!AC79,'Model Update'!H224),'MV Config'!AD79)</f>
        <v>7.9967243442694196</v>
      </c>
      <c r="CB5">
        <f>MIN(MAX('MV Config'!AC80,'Model Update'!H225),'MV Config'!AD80)</f>
        <v>56.003414836948608</v>
      </c>
      <c r="CC5">
        <f>MIN(MAX('MV Config'!AC81,'Model Update'!H226),'MV Config'!AD81)</f>
        <v>8.0035591446908754</v>
      </c>
      <c r="CD5">
        <f>MIN(MAX('MV Config'!AC82,'Model Update'!H227),'MV Config'!AD82)</f>
        <v>16.000233683146245</v>
      </c>
      <c r="CE5">
        <f>MIN(MAX('MV Config'!AC83,'Model Update'!H228),'MV Config'!AD83)</f>
        <v>15.99969795276707</v>
      </c>
      <c r="CF5">
        <f>MIN(MAX('MV Config'!AC84,'Model Update'!H229),'MV Config'!AD84)</f>
        <v>15.999967698905174</v>
      </c>
      <c r="CG5">
        <f>MIN(MAX('MV Config'!AC85,'Model Update'!H230),'MV Config'!AD85)</f>
        <v>56.003426934413362</v>
      </c>
      <c r="CH5">
        <f>MIN(MAX('MV Config'!AC86,'Model Update'!H231),'MV Config'!AD86)</f>
        <v>16</v>
      </c>
      <c r="CI5">
        <f>MIN(MAX('MV Config'!AC87,'Model Update'!H232),'MV Config'!AD87)</f>
        <v>48.707373976246025</v>
      </c>
      <c r="CJ5">
        <f>MIN(MAX('MV Config'!AC88,'Model Update'!H233),'MV Config'!AD88)</f>
        <v>0.83331594270501674</v>
      </c>
      <c r="CK5">
        <f>MIN(MAX('MV Config'!AC89,'Model Update'!H234),'MV Config'!AD89)</f>
        <v>5906.5222525248519</v>
      </c>
      <c r="CL5">
        <f>MIN(MAX('MV Config'!AC90,'Model Update'!H235),'MV Config'!AD90)</f>
        <v>814.97119009252447</v>
      </c>
      <c r="CM5">
        <f>MIN(MAX('MV Config'!AC91,'Model Update'!H236),'MV Config'!AD91)</f>
        <v>46.417472948368165</v>
      </c>
      <c r="CN5">
        <f>MIN(MAX('MV Config'!AC92,'Model Update'!H237),'MV Config'!AD92)</f>
        <v>151.5331194774931</v>
      </c>
      <c r="CO5">
        <f>MIN(MAX('MV Config'!AC93,'Model Update'!H238),'MV Config'!AD93)</f>
        <v>45.000000417205491</v>
      </c>
      <c r="CP5">
        <f>MIN(MAX('MV Config'!AC94,'Model Update'!H239),'MV Config'!AD94)</f>
        <v>0.79911882830025649</v>
      </c>
      <c r="CQ5">
        <f>MIN(MAX('MV Config'!AC95,'Model Update'!H240),'MV Config'!AD95)</f>
        <v>10000.000005201506</v>
      </c>
      <c r="CR5">
        <f>MIN(MAX('MV Config'!AC96,'Model Update'!H241),'MV Config'!AD96)</f>
        <v>571.99999947174274</v>
      </c>
      <c r="CS5">
        <f>MIN(MAX('MV Config'!AC97,'Model Update'!H242),'MV Config'!AD97)</f>
        <v>679.99999908533357</v>
      </c>
      <c r="CT5">
        <f>MIN(MAX('MV Config'!AC98,'Model Update'!H243),'MV Config'!AD98)</f>
        <v>31.999999718462142</v>
      </c>
      <c r="CU5">
        <f>MIN(MAX('MV Config'!AC99,'Model Update'!H244),'MV Config'!AD99)</f>
        <v>161.59999793764459</v>
      </c>
      <c r="CV5">
        <f>MIN(MAX('MV Config'!AC100,'Model Update'!H245),'MV Config'!AD100)</f>
        <v>1</v>
      </c>
      <c r="CW5">
        <f>MIN(MAX('MV Config'!AC101,'Model Update'!H246),'MV Config'!AD101)</f>
        <v>9999.9999555453578</v>
      </c>
      <c r="CX5">
        <f>MIN(MAX('MV Config'!AC102,'Model Update'!H247),'MV Config'!AD102)</f>
        <v>5000.5502170653417</v>
      </c>
      <c r="CY5">
        <f>MIN(MAX('MV Config'!AC103,'Model Update'!H248),'MV Config'!AD103)</f>
        <v>4.9678841386194608E-7</v>
      </c>
      <c r="CZ5">
        <f>MIN(MAX('MV Config'!AC104,'Model Update'!H249),'MV Config'!AD104)</f>
        <v>66.666668874843523</v>
      </c>
      <c r="DA5">
        <f>MIN(MAX('MV Config'!AC105,'Model Update'!H250),'MV Config'!AD105)</f>
        <v>100.00000542877765</v>
      </c>
      <c r="DB5">
        <f>MIN(MAX('MV Config'!AC106,'Model Update'!H251),'MV Config'!AD106)</f>
        <v>100.00000170762857</v>
      </c>
      <c r="DC5">
        <f>MIN(MAX('MV Config'!AC107,'Model Update'!H252),'MV Config'!AD107)</f>
        <v>28.58276640168453</v>
      </c>
      <c r="DD5">
        <f>MIN(MAX('MV Config'!AC108,'Model Update'!H253),'MV Config'!AD108)</f>
        <v>59.052195931401414</v>
      </c>
      <c r="DE5">
        <f>MIN(MAX('MV Config'!AC109,'Model Update'!H254),'MV Config'!AD109)</f>
        <v>93.337572112724359</v>
      </c>
      <c r="DF5">
        <f>MIN(MAX('MV Config'!AC110,'Model Update'!H255),'MV Config'!AD110)</f>
        <v>100.00007889564095</v>
      </c>
      <c r="DG5">
        <f>MIN(MAX('MV Config'!AC111,'Model Update'!H256),'MV Config'!AD111)</f>
        <v>7.9967068106407488</v>
      </c>
      <c r="DH5">
        <f>MIN(MAX('MV Config'!AC112,'Model Update'!H257),'MV Config'!AD112)</f>
        <v>617.00000006787229</v>
      </c>
      <c r="DI5">
        <f>MIN(MAX('MV Config'!AC113,'Model Update'!H258),'MV Config'!AD113)</f>
        <v>568.90000000503846</v>
      </c>
      <c r="DJ5">
        <f>MIN(MAX('MV Config'!AC114,'Model Update'!H259),'MV Config'!AD114)</f>
        <v>10.00000004679231</v>
      </c>
      <c r="DK5">
        <f>MIN(MAX('MV Config'!AC115,'Model Update'!H260),'MV Config'!AD115)</f>
        <v>7.1967253945194827</v>
      </c>
      <c r="DL5">
        <f>MIN(MAX('MV Config'!AC116,'Model Update'!H261),'MV Config'!AD116)</f>
        <v>1</v>
      </c>
      <c r="DM5">
        <f>MIN(MAX('MV Config'!AC117,'Model Update'!H262),'MV Config'!AD117)</f>
        <v>617.00000006177345</v>
      </c>
      <c r="DN5">
        <f>MIN(MAX('MV Config'!AC118,'Model Update'!H263),'MV Config'!AD118)</f>
        <v>568.90000000458554</v>
      </c>
      <c r="DO5">
        <f>MIN(MAX('MV Config'!AC119,'Model Update'!H264),'MV Config'!AD119)</f>
        <v>7.1967233368762029</v>
      </c>
      <c r="DP5">
        <f>MIN(MAX('MV Config'!AC120,'Model Update'!H265),'MV Config'!AD120)</f>
        <v>1</v>
      </c>
      <c r="DQ5">
        <f>MIN(MAX('MV Config'!AC121,'Model Update'!H266),'MV Config'!AD121)</f>
        <v>0.77013014533310575</v>
      </c>
      <c r="DR5">
        <f>MIN(MAX('MV Config'!AC122,'Model Update'!H267),'MV Config'!AD122)</f>
        <v>-60.146938681645686</v>
      </c>
      <c r="DS5">
        <f>MIN(MAX('MV Config'!AC123,'Model Update'!H268),'MV Config'!AD123)</f>
        <v>121.56786201255599</v>
      </c>
      <c r="DT5">
        <f>MIN(MAX('MV Config'!AC124,'Model Update'!H269),'MV Config'!AD124)</f>
        <v>-44.155668359985803</v>
      </c>
      <c r="DU5">
        <f>MIN(MAX('MV Config'!AC125,'Model Update'!H270),'MV Config'!AD125)</f>
        <v>22.958208892131179</v>
      </c>
      <c r="DV5">
        <f>MIN(MAX('MV Config'!AC126,'Model Update'!H271),'MV Config'!AD126)</f>
        <v>0.2</v>
      </c>
      <c r="DW5">
        <f>MIN(MAX('MV Config'!AC127,'Model Update'!H272),'MV Config'!AD127)</f>
        <v>0.75</v>
      </c>
      <c r="DX5">
        <f>MIN(MAX('MV Config'!AC128,'Model Update'!H273),'MV Config'!AD128)</f>
        <v>42.504985743809236</v>
      </c>
      <c r="DY5">
        <f>MIN(MAX('MV Config'!AC129,'Model Update'!H274),'MV Config'!AD129)</f>
        <v>100</v>
      </c>
      <c r="DZ5">
        <f>MIN(MAX('MV Config'!AC130,'Model Update'!H275),'MV Config'!AD130)</f>
        <v>0.5</v>
      </c>
      <c r="EA5">
        <f>MIN(MAX('MV Config'!AC131,'Model Update'!H276),'MV Config'!AD131)</f>
        <v>99.430267028671494</v>
      </c>
      <c r="EB5">
        <f>MIN(MAX('MV Config'!AC132,'Model Update'!H277),'MV Config'!AD132)</f>
        <v>100</v>
      </c>
      <c r="EC5">
        <f>MIN(MAX('MV Config'!AC133,'Model Update'!H278),'MV Config'!AD133)</f>
        <v>0.5</v>
      </c>
      <c r="ED5">
        <f>MIN(MAX('MV Config'!AC134,'Model Update'!H279),'MV Config'!AD134)</f>
        <v>-58.001266686546707</v>
      </c>
      <c r="EE5">
        <f>MIN(MAX('MV Config'!AC135,'Model Update'!H280),'MV Config'!AD135)</f>
        <v>0.5</v>
      </c>
      <c r="EF5">
        <f>MIN(MAX('MV Config'!AC136,'Model Update'!H281),'MV Config'!AD136)</f>
        <v>-40.000070184198755</v>
      </c>
      <c r="EG5">
        <f>MIN(MAX('MV Config'!AC137,'Model Update'!H282),'MV Config'!AD137)</f>
        <v>0.5</v>
      </c>
      <c r="EH5">
        <f>MIN(MAX('MV Config'!AC138,'Model Update'!H283),'MV Config'!AD138)</f>
        <v>77.003722704094997</v>
      </c>
      <c r="EI5">
        <f>MIN(MAX('MV Config'!AC139,'Model Update'!H284),'MV Config'!AD139)</f>
        <v>0.5</v>
      </c>
      <c r="EJ5">
        <f>MIN(MAX('MV Config'!AC140,'Model Update'!H285),'MV Config'!AD140)</f>
        <v>56.003436865952423</v>
      </c>
      <c r="EK5">
        <f>MIN(MAX('MV Config'!AC141,'Model Update'!H286),'MV Config'!AD141)</f>
        <v>616.99999998981082</v>
      </c>
      <c r="EL5">
        <f>MIN(MAX('MV Config'!AC142,'Model Update'!H287),'MV Config'!AD142)</f>
        <v>568.89999999924373</v>
      </c>
      <c r="EM5">
        <f>MIN(MAX('MV Config'!AC143,'Model Update'!H288),'MV Config'!AD143)</f>
        <v>22.079062485400012</v>
      </c>
      <c r="EN5">
        <f>MIN(MAX('MV Config'!AC144,'Model Update'!H289),'MV Config'!AD144)</f>
        <v>48.003433951255225</v>
      </c>
      <c r="EO5">
        <f>MIN(MAX('MV Config'!AC145,'Model Update'!H290),'MV Config'!AD145)</f>
        <v>10</v>
      </c>
      <c r="EP5">
        <f>MIN(MAX('MV Config'!AC146,'Model Update'!H291),'MV Config'!AD146)</f>
        <v>616.99999999072509</v>
      </c>
      <c r="EQ5">
        <f>MIN(MAX('MV Config'!AC147,'Model Update'!H292),'MV Config'!AD147)</f>
        <v>568.8999999993116</v>
      </c>
      <c r="ER5">
        <f>MIN(MAX('MV Config'!AC148,'Model Update'!H293),'MV Config'!AD148)</f>
        <v>48.003436128069609</v>
      </c>
      <c r="ES5">
        <f>MIN(MAX('MV Config'!AC149,'Model Update'!H294),'MV Config'!AD149)</f>
        <v>10</v>
      </c>
      <c r="ET5">
        <f>MIN(MAX('MV Config'!AC150,'Model Update'!H295),'MV Config'!AD150)</f>
        <v>49.916783465344778</v>
      </c>
      <c r="EU5">
        <f>MIN(MAX('MV Config'!AC151,'Model Update'!H296),'MV Config'!AD151)</f>
        <v>0.81555716306833048</v>
      </c>
      <c r="EV5">
        <f>MIN(MAX('MV Config'!AC152,'Model Update'!H297),'MV Config'!AD152)</f>
        <v>51.297786901010781</v>
      </c>
      <c r="EW5">
        <f>MIN(MAX('MV Config'!AC153,'Model Update'!H298),'MV Config'!AD153)</f>
        <v>168.36818454334991</v>
      </c>
      <c r="EX5">
        <f>MIN(MAX('MV Config'!AC154,'Model Update'!H299),'MV Config'!AD154)</f>
        <v>24.890313063991645</v>
      </c>
      <c r="EY5">
        <f>MIN(MAX('MV Config'!AC155,'Model Update'!H300),'MV Config'!AD155)</f>
        <v>2</v>
      </c>
      <c r="EZ5">
        <f>MIN(MAX('MV Config'!AC156,'Model Update'!H301),'MV Config'!AD156)</f>
        <v>0.7519012375854035</v>
      </c>
      <c r="FA5">
        <f>MIN(MAX('MV Config'!AC157,'Model Update'!H302),'MV Config'!AD157)</f>
        <v>40.00163547808414</v>
      </c>
      <c r="FB5">
        <f>MIN(MAX('MV Config'!AC158,'Model Update'!H303),'MV Config'!AD158)</f>
        <v>0.5</v>
      </c>
      <c r="FC5">
        <f>MIN(MAX('MV Config'!AC159,'Model Update'!H304),'MV Config'!AD159)</f>
        <v>13.101082908604115</v>
      </c>
      <c r="FD5">
        <f>MIN(MAX('MV Config'!AC160,'Model Update'!H305),'MV Config'!AD160)</f>
        <v>100</v>
      </c>
      <c r="FE5">
        <f>MIN(MAX('MV Config'!AC161,'Model Update'!H306),'MV Config'!AD161)</f>
        <v>0.5</v>
      </c>
      <c r="FF5">
        <f>MIN(MAX('MV Config'!AC162,'Model Update'!H307),'MV Config'!AD162)</f>
        <v>49.917858013253664</v>
      </c>
      <c r="FG5">
        <f>MIN(MAX('MV Config'!AC163,'Model Update'!H308),'MV Config'!AD163)</f>
        <v>100</v>
      </c>
      <c r="FH5">
        <f>MIN(MAX('MV Config'!AC164,'Model Update'!H309),'MV Config'!AD164)</f>
        <v>0.5</v>
      </c>
      <c r="FI5">
        <f>MIN(MAX('MV Config'!AC165,'Model Update'!H310),'MV Config'!AD165)</f>
        <v>91.3455120167622</v>
      </c>
      <c r="FJ5">
        <f>MIN(MAX('MV Config'!AC166,'Model Update'!H311),'MV Config'!AD166)</f>
        <v>100</v>
      </c>
      <c r="FK5">
        <f>MIN(MAX('MV Config'!AC167,'Model Update'!H312),'MV Config'!AD167)</f>
        <v>0.5</v>
      </c>
      <c r="FL5">
        <f>MIN(MAX('MV Config'!AC168,'Model Update'!H313),'MV Config'!AD168)</f>
        <v>99.395942157508301</v>
      </c>
      <c r="FM5">
        <f>MIN(MAX('MV Config'!AC169,'Model Update'!H314),'MV Config'!AD169)</f>
        <v>100</v>
      </c>
      <c r="FN5">
        <f>MIN(MAX('MV Config'!AC170,'Model Update'!H315),'MV Config'!AD170)</f>
        <v>0.5</v>
      </c>
      <c r="FO5">
        <f>MIN(MAX('MV Config'!AC171,'Model Update'!H316),'MV Config'!AD171)</f>
        <v>-57.999997068267398</v>
      </c>
      <c r="FP5">
        <f>MIN(MAX('MV Config'!AC172,'Model Update'!H317),'MV Config'!AD172)</f>
        <v>0.5</v>
      </c>
      <c r="FQ5">
        <f>MIN(MAX('MV Config'!AC173,'Model Update'!H318),'MV Config'!AD173)</f>
        <v>121.99098046657024</v>
      </c>
      <c r="FR5">
        <f>MIN(MAX('MV Config'!AC174,'Model Update'!H319),'MV Config'!AD174)</f>
        <v>0.5</v>
      </c>
    </row>
    <row r="6" spans="1:174" x14ac:dyDescent="0.2">
      <c r="A6">
        <v>1</v>
      </c>
      <c r="B6" t="str">
        <f>IF('CDU1.GMAP'!B6="","",'CDU1.GMAP'!B6)</f>
        <v>CDU1.FEED.MAP</v>
      </c>
      <c r="C6" t="str">
        <f>IF('CDU1.GMAP'!C6="","",'CDU1.GMAP'!C6)</f>
        <v/>
      </c>
      <c r="D6" t="str">
        <f>IF('CDU1.GMAP'!D6="","",'CDU1.GMAP'!D6)</f>
        <v/>
      </c>
      <c r="E6">
        <f>MIN(MAX('CV Config'!AC6,'Model Update'!H15),'CV Config'!AD6)</f>
        <v>0</v>
      </c>
      <c r="H6" s="5">
        <f>IF('CDU1.GMAP'!H6="","",'CDU1.GMAP'!H6)</f>
        <v>1</v>
      </c>
      <c r="N6" s="5">
        <f>IF('CDU1.GMAP'!N6="","",'CDU1.GMAP'!N6)</f>
        <v>-1</v>
      </c>
    </row>
    <row r="7" spans="1:174" x14ac:dyDescent="0.2">
      <c r="A7">
        <v>2</v>
      </c>
      <c r="B7" t="str">
        <f>IF('CDU1.GMAP'!B7="","",'CDU1.GMAP'!B7)</f>
        <v>CDU1.OVH.MAP</v>
      </c>
      <c r="C7" t="str">
        <f>IF('CDU1.GMAP'!C7="","",'CDU1.GMAP'!C7)</f>
        <v/>
      </c>
      <c r="D7" t="str">
        <f>IF('CDU1.GMAP'!D7="","",'CDU1.GMAP'!D7)</f>
        <v/>
      </c>
      <c r="E7">
        <f>MIN(MAX('CV Config'!AC7,'Model Update'!H16),'CV Config'!AD7)</f>
        <v>0</v>
      </c>
      <c r="I7" s="5">
        <f>IF('CDU1.GMAP'!I7="","",'CDU1.GMAP'!I7)</f>
        <v>1</v>
      </c>
      <c r="O7" s="5">
        <f>IF('CDU1.GMAP'!O7="","",'CDU1.GMAP'!O7)</f>
        <v>-1</v>
      </c>
    </row>
    <row r="8" spans="1:174" x14ac:dyDescent="0.2">
      <c r="A8">
        <v>3</v>
      </c>
      <c r="B8" t="str">
        <f>IF('CDU1.GMAP'!B8="","",'CDU1.GMAP'!B8)</f>
        <v>CDU1.SC1.MAP</v>
      </c>
      <c r="C8" t="str">
        <f>IF('CDU1.GMAP'!C8="","",'CDU1.GMAP'!C8)</f>
        <v/>
      </c>
      <c r="D8" t="str">
        <f>IF('CDU1.GMAP'!D8="","",'CDU1.GMAP'!D8)</f>
        <v/>
      </c>
      <c r="E8">
        <f>MIN(MAX('CV Config'!AC8,'Model Update'!H17),'CV Config'!AD8)</f>
        <v>0</v>
      </c>
      <c r="J8" s="5">
        <f>IF('CDU1.GMAP'!J8="","",'CDU1.GMAP'!J8)</f>
        <v>1</v>
      </c>
      <c r="P8" s="5">
        <f>IF('CDU1.GMAP'!P8="","",'CDU1.GMAP'!P8)</f>
        <v>-1</v>
      </c>
    </row>
    <row r="9" spans="1:174" x14ac:dyDescent="0.2">
      <c r="A9">
        <v>4</v>
      </c>
      <c r="B9" t="str">
        <f>IF('CDU1.GMAP'!B9="","",'CDU1.GMAP'!B9)</f>
        <v>CDU1.SC2.MAP</v>
      </c>
      <c r="C9" t="str">
        <f>IF('CDU1.GMAP'!C9="","",'CDU1.GMAP'!C9)</f>
        <v/>
      </c>
      <c r="D9" t="str">
        <f>IF('CDU1.GMAP'!D9="","",'CDU1.GMAP'!D9)</f>
        <v/>
      </c>
      <c r="E9">
        <f>MIN(MAX('CV Config'!AC9,'Model Update'!H18),'CV Config'!AD9)</f>
        <v>0</v>
      </c>
      <c r="K9" s="5">
        <f>IF('CDU1.GMAP'!K9="","",'CDU1.GMAP'!K9)</f>
        <v>1</v>
      </c>
      <c r="Q9" s="5">
        <f>IF('CDU1.GMAP'!Q9="","",'CDU1.GMAP'!Q9)</f>
        <v>-1</v>
      </c>
    </row>
    <row r="10" spans="1:174" x14ac:dyDescent="0.2">
      <c r="A10">
        <v>5</v>
      </c>
      <c r="B10" t="str">
        <f>IF('CDU1.GMAP'!B10="","",'CDU1.GMAP'!B10)</f>
        <v>CDU1.SC3.MAP</v>
      </c>
      <c r="C10" t="str">
        <f>IF('CDU1.GMAP'!C10="","",'CDU1.GMAP'!C10)</f>
        <v/>
      </c>
      <c r="D10" t="str">
        <f>IF('CDU1.GMAP'!D10="","",'CDU1.GMAP'!D10)</f>
        <v/>
      </c>
      <c r="E10">
        <f>MIN(MAX('CV Config'!AC10,'Model Update'!H19),'CV Config'!AD10)</f>
        <v>0</v>
      </c>
      <c r="L10" s="5">
        <f>IF('CDU1.GMAP'!L10="","",'CDU1.GMAP'!L10)</f>
        <v>1</v>
      </c>
      <c r="R10" s="5">
        <f>IF('CDU1.GMAP'!R10="","",'CDU1.GMAP'!R10)</f>
        <v>-1</v>
      </c>
    </row>
    <row r="11" spans="1:174" x14ac:dyDescent="0.2">
      <c r="A11">
        <v>6</v>
      </c>
      <c r="B11" t="str">
        <f>IF('CDU1.GMAP'!B11="","",'CDU1.GMAP'!B11)</f>
        <v>CDU1.RES.MAP</v>
      </c>
      <c r="C11" t="str">
        <f>IF('CDU1.GMAP'!C11="","",'CDU1.GMAP'!C11)</f>
        <v/>
      </c>
      <c r="D11" t="str">
        <f>IF('CDU1.GMAP'!D11="","",'CDU1.GMAP'!D11)</f>
        <v/>
      </c>
      <c r="E11">
        <f>MIN(MAX('CV Config'!AC11,'Model Update'!H20),'CV Config'!AD11)</f>
        <v>0</v>
      </c>
      <c r="M11" s="5">
        <f>IF('CDU1.GMAP'!M11="","",'CDU1.GMAP'!M11)</f>
        <v>1</v>
      </c>
      <c r="S11" s="5">
        <f>IF('CDU1.GMAP'!S11="","",'CDU1.GMAP'!S11)</f>
        <v>-1</v>
      </c>
    </row>
    <row r="12" spans="1:174" x14ac:dyDescent="0.2">
      <c r="A12">
        <v>7</v>
      </c>
      <c r="B12" t="str">
        <f>IF('CDU1.GMAP'!B12="","",'CDU1.GMAP'!B12)</f>
        <v>CDU1.OVH.T95.BAL</v>
      </c>
      <c r="C12" t="str">
        <f>IF('CDU1.GMAP'!C12="","",'CDU1.GMAP'!C12)</f>
        <v/>
      </c>
      <c r="D12" t="str">
        <f>IF('CDU1.GMAP'!D12="","",'CDU1.GMAP'!D12)</f>
        <v/>
      </c>
      <c r="E12">
        <f>MIN(MAX('CV Config'!AC12,'Model Update'!H21),'CV Config'!AD12)</f>
        <v>0</v>
      </c>
      <c r="F12" s="5">
        <f>IF('CDU1.GMAP'!F12="","",'CDU1.GMAP'!F12)</f>
        <v>1.4</v>
      </c>
      <c r="G12" s="5">
        <f>IF('CDU1.GMAP'!G12="","",'CDU1.GMAP'!G12)</f>
        <v>-2.54</v>
      </c>
      <c r="T12" s="5">
        <f>IF('CDU1.GMAP'!T12="","",'CDU1.GMAP'!T12)</f>
        <v>-1</v>
      </c>
    </row>
    <row r="13" spans="1:174" x14ac:dyDescent="0.2">
      <c r="A13">
        <v>8</v>
      </c>
      <c r="B13" t="str">
        <f>IF('CDU1.GMAP'!B13="","",'CDU1.GMAP'!B13)</f>
        <v>AI_11_T95.PV</v>
      </c>
      <c r="C13" t="str">
        <f>IF('CDU1.GMAP'!C13="","",'CDU1.GMAP'!C13)</f>
        <v/>
      </c>
      <c r="D13" t="str">
        <f>IF('CDU1.GMAP'!D13="","",'CDU1.GMAP'!D13)</f>
        <v/>
      </c>
      <c r="E13">
        <f>MIN(MAX('CV Config'!AC13,'Model Update'!H22),'CV Config'!AD13)</f>
        <v>302</v>
      </c>
      <c r="T13" s="5">
        <f>IF('CDU1.GMAP'!T13="","",'CDU1.GMAP'!T13)</f>
        <v>1</v>
      </c>
    </row>
    <row r="14" spans="1:174" x14ac:dyDescent="0.2">
      <c r="A14">
        <v>9</v>
      </c>
      <c r="B14" t="str">
        <f>IF('CDU1.GMAP'!B14="","",'CDU1.GMAP'!B14)</f>
        <v>AI_12_SG.PV</v>
      </c>
      <c r="C14" t="str">
        <f>IF('CDU1.GMAP'!C14="","",'CDU1.GMAP'!C14)</f>
        <v/>
      </c>
      <c r="D14" t="str">
        <f>IF('CDU1.GMAP'!D14="","",'CDU1.GMAP'!D14)</f>
        <v/>
      </c>
      <c r="E14">
        <f>MIN(MAX('CV Config'!AC14,'Model Update'!H23),'CV Config'!AD14)</f>
        <v>0.78691463946754203</v>
      </c>
      <c r="U14" s="5">
        <f>IF('CDU1.GMAP'!U14="","",'CDU1.GMAP'!U14)</f>
        <v>1</v>
      </c>
    </row>
    <row r="15" spans="1:174" x14ac:dyDescent="0.2">
      <c r="A15">
        <v>10</v>
      </c>
      <c r="B15" t="str">
        <f>IF('CDU1.GMAP'!B15="","",'CDU1.GMAP'!B15)</f>
        <v>AI_12_SUL.PV</v>
      </c>
      <c r="C15" t="str">
        <f>IF('CDU1.GMAP'!C15="","",'CDU1.GMAP'!C15)</f>
        <v/>
      </c>
      <c r="D15" t="str">
        <f>IF('CDU1.GMAP'!D15="","",'CDU1.GMAP'!D15)</f>
        <v/>
      </c>
      <c r="E15">
        <f>MIN(MAX('CV Config'!AC15,'Model Update'!H24),'CV Config'!AD15)</f>
        <v>2448.4359202393998</v>
      </c>
      <c r="V15" s="5">
        <f>IF('CDU1.GMAP'!V15="","",'CDU1.GMAP'!V15)</f>
        <v>1</v>
      </c>
    </row>
    <row r="16" spans="1:174" x14ac:dyDescent="0.2">
      <c r="A16">
        <v>11</v>
      </c>
      <c r="B16" t="str">
        <f>IF('CDU1.GMAP'!B16="","",'CDU1.GMAP'!B16)</f>
        <v>AI_12_T95.PV</v>
      </c>
      <c r="C16" t="str">
        <f>IF('CDU1.GMAP'!C16="","",'CDU1.GMAP'!C16)</f>
        <v/>
      </c>
      <c r="D16" t="str">
        <f>IF('CDU1.GMAP'!D16="","",'CDU1.GMAP'!D16)</f>
        <v/>
      </c>
      <c r="E16">
        <f>MIN(MAX('CV Config'!AC16,'Model Update'!H25),'CV Config'!AD16)</f>
        <v>482</v>
      </c>
      <c r="W16" s="5">
        <f>IF('CDU1.GMAP'!W16="","",'CDU1.GMAP'!W16)</f>
        <v>1</v>
      </c>
    </row>
    <row r="17" spans="1:39" x14ac:dyDescent="0.2">
      <c r="A17">
        <v>12</v>
      </c>
      <c r="B17" t="str">
        <f>IF('CDU1.GMAP'!B17="","",'CDU1.GMAP'!B17)</f>
        <v>AI_12_TCL.PV</v>
      </c>
      <c r="C17" t="str">
        <f>IF('CDU1.GMAP'!C17="","",'CDU1.GMAP'!C17)</f>
        <v/>
      </c>
      <c r="D17" t="str">
        <f>IF('CDU1.GMAP'!D17="","",'CDU1.GMAP'!D17)</f>
        <v/>
      </c>
      <c r="E17">
        <f>MIN(MAX('CV Config'!AC17,'Model Update'!H26),'CV Config'!AD17)</f>
        <v>-60.368271634673597</v>
      </c>
      <c r="X17" s="5">
        <f>IF('CDU1.GMAP'!X17="","",'CDU1.GMAP'!X17)</f>
        <v>1</v>
      </c>
    </row>
    <row r="18" spans="1:39" x14ac:dyDescent="0.2">
      <c r="A18">
        <v>13</v>
      </c>
      <c r="B18" t="str">
        <f>IF('CDU1.GMAP'!B18="","",'CDU1.GMAP'!B18)</f>
        <v>AI_12_TFZ.PV</v>
      </c>
      <c r="C18" t="str">
        <f>IF('CDU1.GMAP'!C18="","",'CDU1.GMAP'!C18)</f>
        <v/>
      </c>
      <c r="D18" t="str">
        <f>IF('CDU1.GMAP'!D18="","",'CDU1.GMAP'!D18)</f>
        <v/>
      </c>
      <c r="E18">
        <f>MIN(MAX('CV Config'!AC18,'Model Update'!H27),'CV Config'!AD18)</f>
        <v>-44.1073881934444</v>
      </c>
      <c r="Z18" s="5">
        <f>IF('CDU1.GMAP'!Z18="","",'CDU1.GMAP'!Z18)</f>
        <v>1</v>
      </c>
    </row>
    <row r="19" spans="1:39" x14ac:dyDescent="0.2">
      <c r="A19">
        <v>14</v>
      </c>
      <c r="B19" t="str">
        <f>IF('CDU1.GMAP'!B19="","",'CDU1.GMAP'!B19)</f>
        <v>AI_12_TFL.PV</v>
      </c>
      <c r="C19" t="str">
        <f>IF('CDU1.GMAP'!C19="","",'CDU1.GMAP'!C19)</f>
        <v/>
      </c>
      <c r="D19" t="str">
        <f>IF('CDU1.GMAP'!D19="","",'CDU1.GMAP'!D19)</f>
        <v/>
      </c>
      <c r="E19">
        <f>MIN(MAX('CV Config'!AC19,'Model Update'!H28),'CV Config'!AD19)</f>
        <v>107.761589851708</v>
      </c>
      <c r="Y19" s="5">
        <f>IF('CDU1.GMAP'!Y19="","",'CDU1.GMAP'!Y19)</f>
        <v>1</v>
      </c>
    </row>
    <row r="20" spans="1:39" x14ac:dyDescent="0.2">
      <c r="A20">
        <v>15</v>
      </c>
      <c r="B20" t="str">
        <f>IF('CDU1.GMAP'!B20="","",'CDU1.GMAP'!B20)</f>
        <v>AI_13_CI.PV</v>
      </c>
      <c r="C20" t="str">
        <f>IF('CDU1.GMAP'!C20="","",'CDU1.GMAP'!C20)</f>
        <v/>
      </c>
      <c r="D20" t="str">
        <f>IF('CDU1.GMAP'!D20="","",'CDU1.GMAP'!D20)</f>
        <v/>
      </c>
      <c r="E20">
        <f>MIN(MAX('CV Config'!AC20,'Model Update'!H29),'CV Config'!AD20)</f>
        <v>56.534183307583703</v>
      </c>
      <c r="AA20" s="5">
        <f>IF('CDU1.GMAP'!AA20="","",'CDU1.GMAP'!AA20)</f>
        <v>1</v>
      </c>
    </row>
    <row r="21" spans="1:39" x14ac:dyDescent="0.2">
      <c r="A21">
        <v>16</v>
      </c>
      <c r="B21" t="str">
        <f>IF('CDU1.GMAP'!B21="","",'CDU1.GMAP'!B21)</f>
        <v>AI_13_SG.PV</v>
      </c>
      <c r="C21" t="str">
        <f>IF('CDU1.GMAP'!C21="","",'CDU1.GMAP'!C21)</f>
        <v/>
      </c>
      <c r="D21" t="str">
        <f>IF('CDU1.GMAP'!D21="","",'CDU1.GMAP'!D21)</f>
        <v/>
      </c>
      <c r="E21">
        <f>MIN(MAX('CV Config'!AC21,'Model Update'!H30),'CV Config'!AD21)</f>
        <v>0.83893847024218304</v>
      </c>
      <c r="AB21" s="5">
        <f>IF('CDU1.GMAP'!AB21="","",'CDU1.GMAP'!AB21)</f>
        <v>1</v>
      </c>
    </row>
    <row r="22" spans="1:39" x14ac:dyDescent="0.2">
      <c r="A22">
        <v>17</v>
      </c>
      <c r="B22" t="str">
        <f>IF('CDU1.GMAP'!B22="","",'CDU1.GMAP'!B22)</f>
        <v>AI_13_SUL.PV</v>
      </c>
      <c r="C22" t="str">
        <f>IF('CDU1.GMAP'!C22="","",'CDU1.GMAP'!C22)</f>
        <v/>
      </c>
      <c r="D22" t="str">
        <f>IF('CDU1.GMAP'!D22="","",'CDU1.GMAP'!D22)</f>
        <v/>
      </c>
      <c r="E22">
        <f>MIN(MAX('CV Config'!AC22,'Model Update'!H31),'CV Config'!AD22)</f>
        <v>3999.9951392451198</v>
      </c>
      <c r="AC22" s="5">
        <f>IF('CDU1.GMAP'!AC22="","",'CDU1.GMAP'!AC22)</f>
        <v>1</v>
      </c>
    </row>
    <row r="23" spans="1:39" x14ac:dyDescent="0.2">
      <c r="A23">
        <v>18</v>
      </c>
      <c r="B23" t="str">
        <f>IF('CDU1.GMAP'!B23="","",'CDU1.GMAP'!B23)</f>
        <v>AI_13_T95.PV</v>
      </c>
      <c r="C23" t="str">
        <f>IF('CDU1.GMAP'!C23="","",'CDU1.GMAP'!C23)</f>
        <v/>
      </c>
      <c r="D23" t="str">
        <f>IF('CDU1.GMAP'!D23="","",'CDU1.GMAP'!D23)</f>
        <v/>
      </c>
      <c r="E23">
        <f>MIN(MAX('CV Config'!AC23,'Model Update'!H32),'CV Config'!AD23)</f>
        <v>662</v>
      </c>
      <c r="AD23" s="5">
        <f>IF('CDU1.GMAP'!AD23="","",'CDU1.GMAP'!AD23)</f>
        <v>1</v>
      </c>
    </row>
    <row r="24" spans="1:39" x14ac:dyDescent="0.2">
      <c r="A24">
        <v>19</v>
      </c>
      <c r="B24" t="str">
        <f>IF('CDU1.GMAP'!B24="","",'CDU1.GMAP'!B24)</f>
        <v>AI_13_TCL.PV</v>
      </c>
      <c r="C24" t="str">
        <f>IF('CDU1.GMAP'!C24="","",'CDU1.GMAP'!C24)</f>
        <v/>
      </c>
      <c r="D24" t="str">
        <f>IF('CDU1.GMAP'!D24="","",'CDU1.GMAP'!D24)</f>
        <v/>
      </c>
      <c r="E24">
        <f>MIN(MAX('CV Config'!AC24,'Model Update'!H33),'CV Config'!AD24)</f>
        <v>5.0000019223871801</v>
      </c>
      <c r="AE24" s="5">
        <f>IF('CDU1.GMAP'!AE24="","",'CDU1.GMAP'!AE24)</f>
        <v>1</v>
      </c>
    </row>
    <row r="25" spans="1:39" x14ac:dyDescent="0.2">
      <c r="A25">
        <v>20</v>
      </c>
      <c r="B25" t="str">
        <f>IF('CDU1.GMAP'!B25="","",'CDU1.GMAP'!B25)</f>
        <v>AI_13_TFL.PV</v>
      </c>
      <c r="C25" t="str">
        <f>IF('CDU1.GMAP'!C25="","",'CDU1.GMAP'!C25)</f>
        <v/>
      </c>
      <c r="D25" t="str">
        <f>IF('CDU1.GMAP'!D25="","",'CDU1.GMAP'!D25)</f>
        <v/>
      </c>
      <c r="E25">
        <f>MIN(MAX('CV Config'!AC25,'Model Update'!H34),'CV Config'!AD25)</f>
        <v>217.91921301060401</v>
      </c>
      <c r="AF25" s="5">
        <f>IF('CDU1.GMAP'!AF25="","",'CDU1.GMAP'!AF25)</f>
        <v>1</v>
      </c>
    </row>
    <row r="26" spans="1:39" x14ac:dyDescent="0.2">
      <c r="A26">
        <v>21</v>
      </c>
      <c r="B26" t="str">
        <f>IF('CDU1.GMAP'!B26="","",'CDU1.GMAP'!B26)</f>
        <v>AI_14_CI.PV</v>
      </c>
      <c r="C26" t="str">
        <f>IF('CDU1.GMAP'!C26="","",'CDU1.GMAP'!C26)</f>
        <v/>
      </c>
      <c r="D26" t="str">
        <f>IF('CDU1.GMAP'!D26="","",'CDU1.GMAP'!D26)</f>
        <v/>
      </c>
      <c r="E26">
        <f>MIN(MAX('CV Config'!AC26,'Model Update'!H35),'CV Config'!AD26)</f>
        <v>43.681552531437497</v>
      </c>
      <c r="AG26" s="5">
        <f>IF('CDU1.GMAP'!AG26="","",'CDU1.GMAP'!AG26)</f>
        <v>1</v>
      </c>
    </row>
    <row r="27" spans="1:39" x14ac:dyDescent="0.2">
      <c r="A27">
        <v>22</v>
      </c>
      <c r="B27" t="str">
        <f>IF('CDU1.GMAP'!B27="","",'CDU1.GMAP'!B27)</f>
        <v>AI_14_SG.PV</v>
      </c>
      <c r="C27" t="str">
        <f>IF('CDU1.GMAP'!C27="","",'CDU1.GMAP'!C27)</f>
        <v/>
      </c>
      <c r="D27" t="str">
        <f>IF('CDU1.GMAP'!D27="","",'CDU1.GMAP'!D27)</f>
        <v/>
      </c>
      <c r="E27">
        <f>MIN(MAX('CV Config'!AC27,'Model Update'!H36),'CV Config'!AD27)</f>
        <v>0.85566489680874602</v>
      </c>
      <c r="AH27" s="5">
        <f>IF('CDU1.GMAP'!AH27="","",'CDU1.GMAP'!AH27)</f>
        <v>1</v>
      </c>
    </row>
    <row r="28" spans="1:39" x14ac:dyDescent="0.2">
      <c r="A28">
        <v>23</v>
      </c>
      <c r="B28" t="str">
        <f>IF('CDU1.GMAP'!B28="","",'CDU1.GMAP'!B28)</f>
        <v>AI_14_SUL.PV</v>
      </c>
      <c r="C28" t="str">
        <f>IF('CDU1.GMAP'!C28="","",'CDU1.GMAP'!C28)</f>
        <v/>
      </c>
      <c r="D28" t="str">
        <f>IF('CDU1.GMAP'!D28="","",'CDU1.GMAP'!D28)</f>
        <v/>
      </c>
      <c r="E28">
        <f>MIN(MAX('CV Config'!AC28,'Model Update'!H37),'CV Config'!AD28)</f>
        <v>5554.6341589663398</v>
      </c>
      <c r="AI28" s="5">
        <f>IF('CDU1.GMAP'!AI28="","",'CDU1.GMAP'!AI28)</f>
        <v>1</v>
      </c>
    </row>
    <row r="29" spans="1:39" x14ac:dyDescent="0.2">
      <c r="A29">
        <v>24</v>
      </c>
      <c r="B29" t="str">
        <f>IF('CDU1.GMAP'!B29="","",'CDU1.GMAP'!B29)</f>
        <v>AI_14_T95.PV</v>
      </c>
      <c r="C29" t="str">
        <f>IF('CDU1.GMAP'!C29="","",'CDU1.GMAP'!C29)</f>
        <v/>
      </c>
      <c r="D29" t="str">
        <f>IF('CDU1.GMAP'!D29="","",'CDU1.GMAP'!D29)</f>
        <v/>
      </c>
      <c r="E29">
        <f>MIN(MAX('CV Config'!AC29,'Model Update'!H38),'CV Config'!AD29)</f>
        <v>842</v>
      </c>
      <c r="AJ29" s="5">
        <f>IF('CDU1.GMAP'!AJ29="","",'CDU1.GMAP'!AJ29)</f>
        <v>1</v>
      </c>
    </row>
    <row r="30" spans="1:39" x14ac:dyDescent="0.2">
      <c r="A30">
        <v>25</v>
      </c>
      <c r="B30" t="str">
        <f>IF('CDU1.GMAP'!B30="","",'CDU1.GMAP'!B30)</f>
        <v>AI_14_TCL.PV</v>
      </c>
      <c r="C30" t="str">
        <f>IF('CDU1.GMAP'!C30="","",'CDU1.GMAP'!C30)</f>
        <v/>
      </c>
      <c r="D30" t="str">
        <f>IF('CDU1.GMAP'!D30="","",'CDU1.GMAP'!D30)</f>
        <v/>
      </c>
      <c r="E30">
        <f>MIN(MAX('CV Config'!AC30,'Model Update'!H39),'CV Config'!AD30)</f>
        <v>70.368275479031098</v>
      </c>
      <c r="AK30" s="5">
        <f>IF('CDU1.GMAP'!AK30="","",'CDU1.GMAP'!AK30)</f>
        <v>1</v>
      </c>
    </row>
    <row r="31" spans="1:39" x14ac:dyDescent="0.2">
      <c r="A31">
        <v>26</v>
      </c>
      <c r="B31" t="str">
        <f>IF('CDU1.GMAP'!B31="","",'CDU1.GMAP'!B31)</f>
        <v>AI_14_TFL.PV</v>
      </c>
      <c r="C31" t="str">
        <f>IF('CDU1.GMAP'!C31="","",'CDU1.GMAP'!C31)</f>
        <v/>
      </c>
      <c r="D31" t="str">
        <f>IF('CDU1.GMAP'!D31="","",'CDU1.GMAP'!D31)</f>
        <v/>
      </c>
      <c r="E31">
        <f>MIN(MAX('CV Config'!AC31,'Model Update'!H40),'CV Config'!AD31)</f>
        <v>323.62406847771803</v>
      </c>
      <c r="AL31" s="5">
        <f>IF('CDU1.GMAP'!AL31="","",'CDU1.GMAP'!AL31)</f>
        <v>1</v>
      </c>
    </row>
    <row r="32" spans="1:39" x14ac:dyDescent="0.2">
      <c r="A32">
        <v>27</v>
      </c>
      <c r="B32" t="str">
        <f>IF('CDU1.GDOT'!B6="","",'CDU1.GDOT'!B6)</f>
        <v>CDU1.SC1.T95.BAL</v>
      </c>
      <c r="C32" t="str">
        <f>IF('CDU1.GDOT'!C6="","",'CDU1.GDOT'!C6)</f>
        <v/>
      </c>
      <c r="D32" t="str">
        <f>IF('CDU1.GDOT'!D6="","",'CDU1.GDOT'!D6)</f>
        <v/>
      </c>
      <c r="E32">
        <f>MIN(MAX('CV Config'!AC32,'Model Update'!H41),'CV Config'!AD32)</f>
        <v>0</v>
      </c>
      <c r="N32" s="5">
        <f>IF('CDU1.GDOT'!F6="","",'CDU1.GDOT'!F6)</f>
        <v>-1.799919041287755</v>
      </c>
      <c r="P32" s="5">
        <f>IF('CDU1.GDOT'!H6="","",'CDU1.GDOT'!H6)</f>
        <v>9</v>
      </c>
      <c r="T32" s="5">
        <f>IF('CDU1.GDOT'!J6="","",'CDU1.GDOT'!J6)</f>
        <v>0.80000410278826484</v>
      </c>
      <c r="W32" s="5">
        <f>IF('CDU1.GDOT'!I6="","",'CDU1.GDOT'!I6)</f>
        <v>-0.80000410278826484</v>
      </c>
      <c r="AM32" s="5">
        <f>IF('CDU1.GDOT'!G6="","",'CDU1.GDOT'!G6)</f>
        <v>15.999370185596792</v>
      </c>
    </row>
    <row r="33" spans="1:63" x14ac:dyDescent="0.2">
      <c r="A33">
        <v>28</v>
      </c>
      <c r="B33" t="str">
        <f>IF('CDU1.GDOT'!B7="","",'CDU1.GDOT'!B7)</f>
        <v>CDU1.SC2.T95.BAL</v>
      </c>
      <c r="C33" t="str">
        <f>IF('CDU1.GDOT'!C7="","",'CDU1.GDOT'!C7)</f>
        <v/>
      </c>
      <c r="D33" t="str">
        <f>IF('CDU1.GDOT'!D7="","",'CDU1.GDOT'!D7)</f>
        <v/>
      </c>
      <c r="E33">
        <f>MIN(MAX('CV Config'!AC33,'Model Update'!H42),'CV Config'!AD33)</f>
        <v>0</v>
      </c>
      <c r="N33" s="5">
        <f>IF('CDU1.GDOT'!F7="","",'CDU1.GDOT'!F7)</f>
        <v>-1.7998952122643948</v>
      </c>
      <c r="Q33" s="5">
        <f>IF('CDU1.GDOT'!K7="","",'CDU1.GDOT'!K7)</f>
        <v>9</v>
      </c>
      <c r="W33" s="5">
        <f>IF('CDU1.GDOT'!I7="","",'CDU1.GDOT'!I7)</f>
        <v>0.80000410278826484</v>
      </c>
      <c r="AD33" s="5">
        <f>IF('CDU1.GDOT'!L7="","",'CDU1.GDOT'!L7)</f>
        <v>-0.80000410278826484</v>
      </c>
      <c r="AM33" s="5">
        <f>IF('CDU1.GDOT'!G7="","",'CDU1.GDOT'!G7)</f>
        <v>15.999160954074833</v>
      </c>
    </row>
    <row r="34" spans="1:63" x14ac:dyDescent="0.2">
      <c r="A34">
        <v>29</v>
      </c>
      <c r="B34" t="str">
        <f>IF('CDU1.GDOT'!B8="","",'CDU1.GDOT'!B8)</f>
        <v>CDU1.SC3.T95.BAL</v>
      </c>
      <c r="C34" t="str">
        <f>IF('CDU1.GDOT'!C8="","",'CDU1.GDOT'!C8)</f>
        <v/>
      </c>
      <c r="D34" t="str">
        <f>IF('CDU1.GDOT'!D8="","",'CDU1.GDOT'!D8)</f>
        <v/>
      </c>
      <c r="E34">
        <f>MIN(MAX('CV Config'!AC34,'Model Update'!H43),'CV Config'!AD34)</f>
        <v>0</v>
      </c>
      <c r="N34" s="5">
        <f>IF('CDU1.GDOT'!F8="","",'CDU1.GDOT'!F8)</f>
        <v>-1.7999245580932017</v>
      </c>
      <c r="R34" s="5">
        <f>IF('CDU1.GDOT'!M8="","",'CDU1.GDOT'!M8)</f>
        <v>9</v>
      </c>
      <c r="AD34" s="5">
        <f>IF('CDU1.GDOT'!L8="","",'CDU1.GDOT'!L8)</f>
        <v>0.80000410278826484</v>
      </c>
      <c r="AJ34" s="5">
        <f>IF('CDU1.GDOT'!N8="","",'CDU1.GDOT'!N8)</f>
        <v>-0.80000410278826484</v>
      </c>
      <c r="AM34" s="5">
        <f>IF('CDU1.GDOT'!G8="","",'CDU1.GDOT'!G8)</f>
        <v>15.999418626361553</v>
      </c>
    </row>
    <row r="35" spans="1:63" x14ac:dyDescent="0.2">
      <c r="A35">
        <v>30</v>
      </c>
      <c r="B35" t="str">
        <f>IF('CDU1.GDOT'!B9="","",'CDU1.GDOT'!B9)</f>
        <v>CDU1.SC1.MPT.BAL</v>
      </c>
      <c r="C35" t="str">
        <f>IF('CDU1.GDOT'!C9="","",'CDU1.GDOT'!C9)</f>
        <v/>
      </c>
      <c r="D35" t="str">
        <f>IF('CDU1.GDOT'!D9="","",'CDU1.GDOT'!D9)</f>
        <v/>
      </c>
      <c r="E35">
        <f>MIN(MAX('CV Config'!AC35,'Model Update'!H44),'CV Config'!AD35)</f>
        <v>7.5185588073708232E-2</v>
      </c>
      <c r="W35" s="5">
        <f>IF('CDU1.GDOT'!I9="","",'CDU1.GDOT'!I9)</f>
        <v>1</v>
      </c>
      <c r="AN35" s="5">
        <f>IF('CDU1.GDOT'!O9="","",'CDU1.GDOT'!O9)</f>
        <v>-1</v>
      </c>
      <c r="AO35" s="5">
        <f>IF('CDU1.GDOT'!P9="","",'CDU1.GDOT'!P9)</f>
        <v>-1</v>
      </c>
      <c r="AP35" s="5">
        <f>IF('CDU1.GDOT'!Q9="","",'CDU1.GDOT'!Q9)</f>
        <v>-1</v>
      </c>
    </row>
    <row r="36" spans="1:63" x14ac:dyDescent="0.2">
      <c r="A36">
        <v>31</v>
      </c>
      <c r="B36" t="str">
        <f>IF('CDU1.GDOT'!B10="","",'CDU1.GDOT'!B10)</f>
        <v>CDU1.SC2.MPT.BAL</v>
      </c>
      <c r="C36" t="str">
        <f>IF('CDU1.GDOT'!C10="","",'CDU1.GDOT'!C10)</f>
        <v/>
      </c>
      <c r="D36" t="str">
        <f>IF('CDU1.GDOT'!D10="","",'CDU1.GDOT'!D10)</f>
        <v/>
      </c>
      <c r="E36">
        <f>MIN(MAX('CV Config'!AC36,'Model Update'!H45),'CV Config'!AD36)</f>
        <v>8.5251691177735012E-2</v>
      </c>
      <c r="AD36" s="5">
        <f>IF('CDU1.GDOT'!L10="","",'CDU1.GDOT'!L10)</f>
        <v>1</v>
      </c>
      <c r="AQ36" s="5">
        <f>IF('CDU1.GDOT'!R10="","",'CDU1.GDOT'!R10)</f>
        <v>-1</v>
      </c>
      <c r="AR36" s="5">
        <f>IF('CDU1.GDOT'!S10="","",'CDU1.GDOT'!S10)</f>
        <v>-1</v>
      </c>
      <c r="AS36" s="5">
        <f>IF('CDU1.GDOT'!T10="","",'CDU1.GDOT'!T10)</f>
        <v>-1</v>
      </c>
      <c r="AT36" s="5">
        <f>IF('CDU1.GDOT'!U10="","",'CDU1.GDOT'!U10)</f>
        <v>-1</v>
      </c>
      <c r="AU36" s="5">
        <f>IF('CDU1.GDOT'!V10="","",'CDU1.GDOT'!V10)</f>
        <v>-1</v>
      </c>
    </row>
    <row r="37" spans="1:63" x14ac:dyDescent="0.2">
      <c r="A37">
        <v>32</v>
      </c>
      <c r="B37" t="str">
        <f>IF('CDU1.GDOT'!B11="","",'CDU1.GDOT'!B11)</f>
        <v>CDU1.SC3.MPT.BAL</v>
      </c>
      <c r="C37" t="str">
        <f>IF('CDU1.GDOT'!C11="","",'CDU1.GDOT'!C11)</f>
        <v/>
      </c>
      <c r="D37" t="str">
        <f>IF('CDU1.GDOT'!D11="","",'CDU1.GDOT'!D11)</f>
        <v/>
      </c>
      <c r="E37">
        <f>MIN(MAX('CV Config'!AC37,'Model Update'!H46),'CV Config'!AD37)</f>
        <v>9.1344641536657889E-2</v>
      </c>
      <c r="AJ37" s="5">
        <f>IF('CDU1.GDOT'!N11="","",'CDU1.GDOT'!N11)</f>
        <v>1</v>
      </c>
      <c r="AV37" s="5">
        <f>IF('CDU1.GDOT'!W11="","",'CDU1.GDOT'!W11)</f>
        <v>-1</v>
      </c>
      <c r="AW37" s="5">
        <f>IF('CDU1.GDOT'!X11="","",'CDU1.GDOT'!X11)</f>
        <v>-1</v>
      </c>
      <c r="AX37" s="5">
        <f>IF('CDU1.GDOT'!Y11="","",'CDU1.GDOT'!Y11)</f>
        <v>-1</v>
      </c>
      <c r="AY37" s="5">
        <f>IF('CDU1.GDOT'!Z11="","",'CDU1.GDOT'!Z11)</f>
        <v>-1</v>
      </c>
      <c r="AZ37" s="5">
        <f>IF('CDU1.GDOT'!AA11="","",'CDU1.GDOT'!AA11)</f>
        <v>-1</v>
      </c>
    </row>
    <row r="38" spans="1:63" x14ac:dyDescent="0.2">
      <c r="A38">
        <v>33</v>
      </c>
      <c r="B38" t="str">
        <f>IF('CDU1.GDOT'!B12="","",'CDU1.GDOT'!B12)</f>
        <v>CDU1.SC1.EVAP1.BAL</v>
      </c>
      <c r="C38" t="str">
        <f>IF('CDU1.GDOT'!C12="","",'CDU1.GDOT'!C12)</f>
        <v/>
      </c>
      <c r="D38" t="str">
        <f>IF('CDU1.GDOT'!D12="","",'CDU1.GDOT'!D12)</f>
        <v/>
      </c>
      <c r="E38">
        <f>MIN(MAX('CV Config'!AC38,'Model Update'!H47),'CV Config'!AD38)</f>
        <v>2.0894017804382638E-2</v>
      </c>
      <c r="T38" s="5" t="e">
        <f ca="1">IF('CDU1.GDOT'!J12="","",'CDU1.GDOT'!J12)</f>
        <v>#NAME?</v>
      </c>
      <c r="AO38" s="5" t="e">
        <f ca="1">IF('CDU1.GDOT'!P12="","",'CDU1.GDOT'!P12)</f>
        <v>#NAME?</v>
      </c>
      <c r="AP38" s="5" t="e">
        <f ca="1">IF('CDU1.GDOT'!Q12="","",'CDU1.GDOT'!Q12)</f>
        <v>#NAME?</v>
      </c>
      <c r="BA38" s="5">
        <f>IF('CDU1.GDOT'!AB12="","",'CDU1.GDOT'!AB12)</f>
        <v>-1</v>
      </c>
    </row>
    <row r="39" spans="1:63" x14ac:dyDescent="0.2">
      <c r="A39">
        <v>34</v>
      </c>
      <c r="B39" t="str">
        <f>IF('CDU1.GDOT'!B13="","",'CDU1.GDOT'!B13)</f>
        <v>CDU1.SC1.EVAP2.BAL</v>
      </c>
      <c r="C39" t="str">
        <f>IF('CDU1.GDOT'!C13="","",'CDU1.GDOT'!C13)</f>
        <v/>
      </c>
      <c r="D39" t="str">
        <f>IF('CDU1.GDOT'!D13="","",'CDU1.GDOT'!D13)</f>
        <v/>
      </c>
      <c r="E39">
        <f>MIN(MAX('CV Config'!AC39,'Model Update'!H48),'CV Config'!AD39)</f>
        <v>0</v>
      </c>
      <c r="T39" s="5" t="e">
        <f ca="1">IF('CDU1.GDOT'!J13="","",'CDU1.GDOT'!J13)</f>
        <v>#NAME?</v>
      </c>
      <c r="AP39" s="5" t="e">
        <f ca="1">IF('CDU1.GDOT'!Q13="","",'CDU1.GDOT'!Q13)</f>
        <v>#NAME?</v>
      </c>
      <c r="BB39" s="5">
        <f>IF('CDU1.GDOT'!AC13="","",'CDU1.GDOT'!AC13)</f>
        <v>-1</v>
      </c>
    </row>
    <row r="40" spans="1:63" x14ac:dyDescent="0.2">
      <c r="A40">
        <v>35</v>
      </c>
      <c r="B40" t="str">
        <f>IF('CDU1.GDOT'!B14="","",'CDU1.GDOT'!B14)</f>
        <v>CDU1.SC2.EVAP1.BAL</v>
      </c>
      <c r="C40" t="str">
        <f>IF('CDU1.GDOT'!C14="","",'CDU1.GDOT'!C14)</f>
        <v/>
      </c>
      <c r="D40" t="str">
        <f>IF('CDU1.GDOT'!D14="","",'CDU1.GDOT'!D14)</f>
        <v/>
      </c>
      <c r="E40">
        <f>MIN(MAX('CV Config'!AC40,'Model Update'!H49),'CV Config'!AD40)</f>
        <v>2.3692850630991771E-2</v>
      </c>
      <c r="W40" s="5" t="e">
        <f ca="1">IF('CDU1.GDOT'!I14="","",'CDU1.GDOT'!I14)</f>
        <v>#NAME?</v>
      </c>
      <c r="AR40" s="5" t="e">
        <f ca="1">IF('CDU1.GDOT'!S14="","",'CDU1.GDOT'!S14)</f>
        <v>#NAME?</v>
      </c>
      <c r="AS40" s="5" t="e">
        <f ca="1">IF('CDU1.GDOT'!T14="","",'CDU1.GDOT'!T14)</f>
        <v>#NAME?</v>
      </c>
      <c r="AT40" s="5" t="e">
        <f ca="1">IF('CDU1.GDOT'!U14="","",'CDU1.GDOT'!U14)</f>
        <v>#NAME?</v>
      </c>
      <c r="AU40" s="5" t="e">
        <f ca="1">IF('CDU1.GDOT'!V14="","",'CDU1.GDOT'!V14)</f>
        <v>#NAME?</v>
      </c>
      <c r="BC40" s="5">
        <f>IF('CDU1.GDOT'!AD14="","",'CDU1.GDOT'!AD14)</f>
        <v>-1</v>
      </c>
    </row>
    <row r="41" spans="1:63" x14ac:dyDescent="0.2">
      <c r="A41">
        <v>36</v>
      </c>
      <c r="B41" t="str">
        <f>IF('CDU1.GDOT'!B15="","",'CDU1.GDOT'!B15)</f>
        <v>CDU1.SC2.EVAP2.BAL</v>
      </c>
      <c r="C41" t="str">
        <f>IF('CDU1.GDOT'!C15="","",'CDU1.GDOT'!C15)</f>
        <v/>
      </c>
      <c r="D41" t="str">
        <f>IF('CDU1.GDOT'!D15="","",'CDU1.GDOT'!D15)</f>
        <v/>
      </c>
      <c r="E41">
        <f>MIN(MAX('CV Config'!AC41,'Model Update'!H50),'CV Config'!AD41)</f>
        <v>4.2639183284458516E-2</v>
      </c>
      <c r="W41" s="5" t="e">
        <f ca="1">IF('CDU1.GDOT'!I15="","",'CDU1.GDOT'!I15)</f>
        <v>#NAME?</v>
      </c>
      <c r="AS41" s="5" t="e">
        <f ca="1">IF('CDU1.GDOT'!T15="","",'CDU1.GDOT'!T15)</f>
        <v>#NAME?</v>
      </c>
      <c r="AT41" s="5" t="e">
        <f ca="1">IF('CDU1.GDOT'!U15="","",'CDU1.GDOT'!U15)</f>
        <v>#NAME?</v>
      </c>
      <c r="AU41" s="5" t="e">
        <f ca="1">IF('CDU1.GDOT'!V15="","",'CDU1.GDOT'!V15)</f>
        <v>#NAME?</v>
      </c>
      <c r="BD41" s="5">
        <f>IF('CDU1.GDOT'!AE15="","",'CDU1.GDOT'!AE15)</f>
        <v>-1</v>
      </c>
    </row>
    <row r="42" spans="1:63" x14ac:dyDescent="0.2">
      <c r="A42">
        <v>37</v>
      </c>
      <c r="B42" t="str">
        <f>IF('CDU1.GDOT'!B16="","",'CDU1.GDOT'!B16)</f>
        <v>CDU1.SC2.EVAP3.BAL</v>
      </c>
      <c r="C42" t="str">
        <f>IF('CDU1.GDOT'!C16="","",'CDU1.GDOT'!C16)</f>
        <v/>
      </c>
      <c r="D42" t="str">
        <f>IF('CDU1.GDOT'!D16="","",'CDU1.GDOT'!D16)</f>
        <v/>
      </c>
      <c r="E42">
        <f>MIN(MAX('CV Config'!AC42,'Model Update'!H51),'CV Config'!AD42)</f>
        <v>0</v>
      </c>
      <c r="W42" s="5" t="e">
        <f ca="1">IF('CDU1.GDOT'!I16="","",'CDU1.GDOT'!I16)</f>
        <v>#NAME?</v>
      </c>
      <c r="AT42" s="5" t="e">
        <f ca="1">IF('CDU1.GDOT'!U16="","",'CDU1.GDOT'!U16)</f>
        <v>#NAME?</v>
      </c>
      <c r="AU42" s="5" t="e">
        <f ca="1">IF('CDU1.GDOT'!V16="","",'CDU1.GDOT'!V16)</f>
        <v>#NAME?</v>
      </c>
      <c r="BE42" s="5">
        <f>IF('CDU1.GDOT'!AF16="","",'CDU1.GDOT'!AF16)</f>
        <v>-1</v>
      </c>
    </row>
    <row r="43" spans="1:63" x14ac:dyDescent="0.2">
      <c r="A43">
        <v>38</v>
      </c>
      <c r="B43" t="str">
        <f>IF('CDU1.GDOT'!B17="","",'CDU1.GDOT'!B17)</f>
        <v>CDU1.SC2.EVAP4.BAL</v>
      </c>
      <c r="C43" t="str">
        <f>IF('CDU1.GDOT'!C17="","",'CDU1.GDOT'!C17)</f>
        <v/>
      </c>
      <c r="D43" t="str">
        <f>IF('CDU1.GDOT'!D17="","",'CDU1.GDOT'!D17)</f>
        <v/>
      </c>
      <c r="E43">
        <f>MIN(MAX('CV Config'!AC43,'Model Update'!H52),'CV Config'!AD43)</f>
        <v>0</v>
      </c>
      <c r="W43" s="5" t="e">
        <f ca="1">IF('CDU1.GDOT'!I17="","",'CDU1.GDOT'!I17)</f>
        <v>#NAME?</v>
      </c>
      <c r="AU43" s="5" t="e">
        <f ca="1">IF('CDU1.GDOT'!V17="","",'CDU1.GDOT'!V17)</f>
        <v>#NAME?</v>
      </c>
      <c r="BF43" s="5">
        <f>IF('CDU1.GDOT'!AG17="","",'CDU1.GDOT'!AG17)</f>
        <v>-1</v>
      </c>
    </row>
    <row r="44" spans="1:63" x14ac:dyDescent="0.2">
      <c r="A44">
        <v>39</v>
      </c>
      <c r="B44" t="str">
        <f>IF('CDU1.GDOT'!B18="","",'CDU1.GDOT'!B18)</f>
        <v>CDU1.SC3.EVAP1.BAL</v>
      </c>
      <c r="C44" t="str">
        <f>IF('CDU1.GDOT'!C18="","",'CDU1.GDOT'!C18)</f>
        <v/>
      </c>
      <c r="D44" t="str">
        <f>IF('CDU1.GDOT'!D18="","",'CDU1.GDOT'!D18)</f>
        <v/>
      </c>
      <c r="E44">
        <f>MIN(MAX('CV Config'!AC44,'Model Update'!H53),'CV Config'!AD44)</f>
        <v>0</v>
      </c>
      <c r="AD44" s="5" t="e">
        <f ca="1">IF('CDU1.GDOT'!L18="","",'CDU1.GDOT'!L18)</f>
        <v>#NAME?</v>
      </c>
      <c r="AW44" s="5" t="e">
        <f ca="1">IF('CDU1.GDOT'!X18="","",'CDU1.GDOT'!X18)</f>
        <v>#NAME?</v>
      </c>
      <c r="AX44" s="5" t="e">
        <f ca="1">IF('CDU1.GDOT'!Y18="","",'CDU1.GDOT'!Y18)</f>
        <v>#NAME?</v>
      </c>
      <c r="AY44" s="5" t="e">
        <f ca="1">IF('CDU1.GDOT'!Z18="","",'CDU1.GDOT'!Z18)</f>
        <v>#NAME?</v>
      </c>
      <c r="AZ44" s="5" t="e">
        <f ca="1">IF('CDU1.GDOT'!AA18="","",'CDU1.GDOT'!AA18)</f>
        <v>#NAME?</v>
      </c>
      <c r="BG44" s="5">
        <f>IF('CDU1.GDOT'!AH18="","",'CDU1.GDOT'!AH18)</f>
        <v>-1</v>
      </c>
    </row>
    <row r="45" spans="1:63" x14ac:dyDescent="0.2">
      <c r="A45">
        <v>40</v>
      </c>
      <c r="B45" t="str">
        <f>IF('CDU1.GDOT'!B19="","",'CDU1.GDOT'!B19)</f>
        <v>CDU1.SC3.EVAP2.BAL</v>
      </c>
      <c r="C45" t="str">
        <f>IF('CDU1.GDOT'!C19="","",'CDU1.GDOT'!C19)</f>
        <v/>
      </c>
      <c r="D45" t="str">
        <f>IF('CDU1.GDOT'!D19="","",'CDU1.GDOT'!D19)</f>
        <v/>
      </c>
      <c r="E45">
        <f>MIN(MAX('CV Config'!AC45,'Model Update'!H54),'CV Config'!AD45)</f>
        <v>0</v>
      </c>
      <c r="AD45" s="5" t="e">
        <f ca="1">IF('CDU1.GDOT'!L19="","",'CDU1.GDOT'!L19)</f>
        <v>#NAME?</v>
      </c>
      <c r="AX45" s="5" t="e">
        <f ca="1">IF('CDU1.GDOT'!Y19="","",'CDU1.GDOT'!Y19)</f>
        <v>#NAME?</v>
      </c>
      <c r="AY45" s="5" t="e">
        <f ca="1">IF('CDU1.GDOT'!Z19="","",'CDU1.GDOT'!Z19)</f>
        <v>#NAME?</v>
      </c>
      <c r="AZ45" s="5" t="e">
        <f ca="1">IF('CDU1.GDOT'!AA19="","",'CDU1.GDOT'!AA19)</f>
        <v>#NAME?</v>
      </c>
      <c r="BH45" s="5">
        <f>IF('CDU1.GDOT'!AI19="","",'CDU1.GDOT'!AI19)</f>
        <v>-1</v>
      </c>
    </row>
    <row r="46" spans="1:63" x14ac:dyDescent="0.2">
      <c r="A46">
        <v>41</v>
      </c>
      <c r="B46" t="str">
        <f>IF('CDU1.GDOT'!B20="","",'CDU1.GDOT'!B20)</f>
        <v>CDU1.SC3.EVAP3.BAL</v>
      </c>
      <c r="C46" t="str">
        <f>IF('CDU1.GDOT'!C20="","",'CDU1.GDOT'!C20)</f>
        <v/>
      </c>
      <c r="D46" t="str">
        <f>IF('CDU1.GDOT'!D20="","",'CDU1.GDOT'!D20)</f>
        <v/>
      </c>
      <c r="E46">
        <f>MIN(MAX('CV Config'!AC46,'Model Update'!H55),'CV Config'!AD46)</f>
        <v>3.8931924097256841E-2</v>
      </c>
      <c r="AD46" s="5" t="e">
        <f ca="1">IF('CDU1.GDOT'!L20="","",'CDU1.GDOT'!L20)</f>
        <v>#NAME?</v>
      </c>
      <c r="AY46" s="5" t="e">
        <f ca="1">IF('CDU1.GDOT'!Z20="","",'CDU1.GDOT'!Z20)</f>
        <v>#NAME?</v>
      </c>
      <c r="AZ46" s="5" t="e">
        <f ca="1">IF('CDU1.GDOT'!AA20="","",'CDU1.GDOT'!AA20)</f>
        <v>#NAME?</v>
      </c>
      <c r="BI46" s="5">
        <f>IF('CDU1.GDOT'!AJ20="","",'CDU1.GDOT'!AJ20)</f>
        <v>-1</v>
      </c>
    </row>
    <row r="47" spans="1:63" x14ac:dyDescent="0.2">
      <c r="A47">
        <v>42</v>
      </c>
      <c r="B47" t="str">
        <f>IF('CDU1.GDOT'!B21="","",'CDU1.GDOT'!B21)</f>
        <v>CDU1.SC3.EVAP4.BAL</v>
      </c>
      <c r="C47" t="str">
        <f>IF('CDU1.GDOT'!C21="","",'CDU1.GDOT'!C21)</f>
        <v/>
      </c>
      <c r="D47" t="str">
        <f>IF('CDU1.GDOT'!D21="","",'CDU1.GDOT'!D21)</f>
        <v/>
      </c>
      <c r="E47">
        <f>MIN(MAX('CV Config'!AC47,'Model Update'!H56),'CV Config'!AD47)</f>
        <v>0</v>
      </c>
      <c r="AD47" s="5" t="e">
        <f ca="1">IF('CDU1.GDOT'!L21="","",'CDU1.GDOT'!L21)</f>
        <v>#NAME?</v>
      </c>
      <c r="AZ47" s="5" t="e">
        <f ca="1">IF('CDU1.GDOT'!AA21="","",'CDU1.GDOT'!AA21)</f>
        <v>#NAME?</v>
      </c>
      <c r="BJ47" s="5">
        <f>IF('CDU1.GDOT'!AK21="","",'CDU1.GDOT'!AK21)</f>
        <v>-1</v>
      </c>
    </row>
    <row r="48" spans="1:63" x14ac:dyDescent="0.2">
      <c r="A48">
        <v>43</v>
      </c>
      <c r="B48" t="str">
        <f>IF('CDU1.GDOT'!B22="","",'CDU1.GDOT'!B22)</f>
        <v>CDU1.SC1.SG.BAL</v>
      </c>
      <c r="C48" t="str">
        <f>IF('CDU1.GDOT'!C22="","",'CDU1.GDOT'!C22)</f>
        <v/>
      </c>
      <c r="D48" t="str">
        <f>IF('CDU1.GDOT'!D22="","",'CDU1.GDOT'!D22)</f>
        <v/>
      </c>
      <c r="E48">
        <f>MIN(MAX('CV Config'!AC48,'Model Update'!H57),'CV Config'!AD48)</f>
        <v>2.553648662637847E-15</v>
      </c>
      <c r="T48" s="5" t="e">
        <f ca="1">IF('CDU1.GDOT'!J22="","",'CDU1.GDOT'!J22)</f>
        <v>#NAME?</v>
      </c>
      <c r="U48" s="5">
        <f>IF('CDU1.GDOT'!AM22="","",'CDU1.GDOT'!AM22)</f>
        <v>-1</v>
      </c>
      <c r="W48" s="5" t="e">
        <f ca="1">IF('CDU1.GDOT'!I22="","",'CDU1.GDOT'!I22)</f>
        <v>#NAME?</v>
      </c>
      <c r="BK48" s="5" t="e">
        <f ca="1">IF('CDU1.GDOT'!AL22="","",'CDU1.GDOT'!AL22)</f>
        <v>#NAME?</v>
      </c>
    </row>
    <row r="49" spans="1:75" x14ac:dyDescent="0.2">
      <c r="A49">
        <v>44</v>
      </c>
      <c r="B49" t="str">
        <f>IF('CDU1.GDOT'!B23="","",'CDU1.GDOT'!B23)</f>
        <v>CDU1.SC2.SG.BAL</v>
      </c>
      <c r="C49" t="str">
        <f>IF('CDU1.GDOT'!C23="","",'CDU1.GDOT'!C23)</f>
        <v/>
      </c>
      <c r="D49" t="str">
        <f>IF('CDU1.GDOT'!D23="","",'CDU1.GDOT'!D23)</f>
        <v/>
      </c>
      <c r="E49">
        <f>MIN(MAX('CV Config'!AC49,'Model Update'!H58),'CV Config'!AD49)</f>
        <v>2.7224833642159032E-15</v>
      </c>
      <c r="W49" s="5" t="e">
        <f ca="1">IF('CDU1.GDOT'!I23="","",'CDU1.GDOT'!I23)</f>
        <v>#NAME?</v>
      </c>
      <c r="AB49" s="5">
        <f>IF('CDU1.GDOT'!AN23="","",'CDU1.GDOT'!AN23)</f>
        <v>-1</v>
      </c>
      <c r="AD49" s="5" t="e">
        <f ca="1">IF('CDU1.GDOT'!L23="","",'CDU1.GDOT'!L23)</f>
        <v>#NAME?</v>
      </c>
      <c r="BK49" s="5" t="e">
        <f ca="1">IF('CDU1.GDOT'!AL23="","",'CDU1.GDOT'!AL23)</f>
        <v>#NAME?</v>
      </c>
    </row>
    <row r="50" spans="1:75" x14ac:dyDescent="0.2">
      <c r="A50">
        <v>45</v>
      </c>
      <c r="B50" t="str">
        <f>IF('CDU1.GDOT'!B24="","",'CDU1.GDOT'!B24)</f>
        <v>CDU1.SC3.SG.BAL</v>
      </c>
      <c r="C50" t="str">
        <f>IF('CDU1.GDOT'!C24="","",'CDU1.GDOT'!C24)</f>
        <v/>
      </c>
      <c r="D50" t="str">
        <f>IF('CDU1.GDOT'!D24="","",'CDU1.GDOT'!D24)</f>
        <v/>
      </c>
      <c r="E50">
        <f>MIN(MAX('CV Config'!AC50,'Model Update'!H59),'CV Config'!AD50)</f>
        <v>2.8725871472962007E-15</v>
      </c>
      <c r="AD50" s="5" t="e">
        <f ca="1">IF('CDU1.GDOT'!L24="","",'CDU1.GDOT'!L24)</f>
        <v>#NAME?</v>
      </c>
      <c r="AH50" s="5">
        <f>IF('CDU1.GDOT'!AO24="","",'CDU1.GDOT'!AO24)</f>
        <v>-1</v>
      </c>
      <c r="AJ50" s="5" t="e">
        <f ca="1">IF('CDU1.GDOT'!N24="","",'CDU1.GDOT'!N24)</f>
        <v>#NAME?</v>
      </c>
      <c r="BK50" s="5" t="e">
        <f ca="1">IF('CDU1.GDOT'!AL24="","",'CDU1.GDOT'!AL24)</f>
        <v>#NAME?</v>
      </c>
    </row>
    <row r="51" spans="1:75" x14ac:dyDescent="0.2">
      <c r="A51">
        <v>46</v>
      </c>
      <c r="B51" t="str">
        <f>IF('CDU1.GDOT'!B25="","",'CDU1.GDOT'!B25)</f>
        <v>CDU1.SC1.CI.BAL</v>
      </c>
      <c r="C51" t="str">
        <f>IF('CDU1.GDOT'!C25="","",'CDU1.GDOT'!C25)</f>
        <v/>
      </c>
      <c r="D51" t="str">
        <f>IF('CDU1.GDOT'!D25="","",'CDU1.GDOT'!D25)</f>
        <v/>
      </c>
      <c r="E51">
        <f>MIN(MAX('CV Config'!AC51,'Model Update'!H60),'CV Config'!AD51)</f>
        <v>-1.1928424470581885E-12</v>
      </c>
      <c r="T51" s="5" t="e">
        <f ca="1">IF('CDU1.GDOT'!J25="","",'CDU1.GDOT'!J25)</f>
        <v>#NAME?</v>
      </c>
      <c r="W51" s="5" t="e">
        <f ca="1">IF('CDU1.GDOT'!I25="","",'CDU1.GDOT'!I25)</f>
        <v>#NAME?</v>
      </c>
      <c r="BK51" s="5" t="e">
        <f ca="1">IF('CDU1.GDOT'!AL25="","",'CDU1.GDOT'!AL25)</f>
        <v>#NAME?</v>
      </c>
      <c r="BL51" s="5">
        <f>IF('CDU1.GDOT'!AP25="","",'CDU1.GDOT'!AP25)</f>
        <v>-1</v>
      </c>
    </row>
    <row r="52" spans="1:75" x14ac:dyDescent="0.2">
      <c r="A52">
        <v>47</v>
      </c>
      <c r="B52" t="str">
        <f>IF('CDU1.GDOT'!B26="","",'CDU1.GDOT'!B26)</f>
        <v>CDU1.SC2.CI.BAL</v>
      </c>
      <c r="C52" t="str">
        <f>IF('CDU1.GDOT'!C26="","",'CDU1.GDOT'!C26)</f>
        <v/>
      </c>
      <c r="D52" t="str">
        <f>IF('CDU1.GDOT'!D26="","",'CDU1.GDOT'!D26)</f>
        <v/>
      </c>
      <c r="E52">
        <f>MIN(MAX('CV Config'!AC52,'Model Update'!H61),'CV Config'!AD52)</f>
        <v>-9.4079167228130414E-13</v>
      </c>
      <c r="W52" s="5" t="e">
        <f ca="1">IF('CDU1.GDOT'!I26="","",'CDU1.GDOT'!I26)</f>
        <v>#NAME?</v>
      </c>
      <c r="AA52" s="5">
        <f>IF('CDU1.GDOT'!AQ26="","",'CDU1.GDOT'!AQ26)</f>
        <v>-1</v>
      </c>
      <c r="AD52" s="5" t="e">
        <f ca="1">IF('CDU1.GDOT'!L26="","",'CDU1.GDOT'!L26)</f>
        <v>#NAME?</v>
      </c>
      <c r="BK52" s="5" t="e">
        <f ca="1">IF('CDU1.GDOT'!AL26="","",'CDU1.GDOT'!AL26)</f>
        <v>#NAME?</v>
      </c>
    </row>
    <row r="53" spans="1:75" x14ac:dyDescent="0.2">
      <c r="A53">
        <v>48</v>
      </c>
      <c r="B53" t="str">
        <f>IF('CDU1.GDOT'!B27="","",'CDU1.GDOT'!B27)</f>
        <v>CDU1.SC3.CI.BAL</v>
      </c>
      <c r="C53" t="str">
        <f>IF('CDU1.GDOT'!C27="","",'CDU1.GDOT'!C27)</f>
        <v/>
      </c>
      <c r="D53" t="str">
        <f>IF('CDU1.GDOT'!D27="","",'CDU1.GDOT'!D27)</f>
        <v/>
      </c>
      <c r="E53">
        <f>MIN(MAX('CV Config'!AC53,'Model Update'!H62),'CV Config'!AD53)</f>
        <v>-7.5715971044998443E-13</v>
      </c>
      <c r="AD53" s="5" t="e">
        <f ca="1">IF('CDU1.GDOT'!L27="","",'CDU1.GDOT'!L27)</f>
        <v>#NAME?</v>
      </c>
      <c r="AG53" s="5">
        <f>IF('CDU1.GDOT'!AR27="","",'CDU1.GDOT'!AR27)</f>
        <v>-1</v>
      </c>
      <c r="AJ53" s="5" t="e">
        <f ca="1">IF('CDU1.GDOT'!N27="","",'CDU1.GDOT'!N27)</f>
        <v>#NAME?</v>
      </c>
      <c r="BK53" s="5" t="e">
        <f ca="1">IF('CDU1.GDOT'!AL27="","",'CDU1.GDOT'!AL27)</f>
        <v>#NAME?</v>
      </c>
    </row>
    <row r="54" spans="1:75" x14ac:dyDescent="0.2">
      <c r="A54">
        <v>49</v>
      </c>
      <c r="B54" t="str">
        <f>IF('CDU1.GDOT'!B28="","",'CDU1.GDOT'!B28)</f>
        <v>CDU1.SC1.TFL.BAL</v>
      </c>
      <c r="C54" t="str">
        <f>IF('CDU1.GDOT'!C28="","",'CDU1.GDOT'!C28)</f>
        <v/>
      </c>
      <c r="D54" t="str">
        <f>IF('CDU1.GDOT'!D28="","",'CDU1.GDOT'!D28)</f>
        <v/>
      </c>
      <c r="E54">
        <f>MIN(MAX('CV Config'!AC54,'Model Update'!H63),'CV Config'!AD54)</f>
        <v>-1.2863754354071416E-13</v>
      </c>
      <c r="T54" s="5" t="e">
        <f ca="1">IF('CDU1.GDOT'!J28="","",'CDU1.GDOT'!J28)</f>
        <v>#NAME?</v>
      </c>
      <c r="W54" s="5" t="e">
        <f ca="1">IF('CDU1.GDOT'!I28="","",'CDU1.GDOT'!I28)</f>
        <v>#NAME?</v>
      </c>
      <c r="Y54" s="5">
        <f>IF('CDU1.GDOT'!AU28="","",'CDU1.GDOT'!AU28)</f>
        <v>-1</v>
      </c>
      <c r="BM54" s="5" t="e">
        <f ca="1">IF('CDU1.GDOT'!AS28="","",'CDU1.GDOT'!AS28)</f>
        <v>#NAME?</v>
      </c>
      <c r="BN54" s="5" t="e">
        <f ca="1">IF('CDU1.GDOT'!AT28="","",'CDU1.GDOT'!AT28)</f>
        <v>#NAME?</v>
      </c>
      <c r="BO54" s="5">
        <f>IF('CDU1.GDOT'!AV28="","",'CDU1.GDOT'!AV28)</f>
        <v>1</v>
      </c>
    </row>
    <row r="55" spans="1:75" x14ac:dyDescent="0.2">
      <c r="A55">
        <v>50</v>
      </c>
      <c r="B55" t="str">
        <f>IF('CDU1.GDOT'!B29="","",'CDU1.GDOT'!B29)</f>
        <v>CDU1.SC2.TFL.BAL</v>
      </c>
      <c r="C55" t="str">
        <f>IF('CDU1.GDOT'!C29="","",'CDU1.GDOT'!C29)</f>
        <v/>
      </c>
      <c r="D55" t="str">
        <f>IF('CDU1.GDOT'!D29="","",'CDU1.GDOT'!D29)</f>
        <v/>
      </c>
      <c r="E55">
        <f>MIN(MAX('CV Config'!AC55,'Model Update'!H64),'CV Config'!AD55)</f>
        <v>-2.1464021749546199E-13</v>
      </c>
      <c r="W55" s="5" t="e">
        <f ca="1">IF('CDU1.GDOT'!I29="","",'CDU1.GDOT'!I29)</f>
        <v>#NAME?</v>
      </c>
      <c r="AD55" s="5" t="e">
        <f ca="1">IF('CDU1.GDOT'!L29="","",'CDU1.GDOT'!L29)</f>
        <v>#NAME?</v>
      </c>
      <c r="AF55" s="5">
        <f>IF('CDU1.GDOT'!AW29="","",'CDU1.GDOT'!AW29)</f>
        <v>-1</v>
      </c>
      <c r="BM55" s="5" t="e">
        <f ca="1">IF('CDU1.GDOT'!AS29="","",'CDU1.GDOT'!AS29)</f>
        <v>#NAME?</v>
      </c>
      <c r="BN55" s="5" t="e">
        <f ca="1">IF('CDU1.GDOT'!AT29="","",'CDU1.GDOT'!AT29)</f>
        <v>#NAME?</v>
      </c>
      <c r="BP55" s="5">
        <f>IF('CDU1.GDOT'!AX29="","",'CDU1.GDOT'!AX29)</f>
        <v>1</v>
      </c>
    </row>
    <row r="56" spans="1:75" x14ac:dyDescent="0.2">
      <c r="A56">
        <v>51</v>
      </c>
      <c r="B56" t="str">
        <f>IF('CDU1.GDOT'!B30="","",'CDU1.GDOT'!B30)</f>
        <v>CDU1.SC3.TFL.BAL</v>
      </c>
      <c r="C56" t="str">
        <f>IF('CDU1.GDOT'!C30="","",'CDU1.GDOT'!C30)</f>
        <v/>
      </c>
      <c r="D56" t="str">
        <f>IF('CDU1.GDOT'!D30="","",'CDU1.GDOT'!D30)</f>
        <v/>
      </c>
      <c r="E56">
        <f>MIN(MAX('CV Config'!AC56,'Model Update'!H65),'CV Config'!AD56)</f>
        <v>-2.9815930737668408E-13</v>
      </c>
      <c r="AD56" s="5" t="e">
        <f ca="1">IF('CDU1.GDOT'!L30="","",'CDU1.GDOT'!L30)</f>
        <v>#NAME?</v>
      </c>
      <c r="AJ56" s="5" t="e">
        <f ca="1">IF('CDU1.GDOT'!N30="","",'CDU1.GDOT'!N30)</f>
        <v>#NAME?</v>
      </c>
      <c r="AL56" s="5">
        <f>IF('CDU1.GDOT'!AY30="","",'CDU1.GDOT'!AY30)</f>
        <v>-1</v>
      </c>
      <c r="BM56" s="5" t="e">
        <f ca="1">IF('CDU1.GDOT'!AS30="","",'CDU1.GDOT'!AS30)</f>
        <v>#NAME?</v>
      </c>
      <c r="BN56" s="5" t="e">
        <f ca="1">IF('CDU1.GDOT'!AT30="","",'CDU1.GDOT'!AT30)</f>
        <v>#NAME?</v>
      </c>
      <c r="BQ56" s="5">
        <f>IF('CDU1.GDOT'!AZ30="","",'CDU1.GDOT'!AZ30)</f>
        <v>1</v>
      </c>
    </row>
    <row r="57" spans="1:75" x14ac:dyDescent="0.2">
      <c r="A57">
        <v>52</v>
      </c>
      <c r="B57" t="str">
        <f>IF('CDU1.GDOT'!B31="","",'CDU1.GDOT'!B31)</f>
        <v>CDU1.SC1.SUL.BAL</v>
      </c>
      <c r="C57" t="str">
        <f>IF('CDU1.GDOT'!C31="","",'CDU1.GDOT'!C31)</f>
        <v/>
      </c>
      <c r="D57" t="str">
        <f>IF('CDU1.GDOT'!D31="","",'CDU1.GDOT'!D31)</f>
        <v/>
      </c>
      <c r="E57">
        <f>MIN(MAX('CV Config'!AC57,'Model Update'!H66),'CV Config'!AD57)</f>
        <v>4.7306666817155651E-13</v>
      </c>
      <c r="T57" s="5">
        <f>IF('CDU1.GDOT'!J31="","",'CDU1.GDOT'!J31)</f>
        <v>4.0780910625517235</v>
      </c>
      <c r="V57" s="5">
        <f>IF('CDU1.GDOT'!BC31="","",'CDU1.GDOT'!BC31)</f>
        <v>-1</v>
      </c>
      <c r="W57" s="5">
        <f>IF('CDU1.GDOT'!I31="","",'CDU1.GDOT'!I31)</f>
        <v>4.5269370709666585</v>
      </c>
      <c r="BR57" s="5">
        <f>IF('CDU1.GDOT'!BA31="","",'CDU1.GDOT'!BA31)</f>
        <v>394.24173083077898</v>
      </c>
      <c r="BS57" s="5">
        <f>IF('CDU1.GDOT'!BB31="","",'CDU1.GDOT'!BB31)</f>
        <v>1</v>
      </c>
    </row>
    <row r="58" spans="1:75" x14ac:dyDescent="0.2">
      <c r="A58">
        <v>53</v>
      </c>
      <c r="B58" t="str">
        <f>IF('CDU1.GDOT'!B32="","",'CDU1.GDOT'!B32)</f>
        <v>CDU1.SC2.SUL.BAL</v>
      </c>
      <c r="C58" t="str">
        <f>IF('CDU1.GDOT'!C32="","",'CDU1.GDOT'!C32)</f>
        <v/>
      </c>
      <c r="D58" t="str">
        <f>IF('CDU1.GDOT'!D32="","",'CDU1.GDOT'!D32)</f>
        <v/>
      </c>
      <c r="E58">
        <f>MIN(MAX('CV Config'!AC58,'Model Update'!H67),'CV Config'!AD58)</f>
        <v>7.9150460442049383E-13</v>
      </c>
      <c r="W58" s="5">
        <f>IF('CDU1.GDOT'!I32="","",'CDU1.GDOT'!I32)</f>
        <v>4.1639608577345104</v>
      </c>
      <c r="AC58" s="5">
        <f>IF('CDU1.GDOT'!BD32="","",'CDU1.GDOT'!BD32)</f>
        <v>-1</v>
      </c>
      <c r="AD58" s="5">
        <f>IF('CDU1.GDOT'!L32="","",'CDU1.GDOT'!L32)</f>
        <v>4.4689285951941331</v>
      </c>
      <c r="BR58" s="5">
        <f>IF('CDU1.GDOT'!BA32="","",'CDU1.GDOT'!BA32)</f>
        <v>573.497317738368</v>
      </c>
      <c r="BS58" s="5">
        <f>IF('CDU1.GDOT'!BB32="","",'CDU1.GDOT'!BB32)</f>
        <v>1</v>
      </c>
    </row>
    <row r="59" spans="1:75" x14ac:dyDescent="0.2">
      <c r="A59">
        <v>54</v>
      </c>
      <c r="B59" t="str">
        <f>IF('CDU1.GDOT'!B33="","",'CDU1.GDOT'!B33)</f>
        <v>CDU1.SC3.SUL.BAL</v>
      </c>
      <c r="C59" t="str">
        <f>IF('CDU1.GDOT'!C33="","",'CDU1.GDOT'!C33)</f>
        <v/>
      </c>
      <c r="D59" t="str">
        <f>IF('CDU1.GDOT'!D33="","",'CDU1.GDOT'!D33)</f>
        <v/>
      </c>
      <c r="E59">
        <f>MIN(MAX('CV Config'!AC59,'Model Update'!H68),'CV Config'!AD59)</f>
        <v>1.1105723310730156E-12</v>
      </c>
      <c r="AD59" s="5">
        <f>IF('CDU1.GDOT'!L33="","",'CDU1.GDOT'!L33)</f>
        <v>4.205931337800199</v>
      </c>
      <c r="AI59" s="5">
        <f>IF('CDU1.GDOT'!BE33="","",'CDU1.GDOT'!BE33)</f>
        <v>-1</v>
      </c>
      <c r="AJ59" s="5">
        <f>IF('CDU1.GDOT'!N33="","",'CDU1.GDOT'!N33)</f>
        <v>4.4371730613998333</v>
      </c>
      <c r="BR59" s="5">
        <f>IF('CDU1.GDOT'!BA33="","",'CDU1.GDOT'!BA33)</f>
        <v>753.10842027655372</v>
      </c>
      <c r="BS59" s="5">
        <f>IF('CDU1.GDOT'!BB33="","",'CDU1.GDOT'!BB33)</f>
        <v>1</v>
      </c>
    </row>
    <row r="60" spans="1:75" x14ac:dyDescent="0.2">
      <c r="A60">
        <v>55</v>
      </c>
      <c r="B60" t="str">
        <f>IF('CDU1.GDOT'!B34="","",'CDU1.GDOT'!B34)</f>
        <v>CDU1.SC2.VAR1.BAL</v>
      </c>
      <c r="C60" t="str">
        <f>IF('CDU1.GDOT'!C34="","",'CDU1.GDOT'!C34)</f>
        <v/>
      </c>
      <c r="D60" t="str">
        <f>IF('CDU1.GDOT'!D34="","",'CDU1.GDOT'!D34)</f>
        <v/>
      </c>
      <c r="E60">
        <f>MIN(MAX('CV Config'!AC60,'Model Update'!H69),'CV Config'!AD60)</f>
        <v>0</v>
      </c>
      <c r="AC60" s="5">
        <f>IF('CDU1.GDOT'!BD34="","",'CDU1.GDOT'!BD34)</f>
        <v>0.49977937035505809</v>
      </c>
      <c r="BC60" s="5">
        <f>IF('CDU1.GDOT'!AD34="","",'CDU1.GDOT'!AD34)</f>
        <v>-40.003444904189337</v>
      </c>
      <c r="BT60" s="5">
        <f>IF('CDU1.GDOT'!BF34="","",'CDU1.GDOT'!BF34)</f>
        <v>-1</v>
      </c>
    </row>
    <row r="61" spans="1:75" x14ac:dyDescent="0.2">
      <c r="A61">
        <v>56</v>
      </c>
      <c r="B61" t="str">
        <f>IF('CDU1.GDOT'!B35="","",'CDU1.GDOT'!B35)</f>
        <v>CDU1.SC3.VAR1.BAL</v>
      </c>
      <c r="C61" t="str">
        <f>IF('CDU1.GDOT'!C35="","",'CDU1.GDOT'!C35)</f>
        <v/>
      </c>
      <c r="D61" t="str">
        <f>IF('CDU1.GDOT'!D35="","",'CDU1.GDOT'!D35)</f>
        <v/>
      </c>
      <c r="E61">
        <f>MIN(MAX('CV Config'!AC61,'Model Update'!H70),'CV Config'!AD61)</f>
        <v>0</v>
      </c>
      <c r="AI61" s="5">
        <f>IF('CDU1.GDOT'!BE35="","",'CDU1.GDOT'!BE35)</f>
        <v>0.99999255944237619</v>
      </c>
      <c r="BG61" s="5">
        <f>IF('CDU1.GDOT'!AH35="","",'CDU1.GDOT'!AH35)</f>
        <v>-55.552328747859747</v>
      </c>
      <c r="BU61" s="5">
        <f>IF('CDU1.GDOT'!BG35="","",'CDU1.GDOT'!BG35)</f>
        <v>-1</v>
      </c>
    </row>
    <row r="62" spans="1:75" x14ac:dyDescent="0.2">
      <c r="A62">
        <v>57</v>
      </c>
      <c r="B62" t="str">
        <f>IF('CDU1.GDOT'!B36="","",'CDU1.GDOT'!B36)</f>
        <v>CDU1.SC1.TCL.BAL</v>
      </c>
      <c r="C62" t="str">
        <f>IF('CDU1.GDOT'!C36="","",'CDU1.GDOT'!C36)</f>
        <v/>
      </c>
      <c r="D62" t="str">
        <f>IF('CDU1.GDOT'!D36="","",'CDU1.GDOT'!D36)</f>
        <v/>
      </c>
      <c r="E62">
        <f>MIN(MAX('CV Config'!AC62,'Model Update'!H71),'CV Config'!AD62)</f>
        <v>5.0700075628432799E-13</v>
      </c>
      <c r="T62" s="5" t="e">
        <f ca="1">IF('CDU1.GDOT'!J36="","",'CDU1.GDOT'!J36)</f>
        <v>#NAME?</v>
      </c>
      <c r="W62" s="5" t="e">
        <f ca="1">IF('CDU1.GDOT'!I36="","",'CDU1.GDOT'!I36)</f>
        <v>#NAME?</v>
      </c>
      <c r="X62" s="5">
        <f>IF('CDU1.GDOT'!BJ36="","",'CDU1.GDOT'!BJ36)</f>
        <v>-1</v>
      </c>
      <c r="BV62" s="5" t="e">
        <f ca="1">IF('CDU1.GDOT'!BH36="","",'CDU1.GDOT'!BH36)</f>
        <v>#NAME?</v>
      </c>
      <c r="BW62" s="5">
        <f>IF('CDU1.GDOT'!BI36="","",'CDU1.GDOT'!BI36)</f>
        <v>1</v>
      </c>
    </row>
    <row r="63" spans="1:75" x14ac:dyDescent="0.2">
      <c r="A63">
        <v>58</v>
      </c>
      <c r="B63" t="str">
        <f>IF('CDU1.GDOT'!B37="","",'CDU1.GDOT'!B37)</f>
        <v>CDU1.SC2.TCL.BAL</v>
      </c>
      <c r="C63" t="str">
        <f>IF('CDU1.GDOT'!C37="","",'CDU1.GDOT'!C37)</f>
        <v/>
      </c>
      <c r="D63" t="str">
        <f>IF('CDU1.GDOT'!D37="","",'CDU1.GDOT'!D37)</f>
        <v/>
      </c>
      <c r="E63">
        <f>MIN(MAX('CV Config'!AC63,'Model Update'!H72),'CV Config'!AD63)</f>
        <v>5.1699274005079213E-13</v>
      </c>
      <c r="W63" s="5" t="e">
        <f ca="1">IF('CDU1.GDOT'!I37="","",'CDU1.GDOT'!I37)</f>
        <v>#NAME?</v>
      </c>
      <c r="AD63" s="5" t="e">
        <f ca="1">IF('CDU1.GDOT'!L37="","",'CDU1.GDOT'!L37)</f>
        <v>#NAME?</v>
      </c>
      <c r="AE63" s="5">
        <f>IF('CDU1.GDOT'!BK37="","",'CDU1.GDOT'!BK37)</f>
        <v>-1</v>
      </c>
      <c r="BV63" s="5" t="e">
        <f ca="1">IF('CDU1.GDOT'!BH37="","",'CDU1.GDOT'!BH37)</f>
        <v>#NAME?</v>
      </c>
      <c r="BW63" s="5">
        <f>IF('CDU1.GDOT'!BI37="","",'CDU1.GDOT'!BI37)</f>
        <v>1</v>
      </c>
    </row>
    <row r="64" spans="1:75" x14ac:dyDescent="0.2">
      <c r="A64">
        <v>59</v>
      </c>
      <c r="B64" t="str">
        <f>IF('CDU1.GDOT'!B38="","",'CDU1.GDOT'!B38)</f>
        <v>CDU1.SC3.TCL.BAL</v>
      </c>
      <c r="C64" t="str">
        <f>IF('CDU1.GDOT'!C38="","",'CDU1.GDOT'!C38)</f>
        <v/>
      </c>
      <c r="D64" t="str">
        <f>IF('CDU1.GDOT'!D38="","",'CDU1.GDOT'!D38)</f>
        <v/>
      </c>
      <c r="E64">
        <f>MIN(MAX('CV Config'!AC64,'Model Update'!H73),'CV Config'!AD64)</f>
        <v>5.2698467375300202E-13</v>
      </c>
      <c r="AD64" s="5" t="e">
        <f ca="1">IF('CDU1.GDOT'!L38="","",'CDU1.GDOT'!L38)</f>
        <v>#NAME?</v>
      </c>
      <c r="AJ64" s="5" t="e">
        <f ca="1">IF('CDU1.GDOT'!N38="","",'CDU1.GDOT'!N38)</f>
        <v>#NAME?</v>
      </c>
      <c r="AK64" s="5">
        <f>IF('CDU1.GDOT'!BL38="","",'CDU1.GDOT'!BL38)</f>
        <v>-1</v>
      </c>
      <c r="BV64" s="5" t="e">
        <f ca="1">IF('CDU1.GDOT'!BH38="","",'CDU1.GDOT'!BH38)</f>
        <v>#NAME?</v>
      </c>
      <c r="BW64" s="5">
        <f>IF('CDU1.GDOT'!BI38="","",'CDU1.GDOT'!BI38)</f>
        <v>1</v>
      </c>
    </row>
    <row r="65" spans="1:100" x14ac:dyDescent="0.2">
      <c r="A65">
        <v>60</v>
      </c>
      <c r="B65" t="str">
        <f>IF('CDU1.GDOT'!B39="","",'CDU1.GDOT'!B39)</f>
        <v>CDU1.SC1.TFZ.BAL</v>
      </c>
      <c r="C65" t="str">
        <f>IF('CDU1.GDOT'!C39="","",'CDU1.GDOT'!C39)</f>
        <v/>
      </c>
      <c r="D65" t="str">
        <f>IF('CDU1.GDOT'!D39="","",'CDU1.GDOT'!D39)</f>
        <v/>
      </c>
      <c r="E65">
        <f>MIN(MAX('CV Config'!AC65,'Model Update'!H74),'CV Config'!AD65)</f>
        <v>-6.4974550294478758E-13</v>
      </c>
      <c r="T65" s="5" t="e">
        <f ca="1">IF('CDU1.GDOT'!J39="","",'CDU1.GDOT'!J39)</f>
        <v>#NAME?</v>
      </c>
      <c r="W65" s="5" t="e">
        <f ca="1">IF('CDU1.GDOT'!I39="","",'CDU1.GDOT'!I39)</f>
        <v>#NAME?</v>
      </c>
      <c r="Z65" s="5">
        <f>IF('CDU1.GDOT'!BO39="","",'CDU1.GDOT'!BO39)</f>
        <v>-1</v>
      </c>
      <c r="BX65" s="5" t="e">
        <f ca="1">IF('CDU1.GDOT'!BM39="","",'CDU1.GDOT'!BM39)</f>
        <v>#NAME?</v>
      </c>
      <c r="BY65" s="5">
        <f>IF('CDU1.GDOT'!BN39="","",'CDU1.GDOT'!BN39)</f>
        <v>1</v>
      </c>
    </row>
    <row r="66" spans="1:100" x14ac:dyDescent="0.2">
      <c r="A66">
        <v>61</v>
      </c>
      <c r="B66" t="str">
        <f>IF('CDU1.GDOT'!B40="","",'CDU1.GDOT'!B40)</f>
        <v>CDU1.OVH.FLOW.BAL</v>
      </c>
      <c r="C66" t="str">
        <f>IF('CDU1.GDOT'!C40="","",'CDU1.GDOT'!C40)</f>
        <v/>
      </c>
      <c r="D66" t="str">
        <f>IF('CDU1.GDOT'!D40="","",'CDU1.GDOT'!D40)</f>
        <v/>
      </c>
      <c r="E66">
        <f>MIN(MAX('CV Config'!AC66,'Model Update'!H75),'CV Config'!AD66)</f>
        <v>0</v>
      </c>
      <c r="N66" s="5">
        <f>IF('CDU1.GDOT'!F40="","",'CDU1.GDOT'!F40)</f>
        <v>0.19999896641903545</v>
      </c>
      <c r="O66" s="5">
        <f>IF('CDU1.GDOT'!BP40="","",'CDU1.GDOT'!BP40)</f>
        <v>-1</v>
      </c>
      <c r="T66" s="5">
        <f>IF('CDU1.GDOT'!J40="","",'CDU1.GDOT'!J40)</f>
        <v>8.8889344754251642E-2</v>
      </c>
    </row>
    <row r="67" spans="1:100" x14ac:dyDescent="0.2">
      <c r="A67">
        <v>62</v>
      </c>
      <c r="B67" t="str">
        <f>IF('CDU1.GDOT'!B41="","",'CDU1.GDOT'!B41)</f>
        <v>CDU1.RES.FLOW.BAL</v>
      </c>
      <c r="C67" t="str">
        <f>IF('CDU1.GDOT'!C41="","",'CDU1.GDOT'!C41)</f>
        <v/>
      </c>
      <c r="D67" t="str">
        <f>IF('CDU1.GDOT'!D41="","",'CDU1.GDOT'!D41)</f>
        <v/>
      </c>
      <c r="E67">
        <f>MIN(MAX('CV Config'!AC67,'Model Update'!H76),'CV Config'!AD67)</f>
        <v>0</v>
      </c>
      <c r="N67" s="5">
        <f>IF('CDU1.GDOT'!F41="","",'CDU1.GDOT'!F41)</f>
        <v>1</v>
      </c>
      <c r="O67" s="5">
        <f>IF('CDU1.GDOT'!BP41="","",'CDU1.GDOT'!BP41)</f>
        <v>-1</v>
      </c>
      <c r="P67" s="5">
        <f>IF('CDU1.GDOT'!H41="","",'CDU1.GDOT'!H41)</f>
        <v>-1</v>
      </c>
      <c r="Q67" s="5">
        <f>IF('CDU1.GDOT'!K41="","",'CDU1.GDOT'!K41)</f>
        <v>-1</v>
      </c>
      <c r="R67" s="5">
        <f>IF('CDU1.GDOT'!M41="","",'CDU1.GDOT'!M41)</f>
        <v>-1</v>
      </c>
      <c r="S67" s="5">
        <f>IF('CDU1.GDOT'!BQ41="","",'CDU1.GDOT'!BQ41)</f>
        <v>-1</v>
      </c>
    </row>
    <row r="68" spans="1:100" x14ac:dyDescent="0.2">
      <c r="A68">
        <v>63</v>
      </c>
      <c r="B68" t="str">
        <f>IF(HFB.CMAP!B6="","",HFB.CMAP!B6)</f>
        <v>FI_71.BAL</v>
      </c>
      <c r="C68" t="str">
        <f>IF(HFB.CMAP!C6="","",HFB.CMAP!C6)</f>
        <v/>
      </c>
      <c r="D68" t="str">
        <f>IF(HFB.CMAP!D6="","",HFB.CMAP!D6)</f>
        <v/>
      </c>
      <c r="E68">
        <f>MIN(MAX('CV Config'!AC68,'Model Update'!H77),'CV Config'!AD68)</f>
        <v>0</v>
      </c>
      <c r="J68" s="5">
        <f>IF(HFB.CMAP!F6="","",HFB.CMAP!F6)</f>
        <v>1</v>
      </c>
      <c r="BZ68" s="5">
        <f>IF(HFB.CMAP!G6="","",HFB.CMAP!G6)</f>
        <v>-1</v>
      </c>
      <c r="CA68" s="5">
        <f>IF(HFB.CMAP!H6="","",HFB.CMAP!H6)</f>
        <v>-1</v>
      </c>
    </row>
    <row r="69" spans="1:100" x14ac:dyDescent="0.2">
      <c r="A69">
        <v>64</v>
      </c>
      <c r="B69" t="str">
        <f>IF(HFB.GMAP!B6="","",HFB.GMAP!B6)</f>
        <v>HFB.PROD.FLOW.MAP</v>
      </c>
      <c r="C69" t="str">
        <f>IF(HFB.GMAP!C6="","",HFB.GMAP!C6)</f>
        <v/>
      </c>
      <c r="D69" t="str">
        <f>IF(HFB.GMAP!D6="","",HFB.GMAP!D6)</f>
        <v/>
      </c>
      <c r="E69">
        <f>MIN(MAX('CV Config'!AC69,'Model Update'!H78),'CV Config'!AD69)</f>
        <v>0</v>
      </c>
      <c r="CB69" s="5">
        <f>IF(HFB.GMAP!F6="","",HFB.GMAP!F6)</f>
        <v>1</v>
      </c>
      <c r="CG69" s="5">
        <f>IF(HFB.GMAP!K6="","",HFB.GMAP!K6)</f>
        <v>-1</v>
      </c>
    </row>
    <row r="70" spans="1:100" x14ac:dyDescent="0.2">
      <c r="A70">
        <v>65</v>
      </c>
      <c r="B70" t="str">
        <f>IF(HFB.GMAP!B7="","",HFB.GMAP!B7)</f>
        <v>HFB.FD1.FLOW.MAP</v>
      </c>
      <c r="C70" t="str">
        <f>IF(HFB.GMAP!C7="","",HFB.GMAP!C7)</f>
        <v/>
      </c>
      <c r="D70" t="str">
        <f>IF(HFB.GMAP!D7="","",HFB.GMAP!D7)</f>
        <v/>
      </c>
      <c r="E70">
        <f>MIN(MAX('CV Config'!AC70,'Model Update'!H79),'CV Config'!AD70)</f>
        <v>0</v>
      </c>
      <c r="BZ70" s="5">
        <f>IF(HFB.GMAP!L7="","",HFB.GMAP!L7)</f>
        <v>-1</v>
      </c>
      <c r="CC70" s="5">
        <f>IF(HFB.GMAP!G7="","",HFB.GMAP!G7)</f>
        <v>1</v>
      </c>
      <c r="CV70" s="5">
        <f>IF(HFB.GMAP!AC7="","",HFB.GMAP!AC7)</f>
        <v>0</v>
      </c>
    </row>
    <row r="71" spans="1:100" x14ac:dyDescent="0.2">
      <c r="A71">
        <v>66</v>
      </c>
      <c r="B71" t="str">
        <f>IF(HFB.GMAP!B8="","",HFB.GMAP!B8)</f>
        <v>HFB.FD2.FLOW.MAP</v>
      </c>
      <c r="C71" t="str">
        <f>IF(HFB.GMAP!C8="","",HFB.GMAP!C8)</f>
        <v/>
      </c>
      <c r="D71" t="str">
        <f>IF(HFB.GMAP!D8="","",HFB.GMAP!D8)</f>
        <v/>
      </c>
      <c r="E71">
        <f>MIN(MAX('CV Config'!AC71,'Model Update'!H80),'CV Config'!AD71)</f>
        <v>0</v>
      </c>
      <c r="K71" s="5">
        <f>IF(HFB.GMAP!M8="","",HFB.GMAP!M8)</f>
        <v>-1</v>
      </c>
      <c r="CD71" s="5">
        <f>IF(HFB.GMAP!H8="","",HFB.GMAP!H8)</f>
        <v>1</v>
      </c>
      <c r="CV71" s="5">
        <f>IF(HFB.GMAP!AC8="","",HFB.GMAP!AC8)</f>
        <v>0</v>
      </c>
    </row>
    <row r="72" spans="1:100" x14ac:dyDescent="0.2">
      <c r="A72">
        <v>67</v>
      </c>
      <c r="B72" t="str">
        <f>IF(HFB.GMAP!B9="","",HFB.GMAP!B9)</f>
        <v>HFB.FD3.FLOW.MAP</v>
      </c>
      <c r="C72" t="str">
        <f>IF(HFB.GMAP!C9="","",HFB.GMAP!C9)</f>
        <v/>
      </c>
      <c r="D72" t="str">
        <f>IF(HFB.GMAP!D9="","",HFB.GMAP!D9)</f>
        <v/>
      </c>
      <c r="E72">
        <f>MIN(MAX('CV Config'!AC72,'Model Update'!H81),'CV Config'!AD72)</f>
        <v>0</v>
      </c>
      <c r="L72" s="5">
        <f>IF(HFB.GMAP!N9="","",HFB.GMAP!N9)</f>
        <v>-1</v>
      </c>
      <c r="CE72" s="5">
        <f>IF(HFB.GMAP!I9="","",HFB.GMAP!I9)</f>
        <v>1</v>
      </c>
      <c r="CV72" s="5">
        <f>IF(HFB.GMAP!AC9="","",HFB.GMAP!AC9)</f>
        <v>0</v>
      </c>
    </row>
    <row r="73" spans="1:100" x14ac:dyDescent="0.2">
      <c r="A73">
        <v>68</v>
      </c>
      <c r="B73" t="str">
        <f>IF(HFB.GMAP!B10="","",HFB.GMAP!B10)</f>
        <v>HFB.FD4.FLOW.MAP</v>
      </c>
      <c r="C73" t="str">
        <f>IF(HFB.GMAP!C10="","",HFB.GMAP!C10)</f>
        <v/>
      </c>
      <c r="D73" t="str">
        <f>IF(HFB.GMAP!D10="","",HFB.GMAP!D10)</f>
        <v/>
      </c>
      <c r="E73">
        <f>MIN(MAX('CV Config'!AC73,'Model Update'!H82),'CV Config'!AD73)</f>
        <v>0</v>
      </c>
      <c r="CF73" s="5">
        <f>IF(HFB.GMAP!J10="","",HFB.GMAP!J10)</f>
        <v>1</v>
      </c>
      <c r="CH73" s="5">
        <f>IF(HFB.GMAP!O10="","",HFB.GMAP!O10)</f>
        <v>-1</v>
      </c>
    </row>
    <row r="74" spans="1:100" x14ac:dyDescent="0.2">
      <c r="A74">
        <v>69</v>
      </c>
      <c r="B74" t="str">
        <f>IF(HFB.GMAP!B11="","",HFB.GMAP!B11)</f>
        <v>AI_40_CI.PV</v>
      </c>
      <c r="C74" t="str">
        <f>IF(HFB.GMAP!C11="","",HFB.GMAP!C11)</f>
        <v/>
      </c>
      <c r="D74" t="str">
        <f>IF(HFB.GMAP!D11="","",HFB.GMAP!D11)</f>
        <v/>
      </c>
      <c r="E74">
        <f>MIN(MAX('CV Config'!AC74,'Model Update'!H83),'CV Config'!AD74)</f>
        <v>48.700418751560399</v>
      </c>
      <c r="CI74" s="5">
        <f>IF(HFB.GMAP!P11="","",HFB.GMAP!P11)</f>
        <v>1</v>
      </c>
    </row>
    <row r="75" spans="1:100" x14ac:dyDescent="0.2">
      <c r="A75">
        <v>70</v>
      </c>
      <c r="B75" t="str">
        <f>IF(HFB.GMAP!B12="","",HFB.GMAP!B12)</f>
        <v>AI_40_SG.PV</v>
      </c>
      <c r="C75" t="str">
        <f>IF(HFB.GMAP!C12="","",HFB.GMAP!C12)</f>
        <v/>
      </c>
      <c r="D75" t="str">
        <f>IF(HFB.GMAP!D12="","",HFB.GMAP!D12)</f>
        <v/>
      </c>
      <c r="E75">
        <f>MIN(MAX('CV Config'!AC75,'Model Update'!H84),'CV Config'!AD75)</f>
        <v>0.8251601962242</v>
      </c>
      <c r="CJ75" s="5">
        <f>IF(HFB.GMAP!Q12="","",HFB.GMAP!Q12)</f>
        <v>1</v>
      </c>
    </row>
    <row r="76" spans="1:100" x14ac:dyDescent="0.2">
      <c r="A76">
        <v>71</v>
      </c>
      <c r="B76" t="str">
        <f>IF(HFB.GMAP!B13="","",HFB.GMAP!B13)</f>
        <v>AI_40_SUL.PV</v>
      </c>
      <c r="C76" t="str">
        <f>IF(HFB.GMAP!C13="","",HFB.GMAP!C13)</f>
        <v/>
      </c>
      <c r="D76" t="str">
        <f>IF(HFB.GMAP!D13="","",HFB.GMAP!D13)</f>
        <v/>
      </c>
      <c r="E76">
        <f>MIN(MAX('CV Config'!AC76,'Model Update'!H85),'CV Config'!AD76)</f>
        <v>5911.2366926265704</v>
      </c>
      <c r="CK76" s="5">
        <f>IF(HFB.GMAP!R13="","",HFB.GMAP!R13)</f>
        <v>1</v>
      </c>
    </row>
    <row r="77" spans="1:100" x14ac:dyDescent="0.2">
      <c r="A77">
        <v>72</v>
      </c>
      <c r="B77" t="str">
        <f>IF(HFB.GMAP!B14="","",HFB.GMAP!B14)</f>
        <v>AI_40_T95.PV</v>
      </c>
      <c r="C77" t="str">
        <f>IF(HFB.GMAP!C14="","",HFB.GMAP!C14)</f>
        <v/>
      </c>
      <c r="D77" t="str">
        <f>IF(HFB.GMAP!D14="","",HFB.GMAP!D14)</f>
        <v/>
      </c>
      <c r="E77">
        <f>MIN(MAX('CV Config'!AC77,'Model Update'!H86),'CV Config'!AD77)</f>
        <v>815.00055367402001</v>
      </c>
      <c r="CL77" s="5">
        <f>IF(HFB.GMAP!S14="","",HFB.GMAP!S14)</f>
        <v>1</v>
      </c>
    </row>
    <row r="78" spans="1:100" x14ac:dyDescent="0.2">
      <c r="A78">
        <v>73</v>
      </c>
      <c r="B78" t="str">
        <f>IF(HFB.GMAP!B15="","",HFB.GMAP!B15)</f>
        <v>AI_40_TCL.PV</v>
      </c>
      <c r="C78" t="str">
        <f>IF(HFB.GMAP!C15="","",HFB.GMAP!C15)</f>
        <v/>
      </c>
      <c r="D78" t="str">
        <f>IF(HFB.GMAP!D15="","",HFB.GMAP!D15)</f>
        <v/>
      </c>
      <c r="E78">
        <f>MIN(MAX('CV Config'!AC78,'Model Update'!H87),'CV Config'!AD78)</f>
        <v>46.415375085455103</v>
      </c>
      <c r="CM78" s="5">
        <f>IF(HFB.GMAP!T15="","",HFB.GMAP!T15)</f>
        <v>1</v>
      </c>
    </row>
    <row r="79" spans="1:100" x14ac:dyDescent="0.2">
      <c r="A79">
        <v>74</v>
      </c>
      <c r="B79" t="str">
        <f>IF(HFB.GMAP!B16="","",HFB.GMAP!B16)</f>
        <v>AI_40_TFL.PV</v>
      </c>
      <c r="C79" t="str">
        <f>IF(HFB.GMAP!C16="","",HFB.GMAP!C16)</f>
        <v/>
      </c>
      <c r="D79" t="str">
        <f>IF(HFB.GMAP!D16="","",HFB.GMAP!D16)</f>
        <v/>
      </c>
      <c r="E79">
        <f>MIN(MAX('CV Config'!AC79,'Model Update'!H88),'CV Config'!AD79)</f>
        <v>151.540721766914</v>
      </c>
      <c r="CN79" s="5">
        <f>IF(HFB.GMAP!U16="","",HFB.GMAP!U16)</f>
        <v>1</v>
      </c>
    </row>
    <row r="80" spans="1:100" x14ac:dyDescent="0.2">
      <c r="A80">
        <v>75</v>
      </c>
      <c r="B80" t="str">
        <f>IF(HFB.GMAP!B17="","",HFB.GMAP!B17)</f>
        <v>TK81.CI</v>
      </c>
      <c r="C80" t="str">
        <f>IF(HFB.GMAP!C17="","",HFB.GMAP!C17)</f>
        <v/>
      </c>
      <c r="D80" t="str">
        <f>IF(HFB.GMAP!D17="","",HFB.GMAP!D17)</f>
        <v/>
      </c>
      <c r="E80">
        <f>MIN(MAX('CV Config'!AC80,'Model Update'!H89),'CV Config'!AD80)</f>
        <v>45</v>
      </c>
      <c r="CO80" s="5">
        <f>IF(HFB.GMAP!V17="","",HFB.GMAP!V17)</f>
        <v>1</v>
      </c>
    </row>
    <row r="81" spans="1:110" x14ac:dyDescent="0.2">
      <c r="A81">
        <v>76</v>
      </c>
      <c r="B81" t="str">
        <f>IF(HFB.GMAP!B18="","",HFB.GMAP!B18)</f>
        <v>TK81.SG</v>
      </c>
      <c r="C81" t="str">
        <f>IF(HFB.GMAP!C18="","",HFB.GMAP!C18)</f>
        <v/>
      </c>
      <c r="D81" t="str">
        <f>IF(HFB.GMAP!D18="","",HFB.GMAP!D18)</f>
        <v/>
      </c>
      <c r="E81">
        <f>MIN(MAX('CV Config'!AC81,'Model Update'!H90),'CV Config'!AD81)</f>
        <v>0.8</v>
      </c>
      <c r="CP81" s="5">
        <f>IF(HFB.GMAP!W18="","",HFB.GMAP!W18)</f>
        <v>1</v>
      </c>
    </row>
    <row r="82" spans="1:110" x14ac:dyDescent="0.2">
      <c r="A82">
        <v>77</v>
      </c>
      <c r="B82" t="str">
        <f>IF(HFB.GMAP!B19="","",HFB.GMAP!B19)</f>
        <v>TK81.SUL</v>
      </c>
      <c r="C82" t="str">
        <f>IF(HFB.GMAP!C19="","",HFB.GMAP!C19)</f>
        <v/>
      </c>
      <c r="D82" t="str">
        <f>IF(HFB.GMAP!D19="","",HFB.GMAP!D19)</f>
        <v/>
      </c>
      <c r="E82">
        <f>MIN(MAX('CV Config'!AC82,'Model Update'!H91),'CV Config'!AD82)</f>
        <v>10000</v>
      </c>
      <c r="CQ82" s="5">
        <f>IF(HFB.GMAP!X19="","",HFB.GMAP!X19)</f>
        <v>1</v>
      </c>
    </row>
    <row r="83" spans="1:110" x14ac:dyDescent="0.2">
      <c r="A83">
        <v>78</v>
      </c>
      <c r="B83" t="str">
        <f>IF(HFB.GMAP!B20="","",HFB.GMAP!B20)</f>
        <v>TK81.T05</v>
      </c>
      <c r="C83" t="str">
        <f>IF(HFB.GMAP!C20="","",HFB.GMAP!C20)</f>
        <v/>
      </c>
      <c r="D83" t="str">
        <f>IF(HFB.GMAP!D20="","",HFB.GMAP!D20)</f>
        <v/>
      </c>
      <c r="E83">
        <f>MIN(MAX('CV Config'!AC83,'Model Update'!H92),'CV Config'!AD83)</f>
        <v>572</v>
      </c>
      <c r="CR83" s="5">
        <f>IF(HFB.GMAP!Y20="","",HFB.GMAP!Y20)</f>
        <v>1</v>
      </c>
    </row>
    <row r="84" spans="1:110" x14ac:dyDescent="0.2">
      <c r="A84">
        <v>79</v>
      </c>
      <c r="B84" t="str">
        <f>IF(HFB.GMAP!B21="","",HFB.GMAP!B21)</f>
        <v>TK81.T95</v>
      </c>
      <c r="C84" t="str">
        <f>IF(HFB.GMAP!C21="","",HFB.GMAP!C21)</f>
        <v/>
      </c>
      <c r="D84" t="str">
        <f>IF(HFB.GMAP!D21="","",HFB.GMAP!D21)</f>
        <v/>
      </c>
      <c r="E84">
        <f>MIN(MAX('CV Config'!AC84,'Model Update'!H93),'CV Config'!AD84)</f>
        <v>680</v>
      </c>
      <c r="CS84" s="5">
        <f>IF(HFB.GMAP!Z21="","",HFB.GMAP!Z21)</f>
        <v>1</v>
      </c>
    </row>
    <row r="85" spans="1:110" x14ac:dyDescent="0.2">
      <c r="A85">
        <v>80</v>
      </c>
      <c r="B85" t="str">
        <f>IF(HFB.GMAP!B22="","",HFB.GMAP!B22)</f>
        <v>TK81.TCL</v>
      </c>
      <c r="C85" t="str">
        <f>IF(HFB.GMAP!C22="","",HFB.GMAP!C22)</f>
        <v/>
      </c>
      <c r="D85" t="str">
        <f>IF(HFB.GMAP!D22="","",HFB.GMAP!D22)</f>
        <v/>
      </c>
      <c r="E85">
        <f>MIN(MAX('CV Config'!AC85,'Model Update'!H94),'CV Config'!AD85)</f>
        <v>32</v>
      </c>
      <c r="CT85" s="5">
        <f>IF(HFB.GMAP!AA22="","",HFB.GMAP!AA22)</f>
        <v>1</v>
      </c>
    </row>
    <row r="86" spans="1:110" x14ac:dyDescent="0.2">
      <c r="A86">
        <v>81</v>
      </c>
      <c r="B86" t="str">
        <f>IF(HFB.GMAP!B23="","",HFB.GMAP!B23)</f>
        <v>TK81.TFL</v>
      </c>
      <c r="C86" t="str">
        <f>IF(HFB.GMAP!C23="","",HFB.GMAP!C23)</f>
        <v/>
      </c>
      <c r="D86" t="str">
        <f>IF(HFB.GMAP!D23="","",HFB.GMAP!D23)</f>
        <v/>
      </c>
      <c r="E86">
        <f>MIN(MAX('CV Config'!AC86,'Model Update'!H95),'CV Config'!AD86)</f>
        <v>161.6</v>
      </c>
      <c r="CU86" s="5">
        <f>IF(HFB.GMAP!AB23="","",HFB.GMAP!AB23)</f>
        <v>1</v>
      </c>
    </row>
    <row r="87" spans="1:110" x14ac:dyDescent="0.2">
      <c r="A87">
        <v>82</v>
      </c>
      <c r="B87" t="str">
        <f>IF(HFB.GDOT!B6="","",HFB.GDOT!B6)</f>
        <v>HFB.PROD.SG.BAL</v>
      </c>
      <c r="C87" t="str">
        <f>IF(HFB.GDOT!C6="","",HFB.GDOT!C6)</f>
        <v/>
      </c>
      <c r="D87" t="str">
        <f>IF(HFB.GDOT!D6="","",HFB.GDOT!D6)</f>
        <v/>
      </c>
      <c r="E87">
        <f>MIN(MAX('CV Config'!AC87,'Model Update'!H96),'CV Config'!AD87)</f>
        <v>0</v>
      </c>
      <c r="U87" s="5">
        <f>IF(HFB.GDOT!F6="","",HFB.GDOT!F6)</f>
        <v>8.0035591446908754</v>
      </c>
      <c r="AB87" s="5">
        <f>IF(HFB.GDOT!G6="","",HFB.GDOT!G6)</f>
        <v>16.000233683146245</v>
      </c>
      <c r="AH87" s="5">
        <f>IF(HFB.GDOT!H6="","",HFB.GDOT!H6)</f>
        <v>15.99969795276707</v>
      </c>
      <c r="CB87" s="5">
        <f>IF(HFB.GDOT!J6="","",HFB.GDOT!J6)</f>
        <v>-0.83331594270501674</v>
      </c>
      <c r="CC87" s="5">
        <f>IF(HFB.GDOT!K6="","",HFB.GDOT!K6)</f>
        <v>0.78687581313163468</v>
      </c>
      <c r="CD87" s="5">
        <f>IF(HFB.GDOT!L6="","",HFB.GDOT!L6)</f>
        <v>0.83890188080922612</v>
      </c>
      <c r="CE87" s="5">
        <f>IF(HFB.GDOT!M6="","",HFB.GDOT!M6)</f>
        <v>0.88515606924740575</v>
      </c>
      <c r="CF87" s="5">
        <f>IF(HFB.GDOT!N6="","",HFB.GDOT!N6)</f>
        <v>0.79911882830025649</v>
      </c>
      <c r="CJ87" s="5">
        <f>IF(HFB.GDOT!O6="","",HFB.GDOT!O6)</f>
        <v>-56.003414836948608</v>
      </c>
      <c r="CP87" s="5">
        <f>IF(HFB.GDOT!I6="","",HFB.GDOT!I6)</f>
        <v>15.999967698905174</v>
      </c>
    </row>
    <row r="88" spans="1:110" x14ac:dyDescent="0.2">
      <c r="A88">
        <v>83</v>
      </c>
      <c r="B88" t="str">
        <f>IF(HFB.GDOT!B7="","",HFB.GDOT!B7)</f>
        <v>HFB.PROD.SUL.BAL</v>
      </c>
      <c r="C88" t="str">
        <f>IF(HFB.GDOT!C7="","",HFB.GDOT!C7)</f>
        <v/>
      </c>
      <c r="D88" t="str">
        <f>IF(HFB.GDOT!D7="","",HFB.GDOT!D7)</f>
        <v/>
      </c>
      <c r="E88">
        <f>MIN(MAX('CV Config'!AC88,'Model Update'!H97),'CV Config'!AD88)</f>
        <v>0</v>
      </c>
      <c r="U88" s="5">
        <f>IF(HFB.GDOT!F7="","",HFB.GDOT!F7)</f>
        <v>19596.984974915471</v>
      </c>
      <c r="V88" s="5">
        <f>IF(HFB.GDOT!P7="","",HFB.GDOT!P7)</f>
        <v>6.2978071099257633</v>
      </c>
      <c r="AB88" s="5">
        <f>IF(HFB.GDOT!G7="","",HFB.GDOT!G7)</f>
        <v>64006.446659789523</v>
      </c>
      <c r="AC88" s="5">
        <f>IF(HFB.GDOT!Q7="","",HFB.GDOT!Q7)</f>
        <v>13.422626130178516</v>
      </c>
      <c r="AH88" s="5">
        <f>IF(HFB.GDOT!H7="","",HFB.GDOT!H7)</f>
        <v>88882.048053857477</v>
      </c>
      <c r="AI88" s="5">
        <f>IF(HFB.GDOT!R7="","",HFB.GDOT!R7)</f>
        <v>14.162229749017065</v>
      </c>
      <c r="CB88" s="5">
        <f>IF(HFB.GDOT!J7="","",HFB.GDOT!J7)</f>
        <v>-4921.9991589709061</v>
      </c>
      <c r="CC88" s="5">
        <f>IF(HFB.GDOT!K7="","",HFB.GDOT!K7)</f>
        <v>1926.6920139265901</v>
      </c>
      <c r="CD88" s="5">
        <f>IF(HFB.GDOT!L7="","",HFB.GDOT!L7)</f>
        <v>3355.8965168972686</v>
      </c>
      <c r="CE88" s="5">
        <f>IF(HFB.GDOT!M7="","",HFB.GDOT!M7)</f>
        <v>4917.2480951995194</v>
      </c>
      <c r="CF88" s="5">
        <f>IF(HFB.GDOT!N7="","",HFB.GDOT!N7)</f>
        <v>7991.1882871591861</v>
      </c>
      <c r="CJ88" s="5">
        <f>IF(HFB.GDOT!O7="","",HFB.GDOT!O7)</f>
        <v>-330785.41595181741</v>
      </c>
      <c r="CK88" s="5">
        <f>IF(HFB.GDOT!T7="","",HFB.GDOT!T7)</f>
        <v>-46.668538429551951</v>
      </c>
      <c r="CP88" s="5">
        <f>IF(HFB.GDOT!I7="","",HFB.GDOT!I7)</f>
        <v>159999.67707227566</v>
      </c>
      <c r="CQ88" s="5">
        <f>IF(HFB.GDOT!S7="","",HFB.GDOT!S7)</f>
        <v>12.785875440391054</v>
      </c>
    </row>
    <row r="89" spans="1:110" x14ac:dyDescent="0.2">
      <c r="A89">
        <v>84</v>
      </c>
      <c r="B89" t="str">
        <f>IF(HFB.GDOT!B8="","",HFB.GDOT!B8)</f>
        <v>HFB.PROD.VAR1.BAL</v>
      </c>
      <c r="C89" t="str">
        <f>IF(HFB.GDOT!C8="","",HFB.GDOT!C8)</f>
        <v/>
      </c>
      <c r="D89" t="str">
        <f>IF(HFB.GDOT!D8="","",HFB.GDOT!D8)</f>
        <v/>
      </c>
      <c r="E89">
        <f>MIN(MAX('CV Config'!AC89,'Model Update'!H98),'CV Config'!AD89)</f>
        <v>0</v>
      </c>
      <c r="AB89" s="5">
        <f>IF(HFB.GDOT!G8="","",HFB.GDOT!G8)</f>
        <v>31989.101516733459</v>
      </c>
      <c r="AH89" s="5">
        <f>IF(HFB.GDOT!H8="","",HFB.GDOT!H8)</f>
        <v>88881.386508263313</v>
      </c>
      <c r="BT89" s="5">
        <f>IF(HFB.GDOT!U8="","",HFB.GDOT!U8)</f>
        <v>13.422626130178516</v>
      </c>
      <c r="BU89" s="5">
        <f>IF(HFB.GDOT!V8="","",HFB.GDOT!V8)</f>
        <v>14.162229749017065</v>
      </c>
      <c r="CB89" s="5">
        <f>IF(HFB.GDOT!J8="","",HFB.GDOT!J8)</f>
        <v>-4167.0382181775813</v>
      </c>
      <c r="CD89" s="5">
        <f>IF(HFB.GDOT!L8="","",HFB.GDOT!L8)</f>
        <v>1677.2078432862027</v>
      </c>
      <c r="CE89" s="5">
        <f>IF(HFB.GDOT!M8="","",HFB.GDOT!M8)</f>
        <v>4917.211496314997</v>
      </c>
      <c r="CF89" s="5">
        <f>IF(HFB.GDOT!N8="","",HFB.GDOT!N8)</f>
        <v>7991.1882474780232</v>
      </c>
      <c r="CJ89" s="5">
        <f>IF(HFB.GDOT!O8="","",HFB.GDOT!O8)</f>
        <v>-280047.88821930374</v>
      </c>
      <c r="CP89" s="5">
        <f>IF(HFB.GDOT!I8="","",HFB.GDOT!I8)</f>
        <v>159999.6762777789</v>
      </c>
      <c r="CW89" s="5">
        <f>IF(HFB.GDOT!W8="","",HFB.GDOT!W8)</f>
        <v>12.785875440391054</v>
      </c>
      <c r="CX89" s="5">
        <f>IF(HFB.GDOT!X8="","",HFB.GDOT!X8)</f>
        <v>-46.668538429551951</v>
      </c>
    </row>
    <row r="90" spans="1:110" x14ac:dyDescent="0.2">
      <c r="A90">
        <v>85</v>
      </c>
      <c r="B90" t="str">
        <f>IF(HFB.GDOT!B9="","",HFB.GDOT!B9)</f>
        <v>HFB.PROD.EVAP1.BAL</v>
      </c>
      <c r="C90" t="str">
        <f>IF(HFB.GDOT!C9="","",HFB.GDOT!C9)</f>
        <v/>
      </c>
      <c r="D90" t="str">
        <f>IF(HFB.GDOT!D9="","",HFB.GDOT!D9)</f>
        <v/>
      </c>
      <c r="E90">
        <f>MIN(MAX('CV Config'!AC90,'Model Update'!H99),'CV Config'!AD90)</f>
        <v>0</v>
      </c>
      <c r="BC90" s="5">
        <f>IF(HFB.GDOT!Y9="","",HFB.GDOT!Y9)</f>
        <v>16.000233683146245</v>
      </c>
      <c r="BG90" s="5">
        <f>IF(HFB.GDOT!AC9="","",HFB.GDOT!AC9)</f>
        <v>15.99969795276707</v>
      </c>
      <c r="CB90" s="5">
        <f>IF(HFB.GDOT!J9="","",HFB.GDOT!J9)</f>
        <v>-28.58276640168453</v>
      </c>
      <c r="CC90" s="5">
        <f>IF(HFB.GDOT!K9="","",HFB.GDOT!K9)</f>
        <v>100</v>
      </c>
      <c r="CD90" s="5">
        <f>IF(HFB.GDOT!L9="","",HFB.GDOT!L9)</f>
        <v>50.022062964494189</v>
      </c>
      <c r="CE90" s="5">
        <f>IF(HFB.GDOT!M9="","",HFB.GDOT!M9)</f>
        <v>7.4405576238017459E-4</v>
      </c>
      <c r="CF90" s="5">
        <f>IF(HFB.GDOT!N9="","",HFB.GDOT!N9)</f>
        <v>4.9678841386194608E-7</v>
      </c>
      <c r="CY90" s="5">
        <f>IF(HFB.GDOT!AG9="","",HFB.GDOT!AG9)</f>
        <v>15.999967698905174</v>
      </c>
      <c r="DC90" s="5">
        <f>IF(HFB.GDOT!AK9="","",HFB.GDOT!AK9)</f>
        <v>-56.003414836948608</v>
      </c>
    </row>
    <row r="91" spans="1:110" x14ac:dyDescent="0.2">
      <c r="A91">
        <v>86</v>
      </c>
      <c r="B91" t="str">
        <f>IF(HFB.GDOT!B10="","",HFB.GDOT!B10)</f>
        <v>HFB.PROD.EVAP2.BAL</v>
      </c>
      <c r="C91" t="str">
        <f>IF(HFB.GDOT!C10="","",HFB.GDOT!C10)</f>
        <v/>
      </c>
      <c r="D91" t="str">
        <f>IF(HFB.GDOT!D10="","",HFB.GDOT!D10)</f>
        <v/>
      </c>
      <c r="E91">
        <f>MIN(MAX('CV Config'!AC91,'Model Update'!H100),'CV Config'!AD91)</f>
        <v>0</v>
      </c>
      <c r="BD91" s="5">
        <f>IF(HFB.GDOT!Z10="","",HFB.GDOT!Z10)</f>
        <v>16.000233683146245</v>
      </c>
      <c r="BH91" s="5">
        <f>IF(HFB.GDOT!AD10="","",HFB.GDOT!AD10)</f>
        <v>15.99969795276707</v>
      </c>
      <c r="CB91" s="5">
        <f>IF(HFB.GDOT!J10="","",HFB.GDOT!J10)</f>
        <v>-59.052195931401414</v>
      </c>
      <c r="CC91" s="5">
        <f>IF(HFB.GDOT!K10="","",HFB.GDOT!K10)</f>
        <v>100</v>
      </c>
      <c r="CD91" s="5">
        <f>IF(HFB.GDOT!L10="","",HFB.GDOT!L10)</f>
        <v>90.005194140529923</v>
      </c>
      <c r="CE91" s="5">
        <f>IF(HFB.GDOT!M10="","",HFB.GDOT!M10)</f>
        <v>1.479916125936105E-6</v>
      </c>
      <c r="CF91" s="5">
        <f>IF(HFB.GDOT!N10="","",HFB.GDOT!N10)</f>
        <v>66.666668874843523</v>
      </c>
      <c r="CZ91" s="5">
        <f>IF(HFB.GDOT!AH10="","",HFB.GDOT!AH10)</f>
        <v>15.999967698905174</v>
      </c>
      <c r="DD91" s="5">
        <f>IF(HFB.GDOT!AL10="","",HFB.GDOT!AL10)</f>
        <v>-56.003414836948608</v>
      </c>
    </row>
    <row r="92" spans="1:110" x14ac:dyDescent="0.2">
      <c r="A92">
        <v>87</v>
      </c>
      <c r="B92" t="str">
        <f>IF(HFB.GDOT!B11="","",HFB.GDOT!B11)</f>
        <v>HFB.PROD.EVAP3.BAL</v>
      </c>
      <c r="C92" t="str">
        <f>IF(HFB.GDOT!C11="","",HFB.GDOT!C11)</f>
        <v/>
      </c>
      <c r="D92" t="str">
        <f>IF(HFB.GDOT!D11="","",HFB.GDOT!D11)</f>
        <v/>
      </c>
      <c r="E92">
        <f>MIN(MAX('CV Config'!AC92,'Model Update'!H101),'CV Config'!AD92)</f>
        <v>0</v>
      </c>
      <c r="BE92" s="5">
        <f>IF(HFB.GDOT!AA11="","",HFB.GDOT!AA11)</f>
        <v>16.000233683146245</v>
      </c>
      <c r="BI92" s="5">
        <f>IF(HFB.GDOT!AE11="","",HFB.GDOT!AE11)</f>
        <v>15.99969795276707</v>
      </c>
      <c r="CB92" s="5">
        <f>IF(HFB.GDOT!J11="","",HFB.GDOT!J11)</f>
        <v>-93.337572112724359</v>
      </c>
      <c r="CC92" s="5">
        <f>IF(HFB.GDOT!K11="","",HFB.GDOT!K11)</f>
        <v>100</v>
      </c>
      <c r="CD92" s="5">
        <f>IF(HFB.GDOT!L11="","",HFB.GDOT!L11)</f>
        <v>100.00000125411314</v>
      </c>
      <c r="CE92" s="5">
        <f>IF(HFB.GDOT!M11="","",HFB.GDOT!M11)</f>
        <v>76.679360734422431</v>
      </c>
      <c r="CF92" s="5">
        <f>IF(HFB.GDOT!N11="","",HFB.GDOT!N11)</f>
        <v>100.00000542877765</v>
      </c>
      <c r="DA92" s="5">
        <f>IF(HFB.GDOT!AI11="","",HFB.GDOT!AI11)</f>
        <v>15.999967698905174</v>
      </c>
      <c r="DE92" s="5">
        <f>IF(HFB.GDOT!AM11="","",HFB.GDOT!AM11)</f>
        <v>-56.003414836948608</v>
      </c>
    </row>
    <row r="93" spans="1:110" x14ac:dyDescent="0.2">
      <c r="A93">
        <v>88</v>
      </c>
      <c r="B93" t="str">
        <f>IF(HFB.GDOT!B12="","",HFB.GDOT!B12)</f>
        <v>HFB.PROD.EVAP4.BAL</v>
      </c>
      <c r="C93" t="str">
        <f>IF(HFB.GDOT!C12="","",HFB.GDOT!C12)</f>
        <v/>
      </c>
      <c r="D93" t="str">
        <f>IF(HFB.GDOT!D12="","",HFB.GDOT!D12)</f>
        <v/>
      </c>
      <c r="E93">
        <f>MIN(MAX('CV Config'!AC93,'Model Update'!H102),'CV Config'!AD93)</f>
        <v>0</v>
      </c>
      <c r="BF93" s="5">
        <f>IF(HFB.GDOT!AB12="","",HFB.GDOT!AB12)</f>
        <v>16.000233683146245</v>
      </c>
      <c r="BJ93" s="5">
        <f>IF(HFB.GDOT!AF12="","",HFB.GDOT!AF12)</f>
        <v>15.99969795276707</v>
      </c>
      <c r="CB93" s="5">
        <f>IF(HFB.GDOT!J12="","",HFB.GDOT!J12)</f>
        <v>-100.00007889564095</v>
      </c>
      <c r="CC93" s="5">
        <f>IF(HFB.GDOT!K12="","",HFB.GDOT!K12)</f>
        <v>100</v>
      </c>
      <c r="CD93" s="5">
        <f>IF(HFB.GDOT!L12="","",HFB.GDOT!L12)</f>
        <v>99.999999955051038</v>
      </c>
      <c r="CE93" s="5">
        <f>IF(HFB.GDOT!M12="","",HFB.GDOT!M12)</f>
        <v>100.00000171626303</v>
      </c>
      <c r="CF93" s="5">
        <f>IF(HFB.GDOT!N12="","",HFB.GDOT!N12)</f>
        <v>100.00000170762857</v>
      </c>
      <c r="DB93" s="5">
        <f>IF(HFB.GDOT!AJ12="","",HFB.GDOT!AJ12)</f>
        <v>15.999967698905174</v>
      </c>
      <c r="DF93" s="5">
        <f>IF(HFB.GDOT!AN12="","",HFB.GDOT!AN12)</f>
        <v>-56.003414836948608</v>
      </c>
    </row>
    <row r="94" spans="1:110" x14ac:dyDescent="0.2">
      <c r="A94">
        <v>89</v>
      </c>
      <c r="B94" t="str">
        <f>IF(HFB.GDOT!B13="","",HFB.GDOT!B13)</f>
        <v>HFB.PROD.T95.BAL</v>
      </c>
      <c r="C94" t="str">
        <f>IF(HFB.GDOT!C13="","",HFB.GDOT!C13)</f>
        <v/>
      </c>
      <c r="D94" t="str">
        <f>IF(HFB.GDOT!D13="","",HFB.GDOT!D13)</f>
        <v/>
      </c>
      <c r="E94">
        <f>MIN(MAX('CV Config'!AC94,'Model Update'!H103),'CV Config'!AD94)</f>
        <v>0</v>
      </c>
      <c r="CL94" s="5">
        <f>IF(HFB.GDOT!BF13="","",HFB.GDOT!BF13)</f>
        <v>-1</v>
      </c>
      <c r="DC94" s="5" t="e">
        <f ca="1">IF(HFB.GDOT!AK13="","",HFB.GDOT!AK13)</f>
        <v>#NAME?</v>
      </c>
      <c r="DD94" s="5" t="e">
        <f ca="1">IF(HFB.GDOT!AL13="","",HFB.GDOT!AL13)</f>
        <v>#NAME?</v>
      </c>
      <c r="DE94" s="5" t="e">
        <f ca="1">IF(HFB.GDOT!AM13="","",HFB.GDOT!AM13)</f>
        <v>#NAME?</v>
      </c>
      <c r="DF94" s="5" t="e">
        <f ca="1">IF(HFB.GDOT!AN13="","",HFB.GDOT!AN13)</f>
        <v>#NAME?</v>
      </c>
    </row>
    <row r="95" spans="1:110" x14ac:dyDescent="0.2">
      <c r="A95">
        <v>90</v>
      </c>
      <c r="B95" t="str">
        <f>IF(HFB.GDOT!B14="","",HFB.GDOT!B14)</f>
        <v>HFB.PROD.TCL.BAL</v>
      </c>
      <c r="C95" t="str">
        <f>IF(HFB.GDOT!C14="","",HFB.GDOT!C14)</f>
        <v/>
      </c>
      <c r="D95" t="str">
        <f>IF(HFB.GDOT!D14="","",HFB.GDOT!D14)</f>
        <v/>
      </c>
      <c r="E95">
        <f>MIN(MAX('CV Config'!AC95,'Model Update'!H104),'CV Config'!AD95)</f>
        <v>0</v>
      </c>
      <c r="X95" s="5" t="e">
        <f ca="1">IF(HFB.GDOT!AT14="","",HFB.GDOT!AT14)</f>
        <v>#NAME?</v>
      </c>
      <c r="AE95" s="5" t="e">
        <f ca="1">IF(HFB.GDOT!AU14="","",HFB.GDOT!AU14)</f>
        <v>#NAME?</v>
      </c>
      <c r="AK95" s="5" t="e">
        <f ca="1">IF(HFB.GDOT!AV14="","",HFB.GDOT!AV14)</f>
        <v>#NAME?</v>
      </c>
      <c r="CB95" s="5">
        <f>IF(HFB.GDOT!J14="","",HFB.GDOT!J14)</f>
        <v>-0.41762555107334093</v>
      </c>
      <c r="CC95" s="5" t="e">
        <f ca="1">IF(HFB.GDOT!K14="","",HFB.GDOT!K14)</f>
        <v>#NAME?</v>
      </c>
      <c r="CD95" s="5" t="e">
        <f ca="1">IF(HFB.GDOT!L14="","",HFB.GDOT!L14)</f>
        <v>#NAME?</v>
      </c>
      <c r="CE95" s="5" t="e">
        <f ca="1">IF(HFB.GDOT!M14="","",HFB.GDOT!M14)</f>
        <v>#NAME?</v>
      </c>
      <c r="CF95" s="5" t="e">
        <f ca="1">IF(HFB.GDOT!N14="","",HFB.GDOT!N14)</f>
        <v>#NAME?</v>
      </c>
      <c r="CM95" s="5">
        <f>IF(HFB.GDOT!AX14="","",HFB.GDOT!AX14)</f>
        <v>-1</v>
      </c>
      <c r="CT95" s="5" t="e">
        <f ca="1">IF(HFB.GDOT!AW14="","",HFB.GDOT!AW14)</f>
        <v>#NAME?</v>
      </c>
    </row>
    <row r="96" spans="1:110" x14ac:dyDescent="0.2">
      <c r="A96">
        <v>91</v>
      </c>
      <c r="B96" t="str">
        <f>IF(HFB.GDOT!B15="","",HFB.GDOT!B15)</f>
        <v>HFB.PROD.TFL.BAL</v>
      </c>
      <c r="C96" t="str">
        <f>IF(HFB.GDOT!C15="","",HFB.GDOT!C15)</f>
        <v/>
      </c>
      <c r="D96" t="str">
        <f>IF(HFB.GDOT!D15="","",HFB.GDOT!D15)</f>
        <v/>
      </c>
      <c r="E96">
        <f>MIN(MAX('CV Config'!AC96,'Model Update'!H105),'CV Config'!AD96)</f>
        <v>0</v>
      </c>
      <c r="Y96" s="5" t="e">
        <f ca="1">IF(HFB.GDOT!AY15="","",HFB.GDOT!AY15)</f>
        <v>#NAME?</v>
      </c>
      <c r="AF96" s="5" t="e">
        <f ca="1">IF(HFB.GDOT!AZ15="","",HFB.GDOT!AZ15)</f>
        <v>#NAME?</v>
      </c>
      <c r="AL96" s="5" t="e">
        <f ca="1">IF(HFB.GDOT!BA15="","",HFB.GDOT!BA15)</f>
        <v>#NAME?</v>
      </c>
      <c r="CB96" s="5" t="e">
        <f ca="1">IF(HFB.GDOT!J15="","",HFB.GDOT!J15)</f>
        <v>#NAME?</v>
      </c>
      <c r="CC96" s="5" t="e">
        <f ca="1">IF(HFB.GDOT!K15="","",HFB.GDOT!K15)</f>
        <v>#NAME?</v>
      </c>
      <c r="CD96" s="5" t="e">
        <f ca="1">IF(HFB.GDOT!L15="","",HFB.GDOT!L15)</f>
        <v>#NAME?</v>
      </c>
      <c r="CE96" s="5" t="e">
        <f ca="1">IF(HFB.GDOT!M15="","",HFB.GDOT!M15)</f>
        <v>#NAME?</v>
      </c>
      <c r="CF96" s="5" t="e">
        <f ca="1">IF(HFB.GDOT!N15="","",HFB.GDOT!N15)</f>
        <v>#NAME?</v>
      </c>
      <c r="CN96" s="5">
        <f>IF(HFB.GDOT!BC15="","",HFB.GDOT!BC15)</f>
        <v>-1</v>
      </c>
      <c r="CU96" s="5" t="e">
        <f ca="1">IF(HFB.GDOT!BB15="","",HFB.GDOT!BB15)</f>
        <v>#NAME?</v>
      </c>
    </row>
    <row r="97" spans="1:124" x14ac:dyDescent="0.2">
      <c r="A97">
        <v>92</v>
      </c>
      <c r="B97" t="str">
        <f>IF(HFB.GDOT!B16="","",HFB.GDOT!B16)</f>
        <v>HFB.PROD.CI.BAL</v>
      </c>
      <c r="C97" t="str">
        <f>IF(HFB.GDOT!C16="","",HFB.GDOT!C16)</f>
        <v/>
      </c>
      <c r="D97" t="str">
        <f>IF(HFB.GDOT!D16="","",HFB.GDOT!D16)</f>
        <v/>
      </c>
      <c r="E97">
        <f>MIN(MAX('CV Config'!AC97,'Model Update'!H106),'CV Config'!AD97)</f>
        <v>0</v>
      </c>
      <c r="AA97" s="5">
        <f>IF(HFB.GDOT!AP16="","",HFB.GDOT!AP16)</f>
        <v>16.000233683146245</v>
      </c>
      <c r="AG97" s="5">
        <f>IF(HFB.GDOT!AQ16="","",HFB.GDOT!AQ16)</f>
        <v>15.99969795276707</v>
      </c>
      <c r="BL97" s="5">
        <f>IF(HFB.GDOT!AO16="","",HFB.GDOT!AO16)</f>
        <v>8.0035591446908754</v>
      </c>
      <c r="CB97" s="5">
        <f>IF(HFB.GDOT!J16="","",HFB.GDOT!J16)</f>
        <v>-48.707373976246025</v>
      </c>
      <c r="CC97" s="5">
        <f>IF(HFB.GDOT!K16="","",HFB.GDOT!K16)</f>
        <v>50.47204447563751</v>
      </c>
      <c r="CD97" s="5">
        <f>IF(HFB.GDOT!L16="","",HFB.GDOT!L16)</f>
        <v>56.542030832912552</v>
      </c>
      <c r="CE97" s="5">
        <f>IF(HFB.GDOT!M16="","",HFB.GDOT!M16)</f>
        <v>43.697013528744932</v>
      </c>
      <c r="CF97" s="5">
        <f>IF(HFB.GDOT!N16="","",HFB.GDOT!N16)</f>
        <v>45.000000417205491</v>
      </c>
      <c r="CI97" s="5">
        <f>IF(HFB.GDOT!AS16="","",HFB.GDOT!AS16)</f>
        <v>-56.003414836948608</v>
      </c>
      <c r="CO97" s="5">
        <f>IF(HFB.GDOT!AR16="","",HFB.GDOT!AR16)</f>
        <v>15.999967698905174</v>
      </c>
    </row>
    <row r="98" spans="1:124" x14ac:dyDescent="0.2">
      <c r="A98">
        <v>93</v>
      </c>
      <c r="B98" t="str">
        <f>IF(HFB.GDOT!B17="","",HFB.GDOT!B17)</f>
        <v>HFB.PROD.FLOW.BAL</v>
      </c>
      <c r="C98" t="str">
        <f>IF(HFB.GDOT!C17="","",HFB.GDOT!C17)</f>
        <v/>
      </c>
      <c r="D98" t="str">
        <f>IF(HFB.GDOT!D17="","",HFB.GDOT!D17)</f>
        <v/>
      </c>
      <c r="E98">
        <f>MIN(MAX('CV Config'!AC98,'Model Update'!H107),'CV Config'!AD98)</f>
        <v>0</v>
      </c>
      <c r="CB98" s="5">
        <f>IF(HFB.GDOT!J17="","",HFB.GDOT!J17)</f>
        <v>1</v>
      </c>
      <c r="CC98" s="5">
        <f>IF(HFB.GDOT!K17="","",HFB.GDOT!K17)</f>
        <v>-1</v>
      </c>
      <c r="CD98" s="5">
        <f>IF(HFB.GDOT!L17="","",HFB.GDOT!L17)</f>
        <v>-1</v>
      </c>
      <c r="CE98" s="5">
        <f>IF(HFB.GDOT!M17="","",HFB.GDOT!M17)</f>
        <v>-1</v>
      </c>
      <c r="CF98" s="5">
        <f>IF(HFB.GDOT!N17="","",HFB.GDOT!N17)</f>
        <v>-1</v>
      </c>
    </row>
    <row r="99" spans="1:124" x14ac:dyDescent="0.2">
      <c r="A99">
        <v>94</v>
      </c>
      <c r="B99" t="str">
        <f>IF(HFB.GDOT!B18="","",HFB.GDOT!B18)</f>
        <v>HFB.FD4.EVAP1.BAL</v>
      </c>
      <c r="C99" t="str">
        <f>IF(HFB.GDOT!C18="","",HFB.GDOT!C18)</f>
        <v/>
      </c>
      <c r="D99" t="str">
        <f>IF(HFB.GDOT!D18="","",HFB.GDOT!D18)</f>
        <v/>
      </c>
      <c r="E99">
        <f>MIN(MAX('CV Config'!AC99,'Model Update'!H108),'CV Config'!AD99)</f>
        <v>0</v>
      </c>
      <c r="CR99" s="5" t="e">
        <f ca="1">IF(HFB.GDOT!BD18="","",HFB.GDOT!BD18)</f>
        <v>#NAME?</v>
      </c>
      <c r="CS99" s="5" t="e">
        <f ca="1">IF(HFB.GDOT!BE18="","",HFB.GDOT!BE18)</f>
        <v>#NAME?</v>
      </c>
      <c r="CY99" s="5">
        <f>IF(HFB.GDOT!AG18="","",HFB.GDOT!AG18)</f>
        <v>-1</v>
      </c>
    </row>
    <row r="100" spans="1:124" x14ac:dyDescent="0.2">
      <c r="A100">
        <v>95</v>
      </c>
      <c r="B100" t="str">
        <f>IF(HFB.GDOT!B19="","",HFB.GDOT!B19)</f>
        <v>HFB.FD4.EVAP2.BAL</v>
      </c>
      <c r="C100" t="str">
        <f>IF(HFB.GDOT!C19="","",HFB.GDOT!C19)</f>
        <v/>
      </c>
      <c r="D100" t="str">
        <f>IF(HFB.GDOT!D19="","",HFB.GDOT!D19)</f>
        <v/>
      </c>
      <c r="E100">
        <f>MIN(MAX('CV Config'!AC100,'Model Update'!H109),'CV Config'!AD100)</f>
        <v>0</v>
      </c>
      <c r="CR100" s="5" t="e">
        <f ca="1">IF(HFB.GDOT!BD19="","",HFB.GDOT!BD19)</f>
        <v>#NAME?</v>
      </c>
      <c r="CS100" s="5" t="e">
        <f ca="1">IF(HFB.GDOT!BE19="","",HFB.GDOT!BE19)</f>
        <v>#NAME?</v>
      </c>
      <c r="CZ100" s="5">
        <f>IF(HFB.GDOT!AH19="","",HFB.GDOT!AH19)</f>
        <v>-1</v>
      </c>
    </row>
    <row r="101" spans="1:124" x14ac:dyDescent="0.2">
      <c r="A101">
        <v>96</v>
      </c>
      <c r="B101" t="str">
        <f>IF(HFB.GDOT!B20="","",HFB.GDOT!B20)</f>
        <v>HFB.FD4.EVAP3.BAL</v>
      </c>
      <c r="C101" t="str">
        <f>IF(HFB.GDOT!C20="","",HFB.GDOT!C20)</f>
        <v/>
      </c>
      <c r="D101" t="str">
        <f>IF(HFB.GDOT!D20="","",HFB.GDOT!D20)</f>
        <v/>
      </c>
      <c r="E101">
        <f>MIN(MAX('CV Config'!AC101,'Model Update'!H110),'CV Config'!AD101)</f>
        <v>0</v>
      </c>
      <c r="CR101" s="5" t="e">
        <f ca="1">IF(HFB.GDOT!BD20="","",HFB.GDOT!BD20)</f>
        <v>#NAME?</v>
      </c>
      <c r="CS101" s="5" t="e">
        <f ca="1">IF(HFB.GDOT!BE20="","",HFB.GDOT!BE20)</f>
        <v>#NAME?</v>
      </c>
      <c r="DA101" s="5">
        <f>IF(HFB.GDOT!AI20="","",HFB.GDOT!AI20)</f>
        <v>-1</v>
      </c>
    </row>
    <row r="102" spans="1:124" x14ac:dyDescent="0.2">
      <c r="A102">
        <v>97</v>
      </c>
      <c r="B102" t="str">
        <f>IF(HFB.GDOT!B21="","",HFB.GDOT!B21)</f>
        <v>HFB.FD4.EVAP4.BAL</v>
      </c>
      <c r="C102" t="str">
        <f>IF(HFB.GDOT!C21="","",HFB.GDOT!C21)</f>
        <v/>
      </c>
      <c r="D102" t="str">
        <f>IF(HFB.GDOT!D21="","",HFB.GDOT!D21)</f>
        <v/>
      </c>
      <c r="E102">
        <f>MIN(MAX('CV Config'!AC102,'Model Update'!H111),'CV Config'!AD102)</f>
        <v>0</v>
      </c>
      <c r="CR102" s="5" t="e">
        <f ca="1">IF(HFB.GDOT!BD21="","",HFB.GDOT!BD21)</f>
        <v>#NAME?</v>
      </c>
      <c r="CS102" s="5" t="e">
        <f ca="1">IF(HFB.GDOT!BE21="","",HFB.GDOT!BE21)</f>
        <v>#NAME?</v>
      </c>
      <c r="DB102" s="5">
        <f>IF(HFB.GDOT!AJ21="","",HFB.GDOT!AJ21)</f>
        <v>-1</v>
      </c>
    </row>
    <row r="103" spans="1:124" x14ac:dyDescent="0.2">
      <c r="A103">
        <v>98</v>
      </c>
      <c r="B103" t="str">
        <f>IF(HFB.GDOT!B22="","",HFB.GDOT!B22)</f>
        <v>HFB.FD4.VAR1.BAL</v>
      </c>
      <c r="C103" t="str">
        <f>IF(HFB.GDOT!C22="","",HFB.GDOT!C22)</f>
        <v/>
      </c>
      <c r="D103" t="str">
        <f>IF(HFB.GDOT!D22="","",HFB.GDOT!D22)</f>
        <v/>
      </c>
      <c r="E103">
        <f>MIN(MAX('CV Config'!AC103,'Model Update'!H112),'CV Config'!AD103)</f>
        <v>0</v>
      </c>
      <c r="CQ103" s="5">
        <f>IF(HFB.GDOT!S22="","",HFB.GDOT!S22)</f>
        <v>0.99999999503211578</v>
      </c>
      <c r="CW103" s="5">
        <f>IF(HFB.GDOT!W22="","",HFB.GDOT!W22)</f>
        <v>-1</v>
      </c>
      <c r="CY103" s="5">
        <f>IF(HFB.GDOT!AG22="","",HFB.GDOT!AG22)</f>
        <v>-100.00000005201505</v>
      </c>
    </row>
    <row r="104" spans="1:124" x14ac:dyDescent="0.2">
      <c r="A104">
        <v>99</v>
      </c>
      <c r="B104" t="str">
        <f>IF(KERHT.GMAP!B6="","",KERHT.GMAP!B6)</f>
        <v>KERHT.H2PP.MAP</v>
      </c>
      <c r="C104" t="str">
        <f>IF(KERHT.GMAP!C6="","",KERHT.GMAP!C6)</f>
        <v/>
      </c>
      <c r="D104" t="str">
        <f>IF(KERHT.GMAP!D6="","",KERHT.GMAP!D6)</f>
        <v/>
      </c>
      <c r="E104">
        <f>MIN(MAX('CV Config'!AC104,'Model Update'!H113),'CV Config'!AD104)</f>
        <v>0</v>
      </c>
      <c r="DI104" s="5">
        <f>IF(KERHT.GMAP!H6="","",KERHT.GMAP!H6)</f>
        <v>1</v>
      </c>
      <c r="DN104" s="5">
        <f>IF(KERHT.GMAP!N6="","",KERHT.GMAP!N6)</f>
        <v>-1</v>
      </c>
    </row>
    <row r="105" spans="1:124" x14ac:dyDescent="0.2">
      <c r="A105">
        <v>100</v>
      </c>
      <c r="B105" t="str">
        <f>IF(KERHT.GMAP!B7="","",KERHT.GMAP!B7)</f>
        <v>KERHT.WABT.MAP</v>
      </c>
      <c r="C105" t="str">
        <f>IF(KERHT.GMAP!C7="","",KERHT.GMAP!C7)</f>
        <v/>
      </c>
      <c r="D105" t="str">
        <f>IF(KERHT.GMAP!D7="","",KERHT.GMAP!D7)</f>
        <v/>
      </c>
      <c r="E105">
        <f>MIN(MAX('CV Config'!AC105,'Model Update'!H114),'CV Config'!AD105)</f>
        <v>0</v>
      </c>
      <c r="DH105" s="5">
        <f>IF(KERHT.GMAP!G7="","",KERHT.GMAP!G7)</f>
        <v>1</v>
      </c>
      <c r="DM105" s="5">
        <f>IF(KERHT.GMAP!M7="","",KERHT.GMAP!M7)</f>
        <v>-1</v>
      </c>
    </row>
    <row r="106" spans="1:124" x14ac:dyDescent="0.2">
      <c r="A106">
        <v>101</v>
      </c>
      <c r="B106" t="str">
        <f>IF(KERHT.GMAP!B8="","",KERHT.GMAP!B8)</f>
        <v>KERHT.PROD.FLOW.MAP</v>
      </c>
      <c r="C106" t="str">
        <f>IF(KERHT.GMAP!C8="","",KERHT.GMAP!C8)</f>
        <v/>
      </c>
      <c r="D106" t="str">
        <f>IF(KERHT.GMAP!D8="","",KERHT.GMAP!D8)</f>
        <v/>
      </c>
      <c r="E106">
        <f>MIN(MAX('CV Config'!AC106,'Model Update'!H115),'CV Config'!AD106)</f>
        <v>0</v>
      </c>
      <c r="DK106" s="5">
        <f>IF(KERHT.GMAP!J8="","",KERHT.GMAP!J8)</f>
        <v>1</v>
      </c>
      <c r="DO106" s="5">
        <f>IF(KERHT.GMAP!O8="","",KERHT.GMAP!O8)</f>
        <v>-1</v>
      </c>
    </row>
    <row r="107" spans="1:124" x14ac:dyDescent="0.2">
      <c r="A107">
        <v>102</v>
      </c>
      <c r="B107" t="str">
        <f>IF(KERHT.GMAP!B9="","",KERHT.GMAP!B9)</f>
        <v>KERHT.OVH.FLOW.MAP</v>
      </c>
      <c r="C107" t="str">
        <f>IF(KERHT.GMAP!C9="","",KERHT.GMAP!C9)</f>
        <v/>
      </c>
      <c r="D107" t="str">
        <f>IF(KERHT.GMAP!D9="","",KERHT.GMAP!D9)</f>
        <v/>
      </c>
      <c r="E107">
        <f>MIN(MAX('CV Config'!AC107,'Model Update'!H116),'CV Config'!AD107)</f>
        <v>0</v>
      </c>
      <c r="DL107" s="5">
        <f>IF(KERHT.GMAP!K9="","",KERHT.GMAP!K9)</f>
        <v>1</v>
      </c>
      <c r="DP107" s="5">
        <f>IF(KERHT.GMAP!P9="","",KERHT.GMAP!P9)</f>
        <v>-1</v>
      </c>
    </row>
    <row r="108" spans="1:124" x14ac:dyDescent="0.2">
      <c r="A108">
        <v>103</v>
      </c>
      <c r="B108" t="str">
        <f>IF(KERHT.GMAP!B10="","",KERHT.GMAP!B10)</f>
        <v>KERHT.FEED.FLOW.MAP</v>
      </c>
      <c r="C108" t="str">
        <f>IF(KERHT.GMAP!C10="","",KERHT.GMAP!C10)</f>
        <v/>
      </c>
      <c r="D108" t="str">
        <f>IF(KERHT.GMAP!D10="","",KERHT.GMAP!D10)</f>
        <v/>
      </c>
      <c r="E108">
        <f>MIN(MAX('CV Config'!AC108,'Model Update'!H117),'CV Config'!AD108)</f>
        <v>0</v>
      </c>
      <c r="CA108" s="5">
        <f>IF(KERHT.GMAP!L10="","",KERHT.GMAP!L10)</f>
        <v>-1</v>
      </c>
      <c r="DG108" s="5">
        <f>IF(KERHT.GMAP!F10="","",KERHT.GMAP!F10)</f>
        <v>1</v>
      </c>
    </row>
    <row r="109" spans="1:124" x14ac:dyDescent="0.2">
      <c r="A109">
        <v>104</v>
      </c>
      <c r="B109" t="str">
        <f>IF(KERHT.GMAP!B11="","",KERHT.GMAP!B11)</f>
        <v>AI_73_SUL.PV</v>
      </c>
      <c r="C109" t="str">
        <f>IF(KERHT.GMAP!C11="","",KERHT.GMAP!C11)</f>
        <v/>
      </c>
      <c r="D109" t="str">
        <f>IF(KERHT.GMAP!D11="","",KERHT.GMAP!D11)</f>
        <v/>
      </c>
      <c r="E109">
        <f>MIN(MAX('CV Config'!AC109,'Model Update'!H118),'CV Config'!AD109)</f>
        <v>10</v>
      </c>
      <c r="DJ109" s="5">
        <f>IF(KERHT.GMAP!I11="","",KERHT.GMAP!I11)</f>
        <v>1</v>
      </c>
    </row>
    <row r="110" spans="1:124" x14ac:dyDescent="0.2">
      <c r="A110">
        <v>105</v>
      </c>
      <c r="B110" t="str">
        <f>IF(KERHT.GMAP!B12="","",KERHT.GMAP!B12)</f>
        <v>AI_73_SG.PV</v>
      </c>
      <c r="C110" t="str">
        <f>IF(KERHT.GMAP!C12="","",KERHT.GMAP!C12)</f>
        <v/>
      </c>
      <c r="D110" t="str">
        <f>IF(KERHT.GMAP!D12="","",KERHT.GMAP!D12)</f>
        <v/>
      </c>
      <c r="E110">
        <f>MIN(MAX('CV Config'!AC110,'Model Update'!H119),'CV Config'!AD110)</f>
        <v>0.77018293274171301</v>
      </c>
      <c r="DQ110" s="5">
        <f>IF(KERHT.GMAP!Q12="","",KERHT.GMAP!Q12)</f>
        <v>1</v>
      </c>
    </row>
    <row r="111" spans="1:124" x14ac:dyDescent="0.2">
      <c r="A111">
        <v>106</v>
      </c>
      <c r="B111" t="str">
        <f>IF(KERHT.GMAP!B13="","",KERHT.GMAP!B13)</f>
        <v>AI_73_TCL.PV</v>
      </c>
      <c r="C111" t="str">
        <f>IF(KERHT.GMAP!C13="","",KERHT.GMAP!C13)</f>
        <v/>
      </c>
      <c r="D111" t="str">
        <f>IF(KERHT.GMAP!D13="","",KERHT.GMAP!D13)</f>
        <v/>
      </c>
      <c r="E111">
        <f>MIN(MAX('CV Config'!AC111,'Model Update'!H120),'CV Config'!AD111)</f>
        <v>-60.139971134038198</v>
      </c>
      <c r="DR111" s="5">
        <f>IF(KERHT.GMAP!R13="","",KERHT.GMAP!R13)</f>
        <v>1</v>
      </c>
    </row>
    <row r="112" spans="1:124" x14ac:dyDescent="0.2">
      <c r="A112">
        <v>107</v>
      </c>
      <c r="B112" t="str">
        <f>IF(KERHT.GMAP!B14="","",KERHT.GMAP!B14)</f>
        <v>AI_73_TFZ.PV</v>
      </c>
      <c r="C112" t="str">
        <f>IF(KERHT.GMAP!C14="","",KERHT.GMAP!C14)</f>
        <v/>
      </c>
      <c r="D112" t="str">
        <f>IF(KERHT.GMAP!D14="","",KERHT.GMAP!D14)</f>
        <v/>
      </c>
      <c r="E112">
        <f>MIN(MAX('CV Config'!AC112,'Model Update'!H121),'CV Config'!AD112)</f>
        <v>-44.155490948747499</v>
      </c>
      <c r="DT112" s="5">
        <f>IF(KERHT.GMAP!T14="","",KERHT.GMAP!T14)</f>
        <v>1</v>
      </c>
    </row>
    <row r="113" spans="1:150" x14ac:dyDescent="0.2">
      <c r="A113">
        <v>108</v>
      </c>
      <c r="B113" t="str">
        <f>IF(KERHT.GMAP!B15="","",KERHT.GMAP!B15)</f>
        <v>AI_73_TFL.PV</v>
      </c>
      <c r="C113" t="str">
        <f>IF(KERHT.GMAP!C15="","",KERHT.GMAP!C15)</f>
        <v/>
      </c>
      <c r="D113" t="str">
        <f>IF(KERHT.GMAP!D15="","",KERHT.GMAP!D15)</f>
        <v/>
      </c>
      <c r="E113">
        <f>MIN(MAX('CV Config'!AC113,'Model Update'!H122),'CV Config'!AD113)</f>
        <v>121.563126375225</v>
      </c>
      <c r="DS113" s="5">
        <f>IF(KERHT.GMAP!S15="","",KERHT.GMAP!S15)</f>
        <v>1</v>
      </c>
    </row>
    <row r="114" spans="1:150" x14ac:dyDescent="0.2">
      <c r="A114">
        <v>109</v>
      </c>
      <c r="B114" t="str">
        <f>IF(KERHT.GDOT!B6="","",KERHT.GDOT!B6)</f>
        <v>KERHT.PROD.SUL.BAL</v>
      </c>
      <c r="C114" t="str">
        <f>IF(KERHT.GDOT!C6="","",KERHT.GDOT!C6)</f>
        <v/>
      </c>
      <c r="D114" t="str">
        <f>IF(KERHT.GDOT!D6="","",KERHT.GDOT!D6)</f>
        <v/>
      </c>
      <c r="E114">
        <f>MIN(MAX('CV Config'!AC114,'Model Update'!H123),'CV Config'!AD114)</f>
        <v>0</v>
      </c>
      <c r="DG114" s="5" t="e">
        <f ca="1">IF(KERHT.GDOT!F6="","",KERHT.GDOT!F6)</f>
        <v>#NAME?</v>
      </c>
      <c r="DH114" s="5" t="e">
        <f ca="1">IF(KERHT.GDOT!H6="","",KERHT.GDOT!H6)</f>
        <v>#NAME?</v>
      </c>
      <c r="DI114" s="5" t="e">
        <f ca="1">IF(KERHT.GDOT!G6="","",KERHT.GDOT!G6)</f>
        <v>#NAME?</v>
      </c>
      <c r="DJ114" s="5" t="e">
        <f ca="1">IF(KERHT.GDOT!J6="","",KERHT.GDOT!J6)</f>
        <v>#NAME?</v>
      </c>
      <c r="DU114" s="5" t="e">
        <f ca="1">IF(KERHT.GDOT!K6="","",KERHT.GDOT!K6)</f>
        <v>#NAME?</v>
      </c>
    </row>
    <row r="115" spans="1:150" x14ac:dyDescent="0.2">
      <c r="A115">
        <v>110</v>
      </c>
      <c r="B115" t="str">
        <f>IF(KERHT.GDOT!B7="","",KERHT.GDOT!B7)</f>
        <v>KERHT.PROD.FLOW.BAL</v>
      </c>
      <c r="C115" t="str">
        <f>IF(KERHT.GDOT!C7="","",KERHT.GDOT!C7)</f>
        <v/>
      </c>
      <c r="D115" t="str">
        <f>IF(KERHT.GDOT!D7="","",KERHT.GDOT!D7)</f>
        <v/>
      </c>
      <c r="E115">
        <f>MIN(MAX('CV Config'!AC115,'Model Update'!H124),'CV Config'!AD115)</f>
        <v>0</v>
      </c>
      <c r="DG115" s="5">
        <f>IF(KERHT.GDOT!F7="","",KERHT.GDOT!F7)</f>
        <v>-1</v>
      </c>
      <c r="DK115" s="5">
        <f>IF(KERHT.GDOT!L7="","",KERHT.GDOT!L7)</f>
        <v>1</v>
      </c>
      <c r="DL115" s="5">
        <f>IF(KERHT.GDOT!M7="","",KERHT.GDOT!M7)</f>
        <v>1</v>
      </c>
      <c r="DV115" s="5">
        <f>IF(KERHT.GDOT!N7="","",KERHT.GDOT!N7)</f>
        <v>-1</v>
      </c>
    </row>
    <row r="116" spans="1:150" x14ac:dyDescent="0.2">
      <c r="A116">
        <v>111</v>
      </c>
      <c r="B116" t="str">
        <f>IF(KERHT.GDOT!B8="","",KERHT.GDOT!B8)</f>
        <v>KERHT.PROD.SG.BAL</v>
      </c>
      <c r="C116" t="str">
        <f>IF(KERHT.GDOT!C8="","",KERHT.GDOT!C8)</f>
        <v/>
      </c>
      <c r="D116" t="str">
        <f>IF(KERHT.GDOT!D8="","",KERHT.GDOT!D8)</f>
        <v/>
      </c>
      <c r="E116">
        <f>MIN(MAX('CV Config'!AC116,'Model Update'!H125),'CV Config'!AD116)</f>
        <v>0</v>
      </c>
      <c r="U116" s="5">
        <f>IF(KERHT.GDOT!O8="","",KERHT.GDOT!O8)</f>
        <v>-7.9967068106407488</v>
      </c>
      <c r="DG116" s="5">
        <f>IF(KERHT.GDOT!F8="","",KERHT.GDOT!F8)</f>
        <v>-0.78687581313163468</v>
      </c>
      <c r="DK116" s="5">
        <f>IF(KERHT.GDOT!L8="","",KERHT.GDOT!L8)</f>
        <v>0.77013014533310575</v>
      </c>
      <c r="DL116" s="5">
        <f>IF(KERHT.GDOT!M8="","",KERHT.GDOT!M8)</f>
        <v>0.75</v>
      </c>
      <c r="DQ116" s="5">
        <f>IF(KERHT.GDOT!P8="","",KERHT.GDOT!P8)</f>
        <v>7.1967253945194827</v>
      </c>
      <c r="DW116" s="5">
        <f>IF(KERHT.GDOT!Q8="","",KERHT.GDOT!Q8)</f>
        <v>1</v>
      </c>
    </row>
    <row r="117" spans="1:150" x14ac:dyDescent="0.2">
      <c r="A117">
        <v>112</v>
      </c>
      <c r="B117" t="str">
        <f>IF(KERHT.GDOT!B9="","",KERHT.GDOT!B9)</f>
        <v>KERHT.PROD.EVAP1.BAL</v>
      </c>
      <c r="C117" t="str">
        <f>IF(KERHT.GDOT!C9="","",KERHT.GDOT!C9)</f>
        <v/>
      </c>
      <c r="D117" t="str">
        <f>IF(KERHT.GDOT!D9="","",KERHT.GDOT!D9)</f>
        <v/>
      </c>
      <c r="E117">
        <f>MIN(MAX('CV Config'!AC117,'Model Update'!H126),'CV Config'!AD117)</f>
        <v>0</v>
      </c>
      <c r="BA117" s="5">
        <f>IF(KERHT.GDOT!R9="","",KERHT.GDOT!R9)</f>
        <v>-8.1967068106407481</v>
      </c>
      <c r="DG117" s="5">
        <f>IF(KERHT.GDOT!F9="","",KERHT.GDOT!F9)</f>
        <v>-49.519486299712824</v>
      </c>
      <c r="DK117" s="5">
        <f>IF(KERHT.GDOT!L9="","",KERHT.GDOT!L9)</f>
        <v>42.504985743809236</v>
      </c>
      <c r="DL117" s="5">
        <f>IF(KERHT.GDOT!M9="","",KERHT.GDOT!M9)</f>
        <v>100</v>
      </c>
      <c r="DV117" s="5">
        <f>IF(KERHT.GDOT!N9="","",KERHT.GDOT!N9)</f>
        <v>-49.519486299712824</v>
      </c>
      <c r="DX117" s="5">
        <f>IF(KERHT.GDOT!S9="","",KERHT.GDOT!S9)</f>
        <v>7.1967253945194827</v>
      </c>
      <c r="DY117" s="5">
        <f>IF(KERHT.GDOT!T9="","",KERHT.GDOT!T9)</f>
        <v>1</v>
      </c>
      <c r="DZ117" s="5">
        <f>IF(KERHT.GDOT!U9="","",KERHT.GDOT!U9)</f>
        <v>8.1967068106407481</v>
      </c>
    </row>
    <row r="118" spans="1:150" x14ac:dyDescent="0.2">
      <c r="A118">
        <v>113</v>
      </c>
      <c r="B118" t="str">
        <f>IF(KERHT.GDOT!B10="","",KERHT.GDOT!B10)</f>
        <v>KERHT.PROD.EVAP2.BAL</v>
      </c>
      <c r="C118" t="str">
        <f>IF(KERHT.GDOT!C10="","",KERHT.GDOT!C10)</f>
        <v/>
      </c>
      <c r="D118" t="str">
        <f>IF(KERHT.GDOT!D10="","",KERHT.GDOT!D10)</f>
        <v/>
      </c>
      <c r="E118">
        <f>MIN(MAX('CV Config'!AC118,'Model Update'!H127),'CV Config'!AD118)</f>
        <v>0</v>
      </c>
      <c r="BB118" s="5">
        <f>IF(KERHT.GDOT!V10="","",KERHT.GDOT!V10)</f>
        <v>-8.1967068106407481</v>
      </c>
      <c r="DG118" s="5">
        <f>IF(KERHT.GDOT!F10="","",KERHT.GDOT!F10)</f>
        <v>-99.500000004285482</v>
      </c>
      <c r="DK118" s="5">
        <f>IF(KERHT.GDOT!L10="","",KERHT.GDOT!L10)</f>
        <v>99.430267028671494</v>
      </c>
      <c r="DL118" s="5">
        <f>IF(KERHT.GDOT!M10="","",KERHT.GDOT!M10)</f>
        <v>100</v>
      </c>
      <c r="DV118" s="5">
        <f>IF(KERHT.GDOT!N10="","",KERHT.GDOT!N10)</f>
        <v>-99.500000004285482</v>
      </c>
      <c r="EA118" s="5">
        <f>IF(KERHT.GDOT!W10="","",KERHT.GDOT!W10)</f>
        <v>7.1967253945194827</v>
      </c>
      <c r="EB118" s="5">
        <f>IF(KERHT.GDOT!X10="","",KERHT.GDOT!X10)</f>
        <v>1</v>
      </c>
      <c r="EC118" s="5">
        <f>IF(KERHT.GDOT!Y10="","",KERHT.GDOT!Y10)</f>
        <v>8.1967068106407481</v>
      </c>
    </row>
    <row r="119" spans="1:150" x14ac:dyDescent="0.2">
      <c r="A119">
        <v>114</v>
      </c>
      <c r="B119" t="str">
        <f>IF(KERHT.GDOT!B11="","",KERHT.GDOT!B11)</f>
        <v>KERHT.PROD.TCL.BAL</v>
      </c>
      <c r="C119" t="str">
        <f>IF(KERHT.GDOT!C11="","",KERHT.GDOT!C11)</f>
        <v/>
      </c>
      <c r="D119" t="str">
        <f>IF(KERHT.GDOT!D11="","",KERHT.GDOT!D11)</f>
        <v/>
      </c>
      <c r="E119">
        <f>MIN(MAX('CV Config'!AC119,'Model Update'!H128),'CV Config'!AD119)</f>
        <v>0</v>
      </c>
      <c r="X119" s="5" t="e">
        <f ca="1">IF(KERHT.GDOT!Z11="","",KERHT.GDOT!Z11)</f>
        <v>#NAME?</v>
      </c>
      <c r="DG119" s="5" t="e">
        <f ca="1">IF(KERHT.GDOT!F11="","",KERHT.GDOT!F11)</f>
        <v>#NAME?</v>
      </c>
      <c r="DK119" s="5">
        <f>IF(KERHT.GDOT!L11="","",KERHT.GDOT!L11)</f>
        <v>-3.2498748668499391</v>
      </c>
      <c r="DL119" s="5" t="e">
        <f ca="1">IF(KERHT.GDOT!M11="","",KERHT.GDOT!M11)</f>
        <v>#NAME?</v>
      </c>
      <c r="DR119" s="5">
        <f>IF(KERHT.GDOT!AB11="","",KERHT.GDOT!AB11)</f>
        <v>-1</v>
      </c>
      <c r="DV119" s="5" t="e">
        <f ca="1">IF(KERHT.GDOT!N11="","",KERHT.GDOT!N11)</f>
        <v>#NAME?</v>
      </c>
      <c r="ED119" s="5" t="e">
        <f ca="1">IF(KERHT.GDOT!AA11="","",KERHT.GDOT!AA11)</f>
        <v>#NAME?</v>
      </c>
      <c r="EE119" s="5" t="e">
        <f ca="1">IF(KERHT.GDOT!AC11="","",KERHT.GDOT!AC11)</f>
        <v>#NAME?</v>
      </c>
    </row>
    <row r="120" spans="1:150" x14ac:dyDescent="0.2">
      <c r="A120">
        <v>115</v>
      </c>
      <c r="B120" t="str">
        <f>IF(KERHT.GDOT!B12="","",KERHT.GDOT!B12)</f>
        <v>KERHT.PROD.TFZ.BAL</v>
      </c>
      <c r="C120" t="str">
        <f>IF(KERHT.GDOT!C12="","",KERHT.GDOT!C12)</f>
        <v/>
      </c>
      <c r="D120" t="str">
        <f>IF(KERHT.GDOT!D12="","",KERHT.GDOT!D12)</f>
        <v/>
      </c>
      <c r="E120">
        <f>MIN(MAX('CV Config'!AC120,'Model Update'!H129),'CV Config'!AD120)</f>
        <v>0</v>
      </c>
      <c r="Z120" s="5" t="e">
        <f ca="1">IF(KERHT.GDOT!AD12="","",KERHT.GDOT!AD12)</f>
        <v>#NAME?</v>
      </c>
      <c r="DG120" s="5" t="e">
        <f ca="1">IF(KERHT.GDOT!F12="","",KERHT.GDOT!F12)</f>
        <v>#NAME?</v>
      </c>
      <c r="DK120" s="5">
        <f>IF(KERHT.GDOT!L12="","",KERHT.GDOT!L12)</f>
        <v>-3.2498748668499715</v>
      </c>
      <c r="DL120" s="5" t="e">
        <f ca="1">IF(KERHT.GDOT!M12="","",KERHT.GDOT!M12)</f>
        <v>#NAME?</v>
      </c>
      <c r="DT120" s="5">
        <f>IF(KERHT.GDOT!AF12="","",KERHT.GDOT!AF12)</f>
        <v>-1</v>
      </c>
      <c r="DV120" s="5" t="e">
        <f ca="1">IF(KERHT.GDOT!N12="","",KERHT.GDOT!N12)</f>
        <v>#NAME?</v>
      </c>
      <c r="EF120" s="5" t="e">
        <f ca="1">IF(KERHT.GDOT!AE12="","",KERHT.GDOT!AE12)</f>
        <v>#NAME?</v>
      </c>
      <c r="EG120" s="5" t="e">
        <f ca="1">IF(KERHT.GDOT!AG12="","",KERHT.GDOT!AG12)</f>
        <v>#NAME?</v>
      </c>
    </row>
    <row r="121" spans="1:150" x14ac:dyDescent="0.2">
      <c r="A121">
        <v>116</v>
      </c>
      <c r="B121" t="str">
        <f>IF(KERHT.GDOT!B13="","",KERHT.GDOT!B13)</f>
        <v>KERHT.PROD.TFL.BAL</v>
      </c>
      <c r="C121" t="str">
        <f>IF(KERHT.GDOT!C13="","",KERHT.GDOT!C13)</f>
        <v/>
      </c>
      <c r="D121" t="str">
        <f>IF(KERHT.GDOT!D13="","",KERHT.GDOT!D13)</f>
        <v/>
      </c>
      <c r="E121">
        <f>MIN(MAX('CV Config'!AC121,'Model Update'!H130),'CV Config'!AD121)</f>
        <v>0</v>
      </c>
      <c r="Y121" s="5" t="e">
        <f ca="1">IF(KERHT.GDOT!AH13="","",KERHT.GDOT!AH13)</f>
        <v>#NAME?</v>
      </c>
      <c r="DG121" s="5" t="e">
        <f ca="1">IF(KERHT.GDOT!F13="","",KERHT.GDOT!F13)</f>
        <v>#NAME?</v>
      </c>
      <c r="DK121" s="5" t="e">
        <f ca="1">IF(KERHT.GDOT!L13="","",KERHT.GDOT!L13)</f>
        <v>#NAME?</v>
      </c>
      <c r="DL121" s="5" t="e">
        <f ca="1">IF(KERHT.GDOT!M13="","",KERHT.GDOT!M13)</f>
        <v>#NAME?</v>
      </c>
      <c r="DS121" s="5">
        <f>IF(KERHT.GDOT!AJ13="","",KERHT.GDOT!AJ13)</f>
        <v>-1</v>
      </c>
      <c r="DV121" s="5" t="e">
        <f ca="1">IF(KERHT.GDOT!N13="","",KERHT.GDOT!N13)</f>
        <v>#NAME?</v>
      </c>
      <c r="EH121" s="5" t="e">
        <f ca="1">IF(KERHT.GDOT!AI13="","",KERHT.GDOT!AI13)</f>
        <v>#NAME?</v>
      </c>
      <c r="EI121" s="5" t="e">
        <f ca="1">IF(KERHT.GDOT!AK13="","",KERHT.GDOT!AK13)</f>
        <v>#NAME?</v>
      </c>
    </row>
    <row r="122" spans="1:150" x14ac:dyDescent="0.2">
      <c r="A122">
        <v>117</v>
      </c>
      <c r="B122" t="str">
        <f>IF(HDS.GMAP!B6="","",HDS.GMAP!B6)</f>
        <v>HDS.H2PP.MAP</v>
      </c>
      <c r="C122" t="str">
        <f>IF(HDS.GMAP!C6="","",HDS.GMAP!C6)</f>
        <v/>
      </c>
      <c r="D122" t="str">
        <f>IF(HDS.GMAP!D6="","",HDS.GMAP!D6)</f>
        <v/>
      </c>
      <c r="E122">
        <f>MIN(MAX('CV Config'!AC122,'Model Update'!H131),'CV Config'!AD122)</f>
        <v>0</v>
      </c>
      <c r="EL122" s="5">
        <f>IF(HDS.GMAP!H6="","",HDS.GMAP!H6)</f>
        <v>1</v>
      </c>
      <c r="EQ122" s="5">
        <f>IF(HDS.GMAP!N6="","",HDS.GMAP!N6)</f>
        <v>-1</v>
      </c>
    </row>
    <row r="123" spans="1:150" x14ac:dyDescent="0.2">
      <c r="A123">
        <v>118</v>
      </c>
      <c r="B123" t="str">
        <f>IF(HDS.GMAP!B7="","",HDS.GMAP!B7)</f>
        <v>HDS.WABT.MAP</v>
      </c>
      <c r="C123" t="str">
        <f>IF(HDS.GMAP!C7="","",HDS.GMAP!C7)</f>
        <v/>
      </c>
      <c r="D123" t="str">
        <f>IF(HDS.GMAP!D7="","",HDS.GMAP!D7)</f>
        <v/>
      </c>
      <c r="E123">
        <f>MIN(MAX('CV Config'!AC123,'Model Update'!H132),'CV Config'!AD123)</f>
        <v>0</v>
      </c>
      <c r="EK123" s="5">
        <f>IF(HDS.GMAP!G7="","",HDS.GMAP!G7)</f>
        <v>1</v>
      </c>
      <c r="EP123" s="5">
        <f>IF(HDS.GMAP!M7="","",HDS.GMAP!M7)</f>
        <v>-1</v>
      </c>
    </row>
    <row r="124" spans="1:150" x14ac:dyDescent="0.2">
      <c r="A124">
        <v>119</v>
      </c>
      <c r="B124" t="str">
        <f>IF(HDS.GMAP!B8="","",HDS.GMAP!B8)</f>
        <v>HDS.PROD.FLOW.MAP</v>
      </c>
      <c r="C124" t="str">
        <f>IF(HDS.GMAP!C8="","",HDS.GMAP!C8)</f>
        <v/>
      </c>
      <c r="D124" t="str">
        <f>IF(HDS.GMAP!D8="","",HDS.GMAP!D8)</f>
        <v/>
      </c>
      <c r="E124">
        <f>MIN(MAX('CV Config'!AC124,'Model Update'!H133),'CV Config'!AD124)</f>
        <v>0</v>
      </c>
      <c r="EN124" s="5">
        <f>IF(HDS.GMAP!J8="","",HDS.GMAP!J8)</f>
        <v>1</v>
      </c>
      <c r="ER124" s="5">
        <f>IF(HDS.GMAP!O8="","",HDS.GMAP!O8)</f>
        <v>-1</v>
      </c>
    </row>
    <row r="125" spans="1:150" x14ac:dyDescent="0.2">
      <c r="A125">
        <v>120</v>
      </c>
      <c r="B125" t="str">
        <f>IF(HDS.GMAP!B9="","",HDS.GMAP!B9)</f>
        <v>HDS.OVH.FLOW.MAP</v>
      </c>
      <c r="C125" t="str">
        <f>IF(HDS.GMAP!C9="","",HDS.GMAP!C9)</f>
        <v/>
      </c>
      <c r="D125" t="str">
        <f>IF(HDS.GMAP!D9="","",HDS.GMAP!D9)</f>
        <v/>
      </c>
      <c r="E125">
        <f>MIN(MAX('CV Config'!AC125,'Model Update'!H134),'CV Config'!AD125)</f>
        <v>0</v>
      </c>
      <c r="EO125" s="5">
        <f>IF(HDS.GMAP!K9="","",HDS.GMAP!K9)</f>
        <v>1</v>
      </c>
      <c r="ES125" s="5">
        <f>IF(HDS.GMAP!P9="","",HDS.GMAP!P9)</f>
        <v>-1</v>
      </c>
    </row>
    <row r="126" spans="1:150" x14ac:dyDescent="0.2">
      <c r="A126">
        <v>121</v>
      </c>
      <c r="B126" t="str">
        <f>IF(HDS.GMAP!B10="","",HDS.GMAP!B10)</f>
        <v>HDS.FEED.FLOW.MAP</v>
      </c>
      <c r="C126" t="str">
        <f>IF(HDS.GMAP!C10="","",HDS.GMAP!C10)</f>
        <v/>
      </c>
      <c r="D126" t="str">
        <f>IF(HDS.GMAP!D10="","",HDS.GMAP!D10)</f>
        <v/>
      </c>
      <c r="E126">
        <f>MIN(MAX('CV Config'!AC126,'Model Update'!H135),'CV Config'!AD126)</f>
        <v>0</v>
      </c>
      <c r="CG126" s="5">
        <f>IF(HDS.GMAP!L10="","",HDS.GMAP!L10)</f>
        <v>-1</v>
      </c>
      <c r="EJ126" s="5">
        <f>IF(HDS.GMAP!F10="","",HDS.GMAP!F10)</f>
        <v>1</v>
      </c>
    </row>
    <row r="127" spans="1:150" x14ac:dyDescent="0.2">
      <c r="A127">
        <v>122</v>
      </c>
      <c r="B127" t="str">
        <f>IF(HDS.GMAP!B11="","",HDS.GMAP!B11)</f>
        <v>AI_42_SUL.PV</v>
      </c>
      <c r="C127" t="str">
        <f>IF(HDS.GMAP!C11="","",HDS.GMAP!C11)</f>
        <v/>
      </c>
      <c r="D127" t="str">
        <f>IF(HDS.GMAP!D11="","",HDS.GMAP!D11)</f>
        <v/>
      </c>
      <c r="E127">
        <f>MIN(MAX('CV Config'!AC127,'Model Update'!H136),'CV Config'!AD127)</f>
        <v>22.079062487519</v>
      </c>
      <c r="EM127" s="5">
        <f>IF(HDS.GMAP!I11="","",HDS.GMAP!I11)</f>
        <v>1</v>
      </c>
    </row>
    <row r="128" spans="1:150" x14ac:dyDescent="0.2">
      <c r="A128">
        <v>123</v>
      </c>
      <c r="B128" t="str">
        <f>IF(HDS.GMAP!B12="","",HDS.GMAP!B12)</f>
        <v>AI_42_CI.PV</v>
      </c>
      <c r="C128" t="str">
        <f>IF(HDS.GMAP!C12="","",HDS.GMAP!C12)</f>
        <v/>
      </c>
      <c r="D128" t="str">
        <f>IF(HDS.GMAP!D12="","",HDS.GMAP!D12)</f>
        <v/>
      </c>
      <c r="E128">
        <f>MIN(MAX('CV Config'!AC128,'Model Update'!H137),'CV Config'!AD128)</f>
        <v>49.908864919867597</v>
      </c>
      <c r="ET128" s="5">
        <f>IF(HDS.GMAP!Q12="","",HDS.GMAP!Q12)</f>
        <v>1</v>
      </c>
    </row>
    <row r="129" spans="1:174" x14ac:dyDescent="0.2">
      <c r="A129">
        <v>124</v>
      </c>
      <c r="B129" t="str">
        <f>IF(HDS.GMAP!B13="","",HDS.GMAP!B13)</f>
        <v>AI_42_SG.PV</v>
      </c>
      <c r="C129" t="str">
        <f>IF(HDS.GMAP!C13="","",HDS.GMAP!C13)</f>
        <v/>
      </c>
      <c r="D129" t="str">
        <f>IF(HDS.GMAP!D13="","",HDS.GMAP!D13)</f>
        <v/>
      </c>
      <c r="E129">
        <f>MIN(MAX('CV Config'!AC129,'Model Update'!H138),'CV Config'!AD129)</f>
        <v>0.80643689559489995</v>
      </c>
      <c r="EU129" s="5">
        <f>IF(HDS.GMAP!R13="","",HDS.GMAP!R13)</f>
        <v>1</v>
      </c>
    </row>
    <row r="130" spans="1:174" x14ac:dyDescent="0.2">
      <c r="A130">
        <v>125</v>
      </c>
      <c r="B130" t="str">
        <f>IF(HDS.GMAP!B14="","",HDS.GMAP!B14)</f>
        <v>AI_42_TCL.PV</v>
      </c>
      <c r="C130" t="str">
        <f>IF(HDS.GMAP!C14="","",HDS.GMAP!C14)</f>
        <v/>
      </c>
      <c r="D130" t="str">
        <f>IF(HDS.GMAP!D14="","",HDS.GMAP!D14)</f>
        <v/>
      </c>
      <c r="E130">
        <f>MIN(MAX('CV Config'!AC130,'Model Update'!H139),'CV Config'!AD130)</f>
        <v>51.295970558598299</v>
      </c>
      <c r="EV130" s="5">
        <f>IF(HDS.GMAP!S14="","",HDS.GMAP!S14)</f>
        <v>1</v>
      </c>
    </row>
    <row r="131" spans="1:174" x14ac:dyDescent="0.2">
      <c r="A131">
        <v>126</v>
      </c>
      <c r="B131" t="str">
        <f>IF(HDS.GMAP!B15="","",HDS.GMAP!B15)</f>
        <v>AI_42_TFL.PV</v>
      </c>
      <c r="C131" t="str">
        <f>IF(HDS.GMAP!C15="","",HDS.GMAP!C15)</f>
        <v/>
      </c>
      <c r="D131" t="str">
        <f>IF(HDS.GMAP!D15="","",HDS.GMAP!D15)</f>
        <v/>
      </c>
      <c r="E131">
        <f>MIN(MAX('CV Config'!AC131,'Model Update'!H140),'CV Config'!AD131)</f>
        <v>168.37491968623399</v>
      </c>
      <c r="EW131" s="5">
        <f>IF(HDS.GMAP!T15="","",HDS.GMAP!T15)</f>
        <v>1</v>
      </c>
    </row>
    <row r="132" spans="1:174" x14ac:dyDescent="0.2">
      <c r="A132">
        <v>127</v>
      </c>
      <c r="B132" t="str">
        <f>IF(HDS.GDOT!B6="","",HDS.GDOT!B6)</f>
        <v>HDS.PROD.SUL.BAL</v>
      </c>
      <c r="C132" t="str">
        <f>IF(HDS.GDOT!C6="","",HDS.GDOT!C6)</f>
        <v/>
      </c>
      <c r="D132" t="str">
        <f>IF(HDS.GDOT!D6="","",HDS.GDOT!D6)</f>
        <v/>
      </c>
      <c r="E132">
        <f>MIN(MAX('CV Config'!AC132,'Model Update'!H141),'CV Config'!AD132)</f>
        <v>0</v>
      </c>
      <c r="CX132" s="5" t="e">
        <f ca="1">IF(HDS.GDOT!I6="","",HDS.GDOT!I6)</f>
        <v>#NAME?</v>
      </c>
      <c r="EJ132" s="5" t="e">
        <f ca="1">IF(HDS.GDOT!F6="","",HDS.GDOT!F6)</f>
        <v>#NAME?</v>
      </c>
      <c r="EK132" s="5" t="e">
        <f ca="1">IF(HDS.GDOT!H6="","",HDS.GDOT!H6)</f>
        <v>#NAME?</v>
      </c>
      <c r="EL132" s="5" t="e">
        <f ca="1">IF(HDS.GDOT!G6="","",HDS.GDOT!G6)</f>
        <v>#NAME?</v>
      </c>
      <c r="EM132" s="5" t="e">
        <f ca="1">IF(HDS.GDOT!J6="","",HDS.GDOT!J6)</f>
        <v>#NAME?</v>
      </c>
      <c r="EX132" s="5" t="e">
        <f ca="1">IF(HDS.GDOT!K6="","",HDS.GDOT!K6)</f>
        <v>#NAME?</v>
      </c>
    </row>
    <row r="133" spans="1:174" x14ac:dyDescent="0.2">
      <c r="A133">
        <v>128</v>
      </c>
      <c r="B133" t="str">
        <f>IF(HDS.GDOT!B7="","",HDS.GDOT!B7)</f>
        <v>HDS.PROD.FLOW.BAL</v>
      </c>
      <c r="C133" t="str">
        <f>IF(HDS.GDOT!C7="","",HDS.GDOT!C7)</f>
        <v/>
      </c>
      <c r="D133" t="str">
        <f>IF(HDS.GDOT!D7="","",HDS.GDOT!D7)</f>
        <v/>
      </c>
      <c r="E133">
        <f>MIN(MAX('CV Config'!AC133,'Model Update'!H142),'CV Config'!AD133)</f>
        <v>0</v>
      </c>
      <c r="EJ133" s="5">
        <f>IF(HDS.GDOT!F7="","",HDS.GDOT!F7)</f>
        <v>-1</v>
      </c>
      <c r="EN133" s="5">
        <f>IF(HDS.GDOT!L7="","",HDS.GDOT!L7)</f>
        <v>1</v>
      </c>
      <c r="EO133" s="5">
        <f>IF(HDS.GDOT!M7="","",HDS.GDOT!M7)</f>
        <v>1</v>
      </c>
      <c r="EY133" s="5">
        <f>IF(HDS.GDOT!N7="","",HDS.GDOT!N7)</f>
        <v>-1</v>
      </c>
    </row>
    <row r="134" spans="1:174" x14ac:dyDescent="0.2">
      <c r="A134">
        <v>129</v>
      </c>
      <c r="B134" t="str">
        <f>IF(HDS.GDOT!B8="","",HDS.GDOT!B8)</f>
        <v>HDS.PROD.SG.BAL</v>
      </c>
      <c r="C134" t="str">
        <f>IF(HDS.GDOT!C8="","",HDS.GDOT!C8)</f>
        <v/>
      </c>
      <c r="D134" t="str">
        <f>IF(HDS.GDOT!D8="","",HDS.GDOT!D8)</f>
        <v/>
      </c>
      <c r="E134">
        <f>MIN(MAX('CV Config'!AC134,'Model Update'!H143),'CV Config'!AD134)</f>
        <v>0</v>
      </c>
      <c r="CJ134" s="5">
        <f>IF(HDS.GDOT!O8="","",HDS.GDOT!O8)</f>
        <v>-56.003436865952423</v>
      </c>
      <c r="EJ134" s="5">
        <f>IF(HDS.GDOT!F8="","",HDS.GDOT!F8)</f>
        <v>-0.83331594270501674</v>
      </c>
      <c r="EN134" s="5">
        <f>IF(HDS.GDOT!L8="","",HDS.GDOT!L8)</f>
        <v>0.81555716306833048</v>
      </c>
      <c r="EO134" s="5">
        <f>IF(HDS.GDOT!M8="","",HDS.GDOT!M8)</f>
        <v>0.7519012375854035</v>
      </c>
      <c r="EU134" s="5">
        <f>IF(HDS.GDOT!P8="","",HDS.GDOT!P8)</f>
        <v>48.003433951255225</v>
      </c>
      <c r="EZ134" s="5">
        <f>IF(HDS.GDOT!Q8="","",HDS.GDOT!Q8)</f>
        <v>10</v>
      </c>
    </row>
    <row r="135" spans="1:174" x14ac:dyDescent="0.2">
      <c r="A135">
        <v>130</v>
      </c>
      <c r="B135" t="str">
        <f>IF(HDS.GDOT!B9="","",HDS.GDOT!B9)</f>
        <v>HDS.PROD.CI.BAL</v>
      </c>
      <c r="C135" t="str">
        <f>IF(HDS.GDOT!C9="","",HDS.GDOT!C9)</f>
        <v/>
      </c>
      <c r="D135" t="str">
        <f>IF(HDS.GDOT!D9="","",HDS.GDOT!D9)</f>
        <v/>
      </c>
      <c r="E135">
        <f>MIN(MAX('CV Config'!AC135,'Model Update'!H144),'CV Config'!AD135)</f>
        <v>0</v>
      </c>
      <c r="CI135" s="5">
        <f>IF(HDS.GDOT!R9="","",HDS.GDOT!R9)</f>
        <v>-58.003436865952423</v>
      </c>
      <c r="EJ135" s="5">
        <f>IF(HDS.GDOT!F9="","",HDS.GDOT!F9)</f>
        <v>-48.207373976246025</v>
      </c>
      <c r="EN135" s="5">
        <f>IF(HDS.GDOT!L9="","",HDS.GDOT!L9)</f>
        <v>49.916783465344778</v>
      </c>
      <c r="EO135" s="5">
        <f>IF(HDS.GDOT!M9="","",HDS.GDOT!M9)</f>
        <v>40.00163547808414</v>
      </c>
      <c r="ET135" s="5">
        <f>IF(HDS.GDOT!S9="","",HDS.GDOT!S9)</f>
        <v>48.003433951255225</v>
      </c>
      <c r="EY135" s="5">
        <f>IF(HDS.GDOT!N9="","",HDS.GDOT!N9)</f>
        <v>-48.207373976246025</v>
      </c>
      <c r="FA135" s="5">
        <f>IF(HDS.GDOT!T9="","",HDS.GDOT!T9)</f>
        <v>10</v>
      </c>
      <c r="FB135" s="5">
        <f>IF(HDS.GDOT!U9="","",HDS.GDOT!U9)</f>
        <v>58.003436865952423</v>
      </c>
    </row>
    <row r="136" spans="1:174" x14ac:dyDescent="0.2">
      <c r="A136">
        <v>131</v>
      </c>
      <c r="B136" t="str">
        <f>IF(HDS.GDOT!B10="","",HDS.GDOT!B10)</f>
        <v>HDS.PROD.EVAP1.BAL</v>
      </c>
      <c r="C136" t="str">
        <f>IF(HDS.GDOT!C10="","",HDS.GDOT!C10)</f>
        <v/>
      </c>
      <c r="D136" t="str">
        <f>IF(HDS.GDOT!D10="","",HDS.GDOT!D10)</f>
        <v/>
      </c>
      <c r="E136">
        <f>MIN(MAX('CV Config'!AC136,'Model Update'!H145),'CV Config'!AD136)</f>
        <v>0</v>
      </c>
      <c r="DC136" s="5">
        <f>IF(HDS.GDOT!V10="","",HDS.GDOT!V10)</f>
        <v>-58.003436865952423</v>
      </c>
      <c r="EJ136" s="5">
        <f>IF(HDS.GDOT!F10="","",HDS.GDOT!F10)</f>
        <v>-28.08276640168453</v>
      </c>
      <c r="EN136" s="5">
        <f>IF(HDS.GDOT!L10="","",HDS.GDOT!L10)</f>
        <v>13.101082908604115</v>
      </c>
      <c r="EO136" s="5">
        <f>IF(HDS.GDOT!M10="","",HDS.GDOT!M10)</f>
        <v>100</v>
      </c>
      <c r="EY136" s="5">
        <f>IF(HDS.GDOT!N10="","",HDS.GDOT!N10)</f>
        <v>-28.08276640168453</v>
      </c>
      <c r="FC136" s="5">
        <f>IF(HDS.GDOT!W10="","",HDS.GDOT!W10)</f>
        <v>48.003433951255225</v>
      </c>
      <c r="FD136" s="5">
        <f>IF(HDS.GDOT!X10="","",HDS.GDOT!X10)</f>
        <v>10</v>
      </c>
      <c r="FE136" s="5">
        <f>IF(HDS.GDOT!Y10="","",HDS.GDOT!Y10)</f>
        <v>58.003436865952423</v>
      </c>
    </row>
    <row r="137" spans="1:174" x14ac:dyDescent="0.2">
      <c r="A137">
        <v>132</v>
      </c>
      <c r="B137" t="str">
        <f>IF(HDS.GDOT!B11="","",HDS.GDOT!B11)</f>
        <v>HDS.PROD.EVAP2.BAL</v>
      </c>
      <c r="C137" t="str">
        <f>IF(HDS.GDOT!C11="","",HDS.GDOT!C11)</f>
        <v/>
      </c>
      <c r="D137" t="str">
        <f>IF(HDS.GDOT!D11="","",HDS.GDOT!D11)</f>
        <v/>
      </c>
      <c r="E137">
        <f>MIN(MAX('CV Config'!AC137,'Model Update'!H146),'CV Config'!AD137)</f>
        <v>0</v>
      </c>
      <c r="DD137" s="5">
        <f>IF(HDS.GDOT!Z11="","",HDS.GDOT!Z11)</f>
        <v>-58.003436865952423</v>
      </c>
      <c r="EJ137" s="5">
        <f>IF(HDS.GDOT!F11="","",HDS.GDOT!F11)</f>
        <v>-58.552195931401414</v>
      </c>
      <c r="EN137" s="5">
        <f>IF(HDS.GDOT!L11="","",HDS.GDOT!L11)</f>
        <v>49.917858013253664</v>
      </c>
      <c r="EO137" s="5">
        <f>IF(HDS.GDOT!M11="","",HDS.GDOT!M11)</f>
        <v>100</v>
      </c>
      <c r="EY137" s="5">
        <f>IF(HDS.GDOT!N11="","",HDS.GDOT!N11)</f>
        <v>-58.552195931401414</v>
      </c>
      <c r="FF137" s="5">
        <f>IF(HDS.GDOT!AA11="","",HDS.GDOT!AA11)</f>
        <v>48.003433951255225</v>
      </c>
      <c r="FG137" s="5">
        <f>IF(HDS.GDOT!AB11="","",HDS.GDOT!AB11)</f>
        <v>10</v>
      </c>
      <c r="FH137" s="5">
        <f>IF(HDS.GDOT!AC11="","",HDS.GDOT!AC11)</f>
        <v>58.003436865952423</v>
      </c>
    </row>
    <row r="138" spans="1:174" x14ac:dyDescent="0.2">
      <c r="A138">
        <v>133</v>
      </c>
      <c r="B138" t="str">
        <f>IF(HDS.GDOT!B12="","",HDS.GDOT!B12)</f>
        <v>HDS.PROD.EVAP3.BAL</v>
      </c>
      <c r="C138" t="str">
        <f>IF(HDS.GDOT!C12="","",HDS.GDOT!C12)</f>
        <v/>
      </c>
      <c r="D138" t="str">
        <f>IF(HDS.GDOT!D12="","",HDS.GDOT!D12)</f>
        <v/>
      </c>
      <c r="E138">
        <f>MIN(MAX('CV Config'!AC138,'Model Update'!H147),'CV Config'!AD138)</f>
        <v>0</v>
      </c>
      <c r="DE138" s="5">
        <f>IF(HDS.GDOT!AD12="","",HDS.GDOT!AD12)</f>
        <v>-58.003436865952423</v>
      </c>
      <c r="EJ138" s="5">
        <f>IF(HDS.GDOT!F12="","",HDS.GDOT!F12)</f>
        <v>-92.837572112724359</v>
      </c>
      <c r="EN138" s="5">
        <f>IF(HDS.GDOT!L12="","",HDS.GDOT!L12)</f>
        <v>91.3455120167622</v>
      </c>
      <c r="EO138" s="5">
        <f>IF(HDS.GDOT!M12="","",HDS.GDOT!M12)</f>
        <v>100</v>
      </c>
      <c r="EY138" s="5">
        <f>IF(HDS.GDOT!N12="","",HDS.GDOT!N12)</f>
        <v>-92.837572112724359</v>
      </c>
      <c r="FI138" s="5">
        <f>IF(HDS.GDOT!AE12="","",HDS.GDOT!AE12)</f>
        <v>48.003433951255225</v>
      </c>
      <c r="FJ138" s="5">
        <f>IF(HDS.GDOT!AF12="","",HDS.GDOT!AF12)</f>
        <v>10</v>
      </c>
      <c r="FK138" s="5">
        <f>IF(HDS.GDOT!AG12="","",HDS.GDOT!AG12)</f>
        <v>58.003436865952423</v>
      </c>
    </row>
    <row r="139" spans="1:174" x14ac:dyDescent="0.2">
      <c r="A139">
        <v>134</v>
      </c>
      <c r="B139" t="str">
        <f>IF(HDS.GDOT!B13="","",HDS.GDOT!B13)</f>
        <v>HDS.PROD.EVAP4.BAL</v>
      </c>
      <c r="C139" t="str">
        <f>IF(HDS.GDOT!C13="","",HDS.GDOT!C13)</f>
        <v/>
      </c>
      <c r="D139" t="str">
        <f>IF(HDS.GDOT!D13="","",HDS.GDOT!D13)</f>
        <v/>
      </c>
      <c r="E139">
        <f>MIN(MAX('CV Config'!AC139,'Model Update'!H148),'CV Config'!AD139)</f>
        <v>0</v>
      </c>
      <c r="DF139" s="5">
        <f>IF(HDS.GDOT!AH13="","",HDS.GDOT!AH13)</f>
        <v>-58.003436865952423</v>
      </c>
      <c r="EJ139" s="5">
        <f>IF(HDS.GDOT!F13="","",HDS.GDOT!F13)</f>
        <v>-99.500078895640954</v>
      </c>
      <c r="EN139" s="5">
        <f>IF(HDS.GDOT!L13="","",HDS.GDOT!L13)</f>
        <v>99.395942157508301</v>
      </c>
      <c r="EO139" s="5">
        <f>IF(HDS.GDOT!M13="","",HDS.GDOT!M13)</f>
        <v>100</v>
      </c>
      <c r="EY139" s="5">
        <f>IF(HDS.GDOT!N13="","",HDS.GDOT!N13)</f>
        <v>-99.500078895640954</v>
      </c>
      <c r="FL139" s="5">
        <f>IF(HDS.GDOT!AI13="","",HDS.GDOT!AI13)</f>
        <v>48.003433951255225</v>
      </c>
      <c r="FM139" s="5">
        <f>IF(HDS.GDOT!AJ13="","",HDS.GDOT!AJ13)</f>
        <v>10</v>
      </c>
      <c r="FN139" s="5">
        <f>IF(HDS.GDOT!AK13="","",HDS.GDOT!AK13)</f>
        <v>58.003436865952423</v>
      </c>
    </row>
    <row r="140" spans="1:174" x14ac:dyDescent="0.2">
      <c r="A140">
        <v>135</v>
      </c>
      <c r="B140" t="str">
        <f>IF(HDS.GDOT!B14="","",HDS.GDOT!B14)</f>
        <v>HDS.PROD.TCL.BAL</v>
      </c>
      <c r="C140" t="str">
        <f>IF(HDS.GDOT!C14="","",HDS.GDOT!C14)</f>
        <v/>
      </c>
      <c r="D140" t="str">
        <f>IF(HDS.GDOT!D14="","",HDS.GDOT!D14)</f>
        <v/>
      </c>
      <c r="E140">
        <f>MIN(MAX('CV Config'!AC140,'Model Update'!H149),'CV Config'!AD140)</f>
        <v>0</v>
      </c>
      <c r="CM140" s="5" t="e">
        <f ca="1">IF(HDS.GDOT!AL14="","",HDS.GDOT!AL14)</f>
        <v>#NAME?</v>
      </c>
      <c r="EJ140" s="5" t="e">
        <f ca="1">IF(HDS.GDOT!F14="","",HDS.GDOT!F14)</f>
        <v>#NAME?</v>
      </c>
      <c r="EN140" s="5">
        <f>IF(HDS.GDOT!L14="","",HDS.GDOT!L14)</f>
        <v>-0.48722466411505555</v>
      </c>
      <c r="EO140" s="5" t="e">
        <f ca="1">IF(HDS.GDOT!M14="","",HDS.GDOT!M14)</f>
        <v>#NAME?</v>
      </c>
      <c r="EV140" s="5">
        <f>IF(HDS.GDOT!AN14="","",HDS.GDOT!AN14)</f>
        <v>-1</v>
      </c>
      <c r="EY140" s="5" t="e">
        <f ca="1">IF(HDS.GDOT!N14="","",HDS.GDOT!N14)</f>
        <v>#NAME?</v>
      </c>
      <c r="FO140" s="5" t="e">
        <f ca="1">IF(HDS.GDOT!AM14="","",HDS.GDOT!AM14)</f>
        <v>#NAME?</v>
      </c>
      <c r="FP140" s="5" t="e">
        <f ca="1">IF(HDS.GDOT!AO14="","",HDS.GDOT!AO14)</f>
        <v>#NAME?</v>
      </c>
    </row>
    <row r="141" spans="1:174" x14ac:dyDescent="0.2">
      <c r="A141">
        <v>136</v>
      </c>
      <c r="B141" t="str">
        <f>IF(HDS.GDOT!B15="","",HDS.GDOT!B15)</f>
        <v>HDS.PROD.TFL.BAL</v>
      </c>
      <c r="C141" t="str">
        <f>IF(HDS.GDOT!C15="","",HDS.GDOT!C15)</f>
        <v/>
      </c>
      <c r="D141" t="str">
        <f>IF(HDS.GDOT!D15="","",HDS.GDOT!D15)</f>
        <v/>
      </c>
      <c r="E141">
        <f>MIN(MAX('CV Config'!AC141,'Model Update'!H150),'CV Config'!AD141)</f>
        <v>0</v>
      </c>
      <c r="CN141" s="5" t="e">
        <f ca="1">IF(HDS.GDOT!AP15="","",HDS.GDOT!AP15)</f>
        <v>#NAME?</v>
      </c>
      <c r="EJ141" s="5" t="e">
        <f ca="1">IF(HDS.GDOT!F15="","",HDS.GDOT!F15)</f>
        <v>#NAME?</v>
      </c>
      <c r="EN141" s="5" t="e">
        <f ca="1">IF(HDS.GDOT!L15="","",HDS.GDOT!L15)</f>
        <v>#NAME?</v>
      </c>
      <c r="EO141" s="5" t="e">
        <f ca="1">IF(HDS.GDOT!M15="","",HDS.GDOT!M15)</f>
        <v>#NAME?</v>
      </c>
      <c r="EW141" s="5">
        <f>IF(HDS.GDOT!AR15="","",HDS.GDOT!AR15)</f>
        <v>-1</v>
      </c>
      <c r="EY141" s="5" t="e">
        <f ca="1">IF(HDS.GDOT!N15="","",HDS.GDOT!N15)</f>
        <v>#NAME?</v>
      </c>
      <c r="FQ141" s="5" t="e">
        <f ca="1">IF(HDS.GDOT!AQ15="","",HDS.GDOT!AQ15)</f>
        <v>#NAME?</v>
      </c>
      <c r="FR141" s="5" t="e">
        <f ca="1">IF(HDS.GDOT!AS15="","",HDS.GDOT!AS15)</f>
        <v>#NAME?</v>
      </c>
    </row>
  </sheetData>
  <phoneticPr fontId="2" type="noConversion"/>
  <pageMargins left="0.75" right="0.75" top="1" bottom="1" header="0.5" footer="0.5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"/>
  <dimension ref="A1:CE50"/>
  <sheetViews>
    <sheetView tabSelected="1"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O32" sqref="O32"/>
    </sheetView>
  </sheetViews>
  <sheetFormatPr defaultRowHeight="12.75" x14ac:dyDescent="0.2"/>
  <cols>
    <col min="1" max="1" width="12.140625" customWidth="1"/>
  </cols>
  <sheetData>
    <row r="1" spans="1:83" x14ac:dyDescent="0.2">
      <c r="E1" s="3"/>
      <c r="F1">
        <v>1</v>
      </c>
      <c r="G1">
        <v>2</v>
      </c>
      <c r="H1">
        <v>3</v>
      </c>
      <c r="I1">
        <v>5</v>
      </c>
      <c r="J1">
        <v>6</v>
      </c>
      <c r="K1">
        <v>7</v>
      </c>
      <c r="L1">
        <v>34</v>
      </c>
      <c r="M1">
        <v>35</v>
      </c>
      <c r="N1">
        <v>36</v>
      </c>
      <c r="O1">
        <v>37</v>
      </c>
      <c r="P1">
        <v>38</v>
      </c>
      <c r="Q1">
        <v>39</v>
      </c>
      <c r="R1">
        <v>40</v>
      </c>
      <c r="S1">
        <v>41</v>
      </c>
      <c r="T1">
        <v>42</v>
      </c>
      <c r="U1">
        <v>43</v>
      </c>
      <c r="V1">
        <v>44</v>
      </c>
      <c r="W1">
        <v>45</v>
      </c>
      <c r="X1">
        <v>46</v>
      </c>
      <c r="Y1">
        <v>47</v>
      </c>
      <c r="Z1">
        <v>58</v>
      </c>
      <c r="AA1">
        <v>60</v>
      </c>
      <c r="AB1">
        <v>61</v>
      </c>
      <c r="AC1">
        <v>62</v>
      </c>
      <c r="AD1">
        <v>63</v>
      </c>
      <c r="AE1">
        <v>64</v>
      </c>
      <c r="AF1">
        <v>65</v>
      </c>
      <c r="AG1">
        <v>66</v>
      </c>
      <c r="AH1">
        <v>69</v>
      </c>
      <c r="AI1">
        <v>70</v>
      </c>
      <c r="AJ1">
        <v>71</v>
      </c>
      <c r="AK1">
        <v>72</v>
      </c>
      <c r="AL1">
        <v>73</v>
      </c>
      <c r="AM1">
        <v>81</v>
      </c>
      <c r="AN1">
        <v>88</v>
      </c>
      <c r="AO1">
        <v>89</v>
      </c>
      <c r="AP1">
        <v>90</v>
      </c>
      <c r="AQ1">
        <v>91</v>
      </c>
      <c r="AR1">
        <v>92</v>
      </c>
      <c r="AS1">
        <v>93</v>
      </c>
      <c r="AT1">
        <v>94</v>
      </c>
      <c r="AU1">
        <v>95</v>
      </c>
      <c r="AV1">
        <v>112</v>
      </c>
      <c r="AW1">
        <v>113</v>
      </c>
      <c r="AX1">
        <v>115</v>
      </c>
      <c r="AY1">
        <v>120</v>
      </c>
      <c r="AZ1">
        <v>121</v>
      </c>
      <c r="BA1">
        <v>122</v>
      </c>
      <c r="BB1">
        <v>124</v>
      </c>
      <c r="BC1">
        <v>125</v>
      </c>
      <c r="BD1">
        <v>127</v>
      </c>
      <c r="BE1">
        <v>128</v>
      </c>
      <c r="BF1">
        <v>129</v>
      </c>
      <c r="BG1">
        <v>130</v>
      </c>
      <c r="BH1">
        <v>131</v>
      </c>
      <c r="BI1">
        <v>132</v>
      </c>
      <c r="BJ1">
        <v>133</v>
      </c>
      <c r="BK1">
        <v>134</v>
      </c>
      <c r="BL1">
        <v>141</v>
      </c>
      <c r="BM1">
        <v>142</v>
      </c>
      <c r="BN1">
        <v>144</v>
      </c>
      <c r="BO1">
        <v>149</v>
      </c>
      <c r="BP1">
        <v>150</v>
      </c>
      <c r="BQ1">
        <v>151</v>
      </c>
      <c r="BR1">
        <v>152</v>
      </c>
      <c r="BS1">
        <v>153</v>
      </c>
      <c r="BT1">
        <v>155</v>
      </c>
      <c r="BU1">
        <v>156</v>
      </c>
      <c r="BV1">
        <v>158</v>
      </c>
      <c r="BW1">
        <v>159</v>
      </c>
      <c r="BX1">
        <v>161</v>
      </c>
      <c r="BY1">
        <v>162</v>
      </c>
      <c r="BZ1">
        <v>164</v>
      </c>
      <c r="CA1">
        <v>165</v>
      </c>
      <c r="CB1">
        <v>166</v>
      </c>
      <c r="CC1">
        <v>167</v>
      </c>
      <c r="CD1">
        <v>168</v>
      </c>
      <c r="CE1">
        <v>169</v>
      </c>
    </row>
    <row r="2" spans="1:83" x14ac:dyDescent="0.2">
      <c r="A2" s="27"/>
      <c r="E2" s="35" t="s">
        <v>7</v>
      </c>
      <c r="F2" t="s">
        <v>512</v>
      </c>
      <c r="G2" t="s">
        <v>513</v>
      </c>
      <c r="H2" t="s">
        <v>514</v>
      </c>
      <c r="I2" t="s">
        <v>516</v>
      </c>
      <c r="J2" t="s">
        <v>517</v>
      </c>
      <c r="K2" t="s">
        <v>519</v>
      </c>
      <c r="L2" t="s">
        <v>623</v>
      </c>
      <c r="M2" t="s">
        <v>624</v>
      </c>
      <c r="N2" t="s">
        <v>625</v>
      </c>
      <c r="O2" t="s">
        <v>626</v>
      </c>
      <c r="P2" t="s">
        <v>627</v>
      </c>
      <c r="Q2" t="s">
        <v>628</v>
      </c>
      <c r="R2" t="s">
        <v>629</v>
      </c>
      <c r="S2" t="s">
        <v>630</v>
      </c>
      <c r="T2" t="s">
        <v>1763</v>
      </c>
      <c r="U2" t="s">
        <v>631</v>
      </c>
      <c r="V2" t="s">
        <v>632</v>
      </c>
      <c r="W2" t="s">
        <v>633</v>
      </c>
      <c r="X2" t="s">
        <v>634</v>
      </c>
      <c r="Y2" t="s">
        <v>1764</v>
      </c>
      <c r="Z2" t="s">
        <v>643</v>
      </c>
      <c r="AA2" t="s">
        <v>645</v>
      </c>
      <c r="AB2" t="s">
        <v>646</v>
      </c>
      <c r="AC2" t="s">
        <v>647</v>
      </c>
      <c r="AD2" t="s">
        <v>648</v>
      </c>
      <c r="AE2" t="s">
        <v>649</v>
      </c>
      <c r="AF2" t="s">
        <v>650</v>
      </c>
      <c r="AG2" t="s">
        <v>651</v>
      </c>
      <c r="AH2" t="s">
        <v>654</v>
      </c>
      <c r="AI2" t="s">
        <v>655</v>
      </c>
      <c r="AJ2" t="s">
        <v>656</v>
      </c>
      <c r="AK2" t="s">
        <v>657</v>
      </c>
      <c r="AL2" t="s">
        <v>554</v>
      </c>
      <c r="AM2" t="s">
        <v>1496</v>
      </c>
      <c r="AN2" t="s">
        <v>1513</v>
      </c>
      <c r="AO2" t="s">
        <v>1514</v>
      </c>
      <c r="AP2" t="s">
        <v>1515</v>
      </c>
      <c r="AQ2" t="s">
        <v>1516</v>
      </c>
      <c r="AR2" t="s">
        <v>1517</v>
      </c>
      <c r="AS2" t="s">
        <v>1518</v>
      </c>
      <c r="AT2" t="s">
        <v>1519</v>
      </c>
      <c r="AU2" t="s">
        <v>546</v>
      </c>
      <c r="AV2" t="s">
        <v>1288</v>
      </c>
      <c r="AW2" t="s">
        <v>1289</v>
      </c>
      <c r="AX2" t="s">
        <v>1292</v>
      </c>
      <c r="AY2" t="s">
        <v>1318</v>
      </c>
      <c r="AZ2" t="s">
        <v>1319</v>
      </c>
      <c r="BA2" t="s">
        <v>1321</v>
      </c>
      <c r="BB2" t="s">
        <v>1323</v>
      </c>
      <c r="BC2" t="s">
        <v>1324</v>
      </c>
      <c r="BD2" t="s">
        <v>1326</v>
      </c>
      <c r="BE2" t="s">
        <v>1327</v>
      </c>
      <c r="BF2" t="s">
        <v>1328</v>
      </c>
      <c r="BG2" t="s">
        <v>1330</v>
      </c>
      <c r="BH2" t="s">
        <v>1331</v>
      </c>
      <c r="BI2" t="s">
        <v>1333</v>
      </c>
      <c r="BJ2" t="s">
        <v>1334</v>
      </c>
      <c r="BK2" t="s">
        <v>1336</v>
      </c>
      <c r="BL2" t="s">
        <v>1283</v>
      </c>
      <c r="BM2" t="s">
        <v>1284</v>
      </c>
      <c r="BN2" t="s">
        <v>1286</v>
      </c>
      <c r="BO2" t="s">
        <v>1546</v>
      </c>
      <c r="BP2" t="s">
        <v>1547</v>
      </c>
      <c r="BQ2" t="s">
        <v>1549</v>
      </c>
      <c r="BR2" t="s">
        <v>1551</v>
      </c>
      <c r="BS2" t="s">
        <v>1552</v>
      </c>
      <c r="BT2" t="s">
        <v>1554</v>
      </c>
      <c r="BU2" t="s">
        <v>1555</v>
      </c>
      <c r="BV2" t="s">
        <v>1557</v>
      </c>
      <c r="BW2" t="s">
        <v>1558</v>
      </c>
      <c r="BX2" t="s">
        <v>1560</v>
      </c>
      <c r="BY2" t="s">
        <v>1561</v>
      </c>
      <c r="BZ2" t="s">
        <v>1773</v>
      </c>
      <c r="CA2" t="s">
        <v>1774</v>
      </c>
      <c r="CB2" t="s">
        <v>1562</v>
      </c>
      <c r="CC2" t="s">
        <v>1564</v>
      </c>
      <c r="CD2" t="s">
        <v>1565</v>
      </c>
      <c r="CE2" t="s">
        <v>1567</v>
      </c>
    </row>
    <row r="3" spans="1:83" x14ac:dyDescent="0.2">
      <c r="E3" s="3"/>
    </row>
    <row r="4" spans="1:83" x14ac:dyDescent="0.2">
      <c r="E4" s="3"/>
    </row>
    <row r="5" spans="1:83" x14ac:dyDescent="0.2">
      <c r="A5" s="4"/>
      <c r="B5" s="36" t="s">
        <v>6</v>
      </c>
      <c r="C5" s="4"/>
      <c r="D5" s="4"/>
      <c r="E5" s="64"/>
      <c r="F5" s="65"/>
      <c r="G5" s="65"/>
      <c r="H5" s="65"/>
      <c r="I5" s="65"/>
      <c r="J5" s="65"/>
      <c r="K5" s="65"/>
      <c r="L5" s="65"/>
      <c r="M5" s="65"/>
      <c r="N5" s="65"/>
      <c r="O5" s="65"/>
      <c r="P5" s="66"/>
      <c r="Q5" s="5"/>
      <c r="R5" s="5"/>
      <c r="S5" s="66"/>
      <c r="T5" s="66"/>
      <c r="U5" s="5"/>
      <c r="V5" s="5"/>
      <c r="W5" s="5"/>
      <c r="X5" s="66"/>
      <c r="Y5" s="5"/>
      <c r="Z5" s="66"/>
      <c r="AA5" s="66"/>
      <c r="AB5" s="66"/>
      <c r="AC5" s="5"/>
      <c r="AD5" s="66"/>
      <c r="AE5" s="5"/>
      <c r="AF5" s="5"/>
      <c r="AG5" s="5"/>
      <c r="AH5" s="5"/>
      <c r="AI5" s="5"/>
      <c r="AJ5" s="5"/>
      <c r="AK5" s="5"/>
      <c r="AL5" s="5"/>
      <c r="AM5" s="5"/>
      <c r="AN5" s="66"/>
      <c r="AO5" s="5"/>
      <c r="AP5" s="5"/>
      <c r="AQ5" s="5"/>
      <c r="AR5" s="66"/>
      <c r="AS5" s="66"/>
      <c r="AT5" s="66"/>
      <c r="AU5" s="66"/>
      <c r="AV5" s="66"/>
      <c r="AW5" s="66"/>
      <c r="AX5" s="66"/>
      <c r="AY5" s="5"/>
      <c r="AZ5" s="5"/>
      <c r="BA5" s="5"/>
      <c r="BB5" s="66"/>
      <c r="BC5" s="5"/>
      <c r="BD5" s="5"/>
      <c r="BE5" s="5"/>
      <c r="BF5" s="5"/>
      <c r="BG5" s="66"/>
      <c r="BH5" s="66"/>
      <c r="BI5" s="66"/>
      <c r="BJ5" s="66"/>
      <c r="BK5" s="66"/>
      <c r="BL5" s="5"/>
      <c r="BM5" s="5"/>
      <c r="BN5" s="5"/>
      <c r="BO5" s="5"/>
      <c r="BP5" s="5"/>
      <c r="BQ5" s="66"/>
      <c r="BR5" s="66"/>
      <c r="BS5" s="5"/>
      <c r="BT5" s="66"/>
      <c r="BU5" s="66"/>
      <c r="BV5" s="5"/>
      <c r="BW5" s="5"/>
      <c r="BX5" s="5"/>
      <c r="BY5" s="5"/>
      <c r="BZ5" s="5"/>
      <c r="CA5" s="5"/>
      <c r="CB5" s="5"/>
      <c r="CC5" s="5"/>
      <c r="CD5" s="5"/>
      <c r="CE5" s="5"/>
    </row>
    <row r="6" spans="1:83" x14ac:dyDescent="0.2">
      <c r="A6">
        <v>8</v>
      </c>
      <c r="B6" t="s">
        <v>521</v>
      </c>
      <c r="E6" s="67"/>
      <c r="F6" s="5">
        <v>1.4000000000027371</v>
      </c>
      <c r="G6" s="5">
        <v>-2.5400000000049658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</row>
    <row r="7" spans="1:83" x14ac:dyDescent="0.2">
      <c r="A7">
        <v>9</v>
      </c>
      <c r="B7" t="s">
        <v>535</v>
      </c>
      <c r="E7" s="67"/>
      <c r="F7" s="5">
        <v>4.3210657062477397E-4</v>
      </c>
      <c r="G7" s="5">
        <v>-7.8396477813351851E-4</v>
      </c>
      <c r="H7" s="5">
        <v>-3.3903868319481133E-4</v>
      </c>
      <c r="I7" s="5">
        <v>1.6952554563871053E-3</v>
      </c>
      <c r="J7" s="5">
        <v>0</v>
      </c>
      <c r="K7" s="5">
        <v>0</v>
      </c>
      <c r="L7" s="5">
        <v>3.0136941024827002E-3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-6.5341703032352219E-2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</row>
    <row r="8" spans="1:83" x14ac:dyDescent="0.2">
      <c r="A8">
        <v>10</v>
      </c>
      <c r="B8" t="s">
        <v>538</v>
      </c>
      <c r="E8" s="67"/>
      <c r="F8" s="5">
        <v>12.047039389589274</v>
      </c>
      <c r="G8" s="5">
        <v>-21.856771463969114</v>
      </c>
      <c r="H8" s="5">
        <v>-10.185098047987747</v>
      </c>
      <c r="I8" s="5">
        <v>50.927780891156566</v>
      </c>
      <c r="J8" s="5">
        <v>0</v>
      </c>
      <c r="K8" s="5">
        <v>0</v>
      </c>
      <c r="L8" s="5">
        <v>90.534713122302492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394.24173059361055</v>
      </c>
      <c r="AG8" s="5">
        <v>0.99999999967030817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</row>
    <row r="9" spans="1:83" x14ac:dyDescent="0.2">
      <c r="A9">
        <v>11</v>
      </c>
      <c r="B9" t="s">
        <v>534</v>
      </c>
      <c r="E9" s="67"/>
      <c r="F9" s="5">
        <v>1.400000000586006</v>
      </c>
      <c r="G9" s="5">
        <v>-2.5400000010631825</v>
      </c>
      <c r="H9" s="5">
        <v>-2.2498872611665548</v>
      </c>
      <c r="I9" s="5">
        <v>11.249942310367079</v>
      </c>
      <c r="J9" s="5">
        <v>0</v>
      </c>
      <c r="K9" s="5">
        <v>0</v>
      </c>
      <c r="L9" s="5">
        <v>19.999110149703483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</row>
    <row r="10" spans="1:83" x14ac:dyDescent="0.2">
      <c r="A10">
        <v>12</v>
      </c>
      <c r="B10" t="s">
        <v>536</v>
      </c>
      <c r="E10" s="67"/>
      <c r="F10" s="5">
        <v>0.50848821297758673</v>
      </c>
      <c r="G10" s="5">
        <v>-0.92254290068790745</v>
      </c>
      <c r="H10" s="5">
        <v>-0.57800207162551676</v>
      </c>
      <c r="I10" s="5">
        <v>2.8901403520641455</v>
      </c>
      <c r="J10" s="5">
        <v>0</v>
      </c>
      <c r="K10" s="5">
        <v>0</v>
      </c>
      <c r="L10" s="5">
        <v>5.1378250353760677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429.24318926511114</v>
      </c>
      <c r="AI10" s="5">
        <v>0.99999999999999112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</row>
    <row r="11" spans="1:83" x14ac:dyDescent="0.2">
      <c r="A11">
        <v>13</v>
      </c>
      <c r="B11" t="s">
        <v>539</v>
      </c>
      <c r="E11" s="67"/>
      <c r="F11" s="5">
        <v>0.26710970298767506</v>
      </c>
      <c r="G11" s="5">
        <v>-0.48461331827763909</v>
      </c>
      <c r="H11" s="5">
        <v>-0.26535920635995169</v>
      </c>
      <c r="I11" s="5">
        <v>1.3268557116715973</v>
      </c>
      <c r="J11" s="5">
        <v>0</v>
      </c>
      <c r="K11" s="5">
        <v>0</v>
      </c>
      <c r="L11" s="5">
        <v>2.358761742790108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413.19794250768473</v>
      </c>
      <c r="AK11" s="5">
        <v>0.99999999999999556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</row>
    <row r="12" spans="1:83" x14ac:dyDescent="0.2">
      <c r="A12">
        <v>14</v>
      </c>
      <c r="B12" t="s">
        <v>537</v>
      </c>
      <c r="E12" s="67"/>
      <c r="F12" s="5">
        <v>0.84245505039810653</v>
      </c>
      <c r="G12" s="5">
        <v>-1.5284541628651362</v>
      </c>
      <c r="H12" s="5">
        <v>-0.27812045166724919</v>
      </c>
      <c r="I12" s="5">
        <v>1.3906648082916069</v>
      </c>
      <c r="J12" s="5">
        <v>0</v>
      </c>
      <c r="K12" s="5">
        <v>0</v>
      </c>
      <c r="L12" s="5">
        <v>2.4721956712153315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357.00986881470999</v>
      </c>
      <c r="AB12" s="5">
        <v>1.0534178949000772</v>
      </c>
      <c r="AC12" s="5">
        <v>1.0000000000000182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</row>
    <row r="13" spans="1:83" x14ac:dyDescent="0.2">
      <c r="A13">
        <v>15</v>
      </c>
      <c r="B13" t="s">
        <v>527</v>
      </c>
      <c r="E13" s="67"/>
      <c r="F13" s="5">
        <v>-3.2308009274557646E-2</v>
      </c>
      <c r="G13" s="5">
        <v>5.8615959683840306E-2</v>
      </c>
      <c r="H13" s="5">
        <v>7.5831769000448773E-2</v>
      </c>
      <c r="I13" s="5">
        <v>-0.25961660025611066</v>
      </c>
      <c r="J13" s="5">
        <v>-0.11956088292519353</v>
      </c>
      <c r="K13" s="5">
        <v>0</v>
      </c>
      <c r="L13" s="5">
        <v>-0.67406398732588713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24.076392785010352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</row>
    <row r="14" spans="1:83" x14ac:dyDescent="0.2">
      <c r="A14">
        <v>16</v>
      </c>
      <c r="B14" t="s">
        <v>523</v>
      </c>
      <c r="E14" s="67"/>
      <c r="F14" s="5">
        <v>3.800159460704469E-4</v>
      </c>
      <c r="G14" s="5">
        <v>-6.8945750215638221E-4</v>
      </c>
      <c r="H14" s="5">
        <v>-9.1013142541711864E-4</v>
      </c>
      <c r="I14" s="5">
        <v>3.053686749220168E-3</v>
      </c>
      <c r="J14" s="5">
        <v>1.4971541712368031E-3</v>
      </c>
      <c r="K14" s="5">
        <v>0</v>
      </c>
      <c r="L14" s="5">
        <v>8.0901029614405262E-3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-6.9662063992714088E-2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-1.52587890625E-5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</row>
    <row r="15" spans="1:83" x14ac:dyDescent="0.2">
      <c r="A15">
        <v>17</v>
      </c>
      <c r="B15" t="s">
        <v>526</v>
      </c>
      <c r="E15" s="67"/>
      <c r="F15" s="5">
        <v>12.086045244639662</v>
      </c>
      <c r="G15" s="5">
        <v>-21.92753922956053</v>
      </c>
      <c r="H15" s="5">
        <v>-29.477480423305245</v>
      </c>
      <c r="I15" s="5">
        <v>97.11950836338869</v>
      </c>
      <c r="J15" s="5">
        <v>50.275189132929746</v>
      </c>
      <c r="K15" s="5">
        <v>0</v>
      </c>
      <c r="L15" s="5">
        <v>262.02353360671987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1.4031622868060367E-6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573.4973172666505</v>
      </c>
      <c r="AG15" s="5">
        <v>0.99999999937790562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-3.0517578125E-5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</row>
    <row r="16" spans="1:83" x14ac:dyDescent="0.2">
      <c r="A16">
        <v>18</v>
      </c>
      <c r="B16" t="s">
        <v>522</v>
      </c>
      <c r="E16" s="66"/>
      <c r="F16" s="5">
        <v>1.4000000018127179</v>
      </c>
      <c r="G16" s="5">
        <v>-2.5400000032887884</v>
      </c>
      <c r="H16" s="5">
        <v>-4.4997447386212155</v>
      </c>
      <c r="I16" s="5">
        <v>11.249942320698327</v>
      </c>
      <c r="J16" s="5">
        <v>11.249942343885092</v>
      </c>
      <c r="K16" s="5">
        <v>0</v>
      </c>
      <c r="L16" s="5">
        <v>39.997958782808382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-1.9073486328125E-6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</row>
    <row r="17" spans="1:83" x14ac:dyDescent="0.2">
      <c r="A17">
        <v>19</v>
      </c>
      <c r="B17" t="s">
        <v>524</v>
      </c>
      <c r="E17" s="66"/>
      <c r="F17" s="5">
        <v>0.50848821335454797</v>
      </c>
      <c r="G17" s="5">
        <v>-0.92254290137182293</v>
      </c>
      <c r="H17" s="5">
        <v>-1.3951648975970476</v>
      </c>
      <c r="I17" s="5">
        <v>4.0860450453685502</v>
      </c>
      <c r="J17" s="5">
        <v>2.8901314911831077</v>
      </c>
      <c r="K17" s="5">
        <v>0</v>
      </c>
      <c r="L17" s="5">
        <v>12.401536206723222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609.23301711045497</v>
      </c>
      <c r="AI17" s="5">
        <v>0.99999999999996092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-1.9073486328125E-6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</row>
    <row r="18" spans="1:83" x14ac:dyDescent="0.2">
      <c r="A18">
        <v>20</v>
      </c>
      <c r="B18" t="s">
        <v>525</v>
      </c>
      <c r="E18" s="66"/>
      <c r="F18" s="5">
        <v>0.82826537181284621</v>
      </c>
      <c r="G18" s="5">
        <v>-1.5027100317175925</v>
      </c>
      <c r="H18" s="5">
        <v>-1.6910463534466316</v>
      </c>
      <c r="I18" s="5">
        <v>6.6556697476976323</v>
      </c>
      <c r="J18" s="5">
        <v>1.7999661844402319</v>
      </c>
      <c r="K18" s="5">
        <v>0</v>
      </c>
      <c r="L18" s="5">
        <v>15.03160804406798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549.52892028867791</v>
      </c>
      <c r="AB18" s="5">
        <v>1.0356749164077073</v>
      </c>
      <c r="AC18" s="5">
        <v>0</v>
      </c>
      <c r="AD18" s="5">
        <v>1.0000000000000142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</row>
    <row r="19" spans="1:83" x14ac:dyDescent="0.2">
      <c r="A19">
        <v>21</v>
      </c>
      <c r="B19" t="s">
        <v>533</v>
      </c>
      <c r="E19" s="66"/>
      <c r="F19" s="5">
        <v>-0.16402621801195214</v>
      </c>
      <c r="G19" s="5">
        <v>0.29759042410739889</v>
      </c>
      <c r="H19" s="5">
        <v>0.65780315541450851</v>
      </c>
      <c r="I19" s="5">
        <v>-1.3180610638104635</v>
      </c>
      <c r="J19" s="5">
        <v>-1.318061066668591</v>
      </c>
      <c r="K19" s="5">
        <v>-0.65305704422403899</v>
      </c>
      <c r="L19" s="5">
        <v>-5.8471723195181085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19.377031921620752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</row>
    <row r="20" spans="1:83" x14ac:dyDescent="0.2">
      <c r="A20">
        <v>22</v>
      </c>
      <c r="B20" t="s">
        <v>529</v>
      </c>
      <c r="E20" s="66"/>
      <c r="F20" s="5">
        <v>3.4126540485402199E-4</v>
      </c>
      <c r="G20" s="5">
        <v>-6.1915294880658276E-4</v>
      </c>
      <c r="H20" s="5">
        <v>-1.366547799276883E-3</v>
      </c>
      <c r="I20" s="5">
        <v>2.7422958496460493E-3</v>
      </c>
      <c r="J20" s="5">
        <v>2.7422136411031921E-3</v>
      </c>
      <c r="K20" s="5">
        <v>1.348644104178539E-3</v>
      </c>
      <c r="L20" s="5">
        <v>1.2147160439398341E-2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-7.3503072740388697E-2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1.6689300537109375E-6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</row>
    <row r="21" spans="1:83" x14ac:dyDescent="0.2">
      <c r="A21">
        <v>23</v>
      </c>
      <c r="B21" t="s">
        <v>532</v>
      </c>
      <c r="E21" s="66"/>
      <c r="F21" s="5">
        <v>12.100346176576581</v>
      </c>
      <c r="G21" s="5">
        <v>-21.953485206074657</v>
      </c>
      <c r="H21" s="5">
        <v>-48.874933299349408</v>
      </c>
      <c r="I21" s="5">
        <v>97.234425979261729</v>
      </c>
      <c r="J21" s="5">
        <v>97.234426194487853</v>
      </c>
      <c r="K21" s="5">
        <v>49.917941301409179</v>
      </c>
      <c r="L21" s="5">
        <v>434.44631507344457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2.1422401914605871E-6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753.10841977410018</v>
      </c>
      <c r="AG21" s="5">
        <v>0.99999999938518158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1.1322036476986077E-6</v>
      </c>
      <c r="AN21" s="5">
        <v>0</v>
      </c>
      <c r="AO21" s="5">
        <v>7.62939453125E-5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</row>
    <row r="22" spans="1:83" x14ac:dyDescent="0.2">
      <c r="A22">
        <v>24</v>
      </c>
      <c r="B22" t="s">
        <v>528</v>
      </c>
      <c r="E22" s="66"/>
      <c r="F22" s="5">
        <v>1.4000000022700607</v>
      </c>
      <c r="G22" s="5">
        <v>-2.5400000041185389</v>
      </c>
      <c r="H22" s="5">
        <v>-6.7496388977076798</v>
      </c>
      <c r="I22" s="5">
        <v>11.249942324413176</v>
      </c>
      <c r="J22" s="5">
        <v>11.249942350969793</v>
      </c>
      <c r="K22" s="5">
        <v>11.249942347613786</v>
      </c>
      <c r="L22" s="5">
        <v>59.997129500477058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-1.9073486328125E-6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</row>
    <row r="23" spans="1:83" x14ac:dyDescent="0.2">
      <c r="A23">
        <v>25</v>
      </c>
      <c r="B23" t="s">
        <v>530</v>
      </c>
      <c r="E23" s="66"/>
      <c r="F23" s="5">
        <v>0.50848821360253493</v>
      </c>
      <c r="G23" s="5">
        <v>-0.92254290182174192</v>
      </c>
      <c r="H23" s="5">
        <v>-2.2123379404455745</v>
      </c>
      <c r="I23" s="5">
        <v>4.0860450474221199</v>
      </c>
      <c r="J23" s="5">
        <v>4.0860450567047453</v>
      </c>
      <c r="K23" s="5">
        <v>2.890142420031645</v>
      </c>
      <c r="L23" s="5">
        <v>19.665337517021044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789.22509531462856</v>
      </c>
      <c r="AI23" s="5">
        <v>0.99999999999999289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</row>
    <row r="24" spans="1:83" x14ac:dyDescent="0.2">
      <c r="A24">
        <v>26</v>
      </c>
      <c r="B24" t="s">
        <v>531</v>
      </c>
      <c r="E24" s="66"/>
      <c r="F24" s="5">
        <v>0.81899715802488871</v>
      </c>
      <c r="G24" s="5">
        <v>-1.4858948438451551</v>
      </c>
      <c r="H24" s="5">
        <v>-3.0535712387213643</v>
      </c>
      <c r="I24" s="5">
        <v>6.5811934119107365</v>
      </c>
      <c r="J24" s="5">
        <v>6.5811934260985749</v>
      </c>
      <c r="K24" s="5">
        <v>2.1062368250014898</v>
      </c>
      <c r="L24" s="5">
        <v>27.143009582032846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736.84750043950044</v>
      </c>
      <c r="AB24" s="5">
        <v>1.0240858080160251</v>
      </c>
      <c r="AC24" s="5">
        <v>0</v>
      </c>
      <c r="AD24" s="5">
        <v>0</v>
      </c>
      <c r="AE24" s="5">
        <v>0.99999999999998579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</row>
    <row r="25" spans="1:83" x14ac:dyDescent="0.2">
      <c r="A25">
        <v>30</v>
      </c>
      <c r="B25" t="s">
        <v>592</v>
      </c>
      <c r="E25" s="5"/>
      <c r="F25" s="5">
        <v>1.400000000586006</v>
      </c>
      <c r="G25" s="5">
        <v>-2.5400000010631825</v>
      </c>
      <c r="H25" s="5">
        <v>-2.2498872611665548</v>
      </c>
      <c r="I25" s="5">
        <v>11.249942310367079</v>
      </c>
      <c r="J25" s="5">
        <v>0</v>
      </c>
      <c r="K25" s="5">
        <v>0</v>
      </c>
      <c r="L25" s="5">
        <v>19.999110149703483</v>
      </c>
      <c r="M25" s="5">
        <v>-1</v>
      </c>
      <c r="N25" s="5">
        <v>-0.99999999999878075</v>
      </c>
      <c r="O25" s="5">
        <v>-0.99999999999916445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</row>
    <row r="26" spans="1:83" x14ac:dyDescent="0.2">
      <c r="A26">
        <v>31</v>
      </c>
      <c r="B26" t="s">
        <v>593</v>
      </c>
      <c r="E26" s="5"/>
      <c r="F26" s="5">
        <v>1.4000000018127179</v>
      </c>
      <c r="G26" s="5">
        <v>-2.5400000032887884</v>
      </c>
      <c r="H26" s="5">
        <v>-4.4997447386212155</v>
      </c>
      <c r="I26" s="5">
        <v>11.249942320698327</v>
      </c>
      <c r="J26" s="5">
        <v>11.249942343885092</v>
      </c>
      <c r="K26" s="5">
        <v>0</v>
      </c>
      <c r="L26" s="5">
        <v>39.997958782808382</v>
      </c>
      <c r="M26" s="5">
        <v>0</v>
      </c>
      <c r="N26" s="5">
        <v>0</v>
      </c>
      <c r="O26" s="5">
        <v>0</v>
      </c>
      <c r="P26" s="5">
        <v>-1</v>
      </c>
      <c r="Q26" s="5">
        <v>-0.999999997295836</v>
      </c>
      <c r="R26" s="5">
        <v>-0.99999999733402367</v>
      </c>
      <c r="S26" s="5">
        <v>-0.9999999973318916</v>
      </c>
      <c r="T26" s="5">
        <v>-0.99999999731879496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-1.9073486328125E-6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</row>
    <row r="27" spans="1:83" x14ac:dyDescent="0.2">
      <c r="A27">
        <v>32</v>
      </c>
      <c r="B27" t="s">
        <v>594</v>
      </c>
      <c r="E27" s="5"/>
      <c r="F27" s="5">
        <v>1.4000000022700607</v>
      </c>
      <c r="G27" s="5">
        <v>-2.5400000041185389</v>
      </c>
      <c r="H27" s="5">
        <v>-6.7496388977076798</v>
      </c>
      <c r="I27" s="5">
        <v>11.249942324413176</v>
      </c>
      <c r="J27" s="5">
        <v>11.249942350969793</v>
      </c>
      <c r="K27" s="5">
        <v>11.249942347613786</v>
      </c>
      <c r="L27" s="5">
        <v>59.997129500477058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-1</v>
      </c>
      <c r="V27" s="5">
        <v>-1</v>
      </c>
      <c r="W27" s="5">
        <v>-1</v>
      </c>
      <c r="X27" s="5">
        <v>-0.99999999998801492</v>
      </c>
      <c r="Y27" s="5">
        <v>-0.99999999996479472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-1.9073486328125E-6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</row>
    <row r="28" spans="1:83" x14ac:dyDescent="0.2">
      <c r="A28">
        <v>69</v>
      </c>
      <c r="B28" t="s">
        <v>553</v>
      </c>
      <c r="E28" s="66"/>
      <c r="F28" s="5">
        <v>-3.6503238403299859E-2</v>
      </c>
      <c r="G28" s="5">
        <v>6.6227303960272613E-2</v>
      </c>
      <c r="H28" s="5">
        <v>0.19330854447911255</v>
      </c>
      <c r="I28" s="5">
        <v>-0.3693007667641432</v>
      </c>
      <c r="J28" s="5">
        <v>-0.27082140889575657</v>
      </c>
      <c r="K28" s="5">
        <v>-0.27603808123847923</v>
      </c>
      <c r="L28" s="5">
        <v>-1.7183079250202411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16.77713313447255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3.1510060538939101E-2</v>
      </c>
      <c r="AM28" s="5">
        <v>-6.6199037914968298E-2</v>
      </c>
      <c r="AN28" s="5">
        <v>0.28569628736954655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</row>
    <row r="29" spans="1:83" x14ac:dyDescent="0.2">
      <c r="A29">
        <v>70</v>
      </c>
      <c r="B29" t="s">
        <v>549</v>
      </c>
      <c r="E29" s="5"/>
      <c r="F29" s="5">
        <v>2.6782076741645937E-4</v>
      </c>
      <c r="G29" s="5">
        <v>-4.8590339231271924E-4</v>
      </c>
      <c r="H29" s="5">
        <v>-6.9888923471702431E-4</v>
      </c>
      <c r="I29" s="5">
        <v>1.8981642847599647E-3</v>
      </c>
      <c r="J29" s="5">
        <v>1.3109078526282176E-3</v>
      </c>
      <c r="K29" s="5">
        <v>1.3110057512108603E-3</v>
      </c>
      <c r="L29" s="5">
        <v>6.2123839506907919E-3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-5.0239837255596997E-2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-8.2923273876889757E-4</v>
      </c>
      <c r="AM29" s="5">
        <v>-6.1059541838961626E-4</v>
      </c>
      <c r="AN29" s="5">
        <v>0</v>
      </c>
      <c r="AO29" s="5">
        <v>0.28569602966308594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</row>
    <row r="30" spans="1:83" x14ac:dyDescent="0.2">
      <c r="A30">
        <v>71</v>
      </c>
      <c r="B30" t="s">
        <v>552</v>
      </c>
      <c r="E30" s="5"/>
      <c r="F30" s="5">
        <v>8.2281750127713789</v>
      </c>
      <c r="G30" s="5">
        <v>-14.928260380313787</v>
      </c>
      <c r="H30" s="5">
        <v>-23.724004913930752</v>
      </c>
      <c r="I30" s="5">
        <v>60.98159328891974</v>
      </c>
      <c r="J30" s="5">
        <v>8.3934608677154969</v>
      </c>
      <c r="K30" s="5">
        <v>8.3229015619640929</v>
      </c>
      <c r="L30" s="5">
        <v>210.88123879052728</v>
      </c>
      <c r="M30" s="5">
        <v>0</v>
      </c>
      <c r="N30" s="5">
        <v>0</v>
      </c>
      <c r="O30" s="5">
        <v>0</v>
      </c>
      <c r="P30" s="5">
        <v>0</v>
      </c>
      <c r="Q30" s="5">
        <v>2.2046201877401472E-6</v>
      </c>
      <c r="R30" s="5">
        <v>2.2044372585128258E-6</v>
      </c>
      <c r="S30" s="5">
        <v>2.2044770288921484E-6</v>
      </c>
      <c r="T30" s="5">
        <v>2.2045450528230638E-6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93.128701314919681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446.69053837750107</v>
      </c>
      <c r="AG30" s="5">
        <v>0.72602800708500581</v>
      </c>
      <c r="AH30" s="5">
        <v>0</v>
      </c>
      <c r="AI30" s="5">
        <v>0</v>
      </c>
      <c r="AJ30" s="5">
        <v>0</v>
      </c>
      <c r="AK30" s="5">
        <v>0</v>
      </c>
      <c r="AL30" s="5">
        <v>-58.304986482835091</v>
      </c>
      <c r="AM30" s="5">
        <v>70.093706083211302</v>
      </c>
      <c r="AN30" s="5">
        <v>0</v>
      </c>
      <c r="AO30" s="5">
        <v>1403.419921875</v>
      </c>
      <c r="AP30" s="5">
        <v>0.27397200249652187</v>
      </c>
      <c r="AQ30" s="5">
        <v>-8.4785390042937746E-6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</row>
    <row r="31" spans="1:83" x14ac:dyDescent="0.2">
      <c r="A31">
        <v>72</v>
      </c>
      <c r="B31" t="s">
        <v>548</v>
      </c>
      <c r="E31" s="5"/>
      <c r="F31" s="5">
        <v>0.34965346621887911</v>
      </c>
      <c r="G31" s="5">
        <v>-0.63437128871139503</v>
      </c>
      <c r="H31" s="5">
        <v>-1.1238223856026737</v>
      </c>
      <c r="I31" s="5">
        <v>2.8097009421895285</v>
      </c>
      <c r="J31" s="5">
        <v>2.0056765621109021</v>
      </c>
      <c r="K31" s="5">
        <v>2.0103295576023013</v>
      </c>
      <c r="L31" s="5">
        <v>9.9895892032992606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0.60706150056638197</v>
      </c>
      <c r="T31" s="5">
        <v>0.77686654987602655</v>
      </c>
      <c r="U31" s="5">
        <v>0</v>
      </c>
      <c r="V31" s="5">
        <v>0</v>
      </c>
      <c r="W31" s="5">
        <v>0</v>
      </c>
      <c r="X31" s="5">
        <v>0.82299067738300691</v>
      </c>
      <c r="Y31" s="5">
        <v>1.1470761539124212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-0.80402427164621537</v>
      </c>
      <c r="AM31" s="5">
        <v>-0.80402529872185291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</row>
    <row r="32" spans="1:83" x14ac:dyDescent="0.2">
      <c r="A32">
        <v>73</v>
      </c>
      <c r="B32" t="s">
        <v>550</v>
      </c>
      <c r="E32" s="5"/>
      <c r="F32" s="5">
        <v>0.4300602473975137</v>
      </c>
      <c r="G32" s="5">
        <v>-0.78025216313548917</v>
      </c>
      <c r="H32" s="5">
        <v>-1.8289515123986311</v>
      </c>
      <c r="I32" s="5">
        <v>3.4540461941779341</v>
      </c>
      <c r="J32" s="5">
        <v>3.0450509686820637</v>
      </c>
      <c r="K32" s="5">
        <v>3.0450243954533445</v>
      </c>
      <c r="L32" s="5">
        <v>16.257438864966161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658.21052880249044</v>
      </c>
      <c r="AI32" s="5">
        <v>0.84576246957789891</v>
      </c>
      <c r="AJ32" s="5">
        <v>0</v>
      </c>
      <c r="AK32" s="5">
        <v>0</v>
      </c>
      <c r="AL32" s="5">
        <v>-0.41328244496159605</v>
      </c>
      <c r="AM32" s="5">
        <v>-0.19216389996322375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0.15423753042213839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</row>
    <row r="33" spans="1:83" x14ac:dyDescent="0.2">
      <c r="A33">
        <v>74</v>
      </c>
      <c r="B33" t="s">
        <v>551</v>
      </c>
      <c r="E33" s="5"/>
      <c r="F33" s="5">
        <v>0.78339409372096425</v>
      </c>
      <c r="G33" s="5">
        <v>-1.4213007128937494</v>
      </c>
      <c r="H33" s="5">
        <v>-0.30391569992907097</v>
      </c>
      <c r="I33" s="5">
        <v>1.4533115533798553</v>
      </c>
      <c r="J33" s="5">
        <v>0.5081716075198186</v>
      </c>
      <c r="K33" s="5">
        <v>0.50819318851914419</v>
      </c>
      <c r="L33" s="5">
        <v>2.7014880718616325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338.32458608023808</v>
      </c>
      <c r="AB33" s="5">
        <v>0.97956722580825684</v>
      </c>
      <c r="AC33" s="5">
        <v>0.90012299088143877</v>
      </c>
      <c r="AD33" s="5">
        <v>2.8587715953882764E-2</v>
      </c>
      <c r="AE33" s="5">
        <v>1.712726861596181E-3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-2.1973607380573816</v>
      </c>
      <c r="AM33" s="5">
        <v>0.14914530497942657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0.19473119739685907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</row>
    <row r="34" spans="1:83" x14ac:dyDescent="0.2">
      <c r="A34">
        <v>75</v>
      </c>
      <c r="B34" t="s">
        <v>1503</v>
      </c>
      <c r="E34" s="5"/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</row>
    <row r="35" spans="1:83" x14ac:dyDescent="0.2">
      <c r="A35">
        <v>76</v>
      </c>
      <c r="B35" t="s">
        <v>1497</v>
      </c>
      <c r="E35" s="5"/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1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</row>
    <row r="36" spans="1:83" x14ac:dyDescent="0.2">
      <c r="A36">
        <v>77</v>
      </c>
      <c r="B36" t="s">
        <v>1501</v>
      </c>
      <c r="E36" s="5"/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1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</row>
    <row r="37" spans="1:83" x14ac:dyDescent="0.2">
      <c r="A37">
        <v>78</v>
      </c>
      <c r="B37" t="s">
        <v>1498</v>
      </c>
      <c r="E37" s="5"/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1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</row>
    <row r="38" spans="1:83" x14ac:dyDescent="0.2">
      <c r="A38">
        <v>79</v>
      </c>
      <c r="B38" t="s">
        <v>1499</v>
      </c>
      <c r="E38" s="5"/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1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</row>
    <row r="39" spans="1:83" x14ac:dyDescent="0.2">
      <c r="A39">
        <v>80</v>
      </c>
      <c r="B39" t="s">
        <v>1500</v>
      </c>
      <c r="E39" s="5"/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1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</row>
    <row r="40" spans="1:83" x14ac:dyDescent="0.2">
      <c r="A40">
        <v>81</v>
      </c>
      <c r="B40" t="s">
        <v>1502</v>
      </c>
      <c r="E40" s="66"/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1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</row>
    <row r="41" spans="1:83" x14ac:dyDescent="0.2">
      <c r="A41">
        <v>104</v>
      </c>
      <c r="B41" t="s">
        <v>1290</v>
      </c>
      <c r="E41" s="66"/>
      <c r="F41" s="5">
        <v>0</v>
      </c>
      <c r="G41" s="5">
        <v>0</v>
      </c>
      <c r="H41" s="5">
        <v>0</v>
      </c>
      <c r="I41" s="5">
        <v>6.8786562995113796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-6.8786562995058125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-1.3024944779242198</v>
      </c>
      <c r="AW41" s="5">
        <v>-9.668939651523524E-2</v>
      </c>
      <c r="AX41" s="5">
        <v>0</v>
      </c>
      <c r="AY41" s="5">
        <v>-55.006597678004489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</row>
    <row r="42" spans="1:83" x14ac:dyDescent="0.2">
      <c r="A42">
        <v>105</v>
      </c>
      <c r="B42" t="s">
        <v>1293</v>
      </c>
      <c r="E42" s="66"/>
      <c r="F42" s="5">
        <v>4.801391420211104E-4</v>
      </c>
      <c r="G42" s="5">
        <v>-8.7110958623830032E-4</v>
      </c>
      <c r="H42" s="5">
        <v>-3.767259133025156E-4</v>
      </c>
      <c r="I42" s="5">
        <v>4.2105439613674984E-3</v>
      </c>
      <c r="J42" s="5">
        <v>0</v>
      </c>
      <c r="K42" s="5">
        <v>0</v>
      </c>
      <c r="L42" s="5">
        <v>3.3486935840882914E-3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-7.2605027010698084E-2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-2.3268492782148893E-3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2.7971256697922066E-3</v>
      </c>
      <c r="AY42" s="5">
        <v>0</v>
      </c>
      <c r="AZ42" s="5">
        <v>-0.10701118955103084</v>
      </c>
      <c r="BA42" s="5">
        <v>-0.13895208517495128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</row>
    <row r="43" spans="1:83" x14ac:dyDescent="0.2">
      <c r="A43">
        <v>106</v>
      </c>
      <c r="B43" t="s">
        <v>1294</v>
      </c>
      <c r="E43" s="66"/>
      <c r="F43" s="5">
        <v>0.5859323287100705</v>
      </c>
      <c r="G43" s="5">
        <v>-1.0630486535168422</v>
      </c>
      <c r="H43" s="5">
        <v>-0.66603333407397547</v>
      </c>
      <c r="I43" s="5">
        <v>3.3684183651217148</v>
      </c>
      <c r="J43" s="5">
        <v>0</v>
      </c>
      <c r="K43" s="5">
        <v>0</v>
      </c>
      <c r="L43" s="5">
        <v>5.9203295389180539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494.61807579802189</v>
      </c>
      <c r="AI43" s="5">
        <v>1.1523026763565731</v>
      </c>
      <c r="AJ43" s="5">
        <v>0</v>
      </c>
      <c r="AK43" s="5">
        <v>0</v>
      </c>
      <c r="AL43" s="5">
        <v>-3.8101889546870236E-2</v>
      </c>
      <c r="AM43" s="5">
        <v>0</v>
      </c>
      <c r="AN43" s="5">
        <v>0</v>
      </c>
      <c r="AO43" s="5">
        <v>-1.1920928955078125E-6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-0.31224972743246315</v>
      </c>
      <c r="AY43" s="5">
        <v>0</v>
      </c>
      <c r="AZ43" s="5">
        <v>3.810190234798938E-2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-0.15230267635659889</v>
      </c>
      <c r="BG43" s="5">
        <v>1.1523026763565838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</row>
    <row r="44" spans="1:83" x14ac:dyDescent="0.2">
      <c r="A44">
        <v>107</v>
      </c>
      <c r="B44" t="s">
        <v>1296</v>
      </c>
      <c r="E44" s="66"/>
      <c r="F44" s="5">
        <v>0.31144187484824015</v>
      </c>
      <c r="G44" s="5">
        <v>-0.56504454436752138</v>
      </c>
      <c r="H44" s="5">
        <v>-0.30940084846267346</v>
      </c>
      <c r="I44" s="5">
        <v>1.6241737543096362</v>
      </c>
      <c r="J44" s="5">
        <v>0</v>
      </c>
      <c r="K44" s="5">
        <v>0</v>
      </c>
      <c r="L44" s="5">
        <v>2.7502452036678449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481.77636551029377</v>
      </c>
      <c r="AK44" s="5">
        <v>1.1659699043669165</v>
      </c>
      <c r="AL44" s="5">
        <v>-7.7099921077941516E-2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-0.6319051018908427</v>
      </c>
      <c r="AY44" s="5">
        <v>0</v>
      </c>
      <c r="AZ44" s="5">
        <v>7.7099927042581839E-2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-0.16596990436691561</v>
      </c>
      <c r="BI44" s="5">
        <v>1.1659699043669178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</row>
    <row r="45" spans="1:83" x14ac:dyDescent="0.2">
      <c r="A45">
        <v>108</v>
      </c>
      <c r="B45" t="s">
        <v>1295</v>
      </c>
      <c r="E45" s="66"/>
      <c r="F45" s="5">
        <v>1.7318697238829375</v>
      </c>
      <c r="G45" s="5">
        <v>-3.142106499044758</v>
      </c>
      <c r="H45" s="5">
        <v>-0.57174372639480775</v>
      </c>
      <c r="I45" s="5">
        <v>0.34493282635626432</v>
      </c>
      <c r="J45" s="5">
        <v>0</v>
      </c>
      <c r="K45" s="5">
        <v>0</v>
      </c>
      <c r="L45" s="5">
        <v>5.08219498769148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733.91996716725953</v>
      </c>
      <c r="AB45" s="5">
        <v>2.1655547769737318</v>
      </c>
      <c r="AC45" s="5">
        <v>2.0557413989812447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2.5139144033854128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20.605753510660705</v>
      </c>
      <c r="AY45" s="5">
        <v>0</v>
      </c>
      <c r="AZ45" s="5">
        <v>-2.5139143920969218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-1.1414764158778326</v>
      </c>
      <c r="BK45" s="5">
        <v>2.0557413989810129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</row>
    <row r="46" spans="1:83" x14ac:dyDescent="0.2">
      <c r="A46">
        <v>122</v>
      </c>
      <c r="B46" t="s">
        <v>1287</v>
      </c>
      <c r="E46" s="66"/>
      <c r="F46" s="5">
        <v>4.0546799897146359E-2</v>
      </c>
      <c r="G46" s="5">
        <v>-7.3563479813394117E-2</v>
      </c>
      <c r="H46" s="5">
        <v>-0.11164609465412423</v>
      </c>
      <c r="I46" s="5">
        <v>0.33254949372699888</v>
      </c>
      <c r="J46" s="5">
        <v>2.0573459367969624</v>
      </c>
      <c r="K46" s="5">
        <v>2.2523246632033511</v>
      </c>
      <c r="L46" s="5">
        <v>0.99241534230587547</v>
      </c>
      <c r="M46" s="5">
        <v>0</v>
      </c>
      <c r="N46" s="5">
        <v>0</v>
      </c>
      <c r="O46" s="5">
        <v>0</v>
      </c>
      <c r="P46" s="5">
        <v>0</v>
      </c>
      <c r="Q46" s="5">
        <v>1.4125120226479659E-2</v>
      </c>
      <c r="R46" s="5">
        <v>1.4125120225528837E-2</v>
      </c>
      <c r="S46" s="5">
        <v>1.4125120225176566E-2</v>
      </c>
      <c r="T46" s="5">
        <v>1.4125120224255869E-2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0.50219914542241817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1.3730648689634108</v>
      </c>
      <c r="AG46" s="5">
        <v>1.9745635743753098E-3</v>
      </c>
      <c r="AH46" s="5">
        <v>0</v>
      </c>
      <c r="AI46" s="5">
        <v>0</v>
      </c>
      <c r="AJ46" s="5">
        <v>0</v>
      </c>
      <c r="AK46" s="5">
        <v>0</v>
      </c>
      <c r="AL46" s="5">
        <v>1.7655864443382865</v>
      </c>
      <c r="AM46" s="5">
        <v>2.5158426874806707</v>
      </c>
      <c r="AN46" s="5">
        <v>0</v>
      </c>
      <c r="AO46" s="5">
        <v>7.5679779052734375</v>
      </c>
      <c r="AP46" s="5">
        <v>1.2096759186270845E-3</v>
      </c>
      <c r="AQ46" s="5">
        <v>0.11200698685066464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-2.835013885129297</v>
      </c>
      <c r="BM46" s="5">
        <v>-0.21045446738891521</v>
      </c>
      <c r="BN46" s="5">
        <v>0</v>
      </c>
      <c r="BO46" s="5">
        <v>-119.72754649739471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</row>
    <row r="47" spans="1:83" x14ac:dyDescent="0.2">
      <c r="A47">
        <v>123</v>
      </c>
      <c r="B47" t="s">
        <v>1300</v>
      </c>
      <c r="E47" s="66"/>
      <c r="F47" s="5">
        <v>-4.4107537905514263E-2</v>
      </c>
      <c r="G47" s="5">
        <v>8.0023675914290174E-2</v>
      </c>
      <c r="H47" s="5">
        <v>0.23357828861633897</v>
      </c>
      <c r="I47" s="5">
        <v>-0.44623294488759618</v>
      </c>
      <c r="J47" s="5">
        <v>-0.36284866452828718</v>
      </c>
      <c r="K47" s="5">
        <v>-0.36915206596375177</v>
      </c>
      <c r="L47" s="5">
        <v>-2.0762632377353327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20.272120189451215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2.4640408477536995E-3</v>
      </c>
      <c r="AM47" s="5">
        <v>-0.11559966721855791</v>
      </c>
      <c r="AN47" s="5">
        <v>0.34521210678622083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0.20655080631424991</v>
      </c>
      <c r="BO47" s="5">
        <v>0</v>
      </c>
      <c r="BP47" s="5">
        <v>-3.5610150174761657E-2</v>
      </c>
      <c r="BQ47" s="5">
        <v>0</v>
      </c>
      <c r="BR47" s="5">
        <v>-0.20831843009659679</v>
      </c>
      <c r="BS47" s="5">
        <v>-1.2083184908115072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</row>
    <row r="48" spans="1:83" x14ac:dyDescent="0.2">
      <c r="A48">
        <v>124</v>
      </c>
      <c r="B48" t="s">
        <v>1297</v>
      </c>
      <c r="E48" s="66"/>
      <c r="F48" s="5">
        <v>3.1245438479755232E-4</v>
      </c>
      <c r="G48" s="5">
        <v>-5.668815267041307E-4</v>
      </c>
      <c r="H48" s="5">
        <v>-8.1536248255090617E-4</v>
      </c>
      <c r="I48" s="5">
        <v>2.2145024803309401E-3</v>
      </c>
      <c r="J48" s="5">
        <v>1.8993250369367352E-3</v>
      </c>
      <c r="K48" s="5">
        <v>1.8994392485073822E-3</v>
      </c>
      <c r="L48" s="5">
        <v>7.2477075750717601E-3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-5.8612547528618199E-2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-5.9748027216147863E-4</v>
      </c>
      <c r="AM48" s="5">
        <v>-3.4240601591726996E-4</v>
      </c>
      <c r="AN48" s="5">
        <v>0</v>
      </c>
      <c r="AO48" s="5">
        <v>0.3333134651184082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1.3260702467946569E-3</v>
      </c>
      <c r="BO48" s="5">
        <v>0</v>
      </c>
      <c r="BP48" s="5">
        <v>-1.6989558786519865E-2</v>
      </c>
      <c r="BQ48" s="5">
        <v>-0.20831843009723627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</row>
    <row r="49" spans="1:83" x14ac:dyDescent="0.2">
      <c r="A49">
        <v>125</v>
      </c>
      <c r="B49" t="s">
        <v>1298</v>
      </c>
      <c r="E49" s="66"/>
      <c r="F49" s="5">
        <v>0.43089726281048374</v>
      </c>
      <c r="G49" s="5">
        <v>-0.78177074824187776</v>
      </c>
      <c r="H49" s="5">
        <v>-1.8325111545405823</v>
      </c>
      <c r="I49" s="5">
        <v>3.4607687171948127</v>
      </c>
      <c r="J49" s="5">
        <v>2.9677629658096927</v>
      </c>
      <c r="K49" s="5">
        <v>2.9677363413708013</v>
      </c>
      <c r="L49" s="5">
        <v>16.289080307678432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659.49158723981964</v>
      </c>
      <c r="AI49" s="5">
        <v>0.84740855559476813</v>
      </c>
      <c r="AJ49" s="5">
        <v>0</v>
      </c>
      <c r="AK49" s="5">
        <v>0</v>
      </c>
      <c r="AL49" s="5">
        <v>-0.49730131316123344</v>
      </c>
      <c r="AM49" s="5">
        <v>-0.27575240533962919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0.15453771901084057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0.48267262823168572</v>
      </c>
      <c r="BO49" s="5">
        <v>0</v>
      </c>
      <c r="BP49" s="5">
        <v>-8.321451257870649E-2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-1.9462746056748276E-3</v>
      </c>
      <c r="CC49" s="5">
        <v>1.0019462746057286</v>
      </c>
      <c r="CD49" s="5">
        <v>0</v>
      </c>
      <c r="CE49" s="5">
        <v>0</v>
      </c>
    </row>
    <row r="50" spans="1:83" x14ac:dyDescent="0.2">
      <c r="A50">
        <v>126</v>
      </c>
      <c r="B50" t="s">
        <v>1299</v>
      </c>
      <c r="E50" s="5"/>
      <c r="F50" s="5">
        <v>1.749407639637341</v>
      </c>
      <c r="G50" s="5">
        <v>-3.1739252890563185</v>
      </c>
      <c r="H50" s="5">
        <v>-0.67867814237499724</v>
      </c>
      <c r="I50" s="5">
        <v>3.2454091200971522</v>
      </c>
      <c r="J50" s="5">
        <v>0.66625749264461387</v>
      </c>
      <c r="K50" s="5">
        <v>0.66630568832520576</v>
      </c>
      <c r="L50" s="5">
        <v>6.032728505592786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755.51707648528463</v>
      </c>
      <c r="AB50" s="5">
        <v>2.1874844368772379</v>
      </c>
      <c r="AC50" s="5">
        <v>2.0100764724992448</v>
      </c>
      <c r="AD50" s="5">
        <v>6.3839603946934886E-2</v>
      </c>
      <c r="AE50" s="5">
        <v>3.8247128483384074E-3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-5.3755023141549332</v>
      </c>
      <c r="AM50" s="5">
        <v>-0.1354888216550276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0.43485679436511537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2.7177350941914189</v>
      </c>
      <c r="BO50" s="5">
        <v>0</v>
      </c>
      <c r="BP50" s="5">
        <v>-0.46854722002535709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-1.3146046186183469</v>
      </c>
      <c r="CE50" s="5">
        <v>2.2331131332740028</v>
      </c>
    </row>
  </sheetData>
  <sortState xmlns:xlrd2="http://schemas.microsoft.com/office/spreadsheetml/2017/richdata2" columnSort="1" ref="F1:CE50">
    <sortCondition ref="F1:CE1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24"/>
  <dimension ref="A1:EWY12054"/>
  <sheetViews>
    <sheetView workbookViewId="0"/>
  </sheetViews>
  <sheetFormatPr defaultRowHeight="12.75" x14ac:dyDescent="0.2"/>
  <cols>
    <col min="2" max="2" width="45.7109375" customWidth="1"/>
  </cols>
  <sheetData>
    <row r="1" spans="1:172" ht="15" x14ac:dyDescent="0.25">
      <c r="B1" s="31"/>
    </row>
    <row r="4" spans="1:172" ht="25.5" x14ac:dyDescent="0.25">
      <c r="B4" t="s">
        <v>116</v>
      </c>
      <c r="C4" s="13" t="s">
        <v>512</v>
      </c>
      <c r="D4" s="13" t="s">
        <v>513</v>
      </c>
      <c r="E4" s="13" t="s">
        <v>514</v>
      </c>
      <c r="F4" s="13" t="s">
        <v>515</v>
      </c>
      <c r="G4" s="13" t="s">
        <v>516</v>
      </c>
      <c r="H4" s="13" t="s">
        <v>517</v>
      </c>
      <c r="I4" s="13" t="s">
        <v>519</v>
      </c>
      <c r="J4" s="13" t="s">
        <v>520</v>
      </c>
      <c r="K4" s="13" t="s">
        <v>564</v>
      </c>
      <c r="L4" s="13" t="s">
        <v>565</v>
      </c>
      <c r="M4" s="13" t="s">
        <v>566</v>
      </c>
      <c r="N4" s="13" t="s">
        <v>567</v>
      </c>
      <c r="O4" s="13" t="s">
        <v>568</v>
      </c>
      <c r="P4" s="13" t="s">
        <v>569</v>
      </c>
      <c r="Q4" s="13" t="s">
        <v>570</v>
      </c>
      <c r="R4" s="13" t="s">
        <v>571</v>
      </c>
      <c r="S4" s="13" t="s">
        <v>572</v>
      </c>
      <c r="T4" s="13" t="s">
        <v>573</v>
      </c>
      <c r="U4" s="13" t="s">
        <v>574</v>
      </c>
      <c r="V4" s="13" t="s">
        <v>575</v>
      </c>
      <c r="W4" s="13" t="s">
        <v>576</v>
      </c>
      <c r="X4" s="13" t="s">
        <v>577</v>
      </c>
      <c r="Y4" s="13" t="s">
        <v>578</v>
      </c>
      <c r="Z4" s="13" t="s">
        <v>579</v>
      </c>
      <c r="AA4" s="13" t="s">
        <v>580</v>
      </c>
      <c r="AB4" s="13" t="s">
        <v>581</v>
      </c>
      <c r="AC4" s="13" t="s">
        <v>582</v>
      </c>
      <c r="AD4" s="13" t="s">
        <v>583</v>
      </c>
      <c r="AE4" s="13" t="s">
        <v>584</v>
      </c>
      <c r="AF4" s="13" t="s">
        <v>585</v>
      </c>
      <c r="AG4" s="13" t="s">
        <v>586</v>
      </c>
      <c r="AH4" s="13" t="s">
        <v>587</v>
      </c>
      <c r="AI4" s="13" t="s">
        <v>588</v>
      </c>
      <c r="AJ4" s="13" t="s">
        <v>623</v>
      </c>
      <c r="AK4" s="13" t="s">
        <v>624</v>
      </c>
      <c r="AL4" s="13" t="s">
        <v>625</v>
      </c>
      <c r="AM4" s="13" t="s">
        <v>626</v>
      </c>
      <c r="AN4" s="13" t="s">
        <v>627</v>
      </c>
      <c r="AO4" s="13" t="s">
        <v>628</v>
      </c>
      <c r="AP4" s="13" t="s">
        <v>629</v>
      </c>
      <c r="AQ4" s="13" t="s">
        <v>630</v>
      </c>
      <c r="AR4" s="13" t="s">
        <v>1763</v>
      </c>
      <c r="AS4" s="13" t="s">
        <v>631</v>
      </c>
      <c r="AT4" s="13" t="s">
        <v>632</v>
      </c>
      <c r="AU4" s="13" t="s">
        <v>633</v>
      </c>
      <c r="AV4" s="13" t="s">
        <v>634</v>
      </c>
      <c r="AW4" s="13" t="s">
        <v>1764</v>
      </c>
      <c r="AX4" s="13" t="s">
        <v>635</v>
      </c>
      <c r="AY4" s="13" t="s">
        <v>636</v>
      </c>
      <c r="AZ4" s="13" t="s">
        <v>637</v>
      </c>
      <c r="BA4" s="13" t="s">
        <v>638</v>
      </c>
      <c r="BB4" s="13" t="s">
        <v>639</v>
      </c>
      <c r="BC4" s="13" t="s">
        <v>1765</v>
      </c>
      <c r="BD4" s="13" t="s">
        <v>640</v>
      </c>
      <c r="BE4" s="13" t="s">
        <v>641</v>
      </c>
      <c r="BF4" s="13" t="s">
        <v>642</v>
      </c>
      <c r="BG4" s="13" t="s">
        <v>1766</v>
      </c>
      <c r="BH4" s="13" t="s">
        <v>643</v>
      </c>
      <c r="BI4" s="13" t="s">
        <v>644</v>
      </c>
      <c r="BJ4" s="13" t="s">
        <v>645</v>
      </c>
      <c r="BK4" s="13" t="s">
        <v>646</v>
      </c>
      <c r="BL4" s="60" t="s">
        <v>647</v>
      </c>
      <c r="BM4" s="60" t="s">
        <v>648</v>
      </c>
      <c r="BN4" s="60" t="s">
        <v>649</v>
      </c>
      <c r="BO4" s="13" t="s">
        <v>650</v>
      </c>
      <c r="BP4" s="13" t="s">
        <v>651</v>
      </c>
      <c r="BQ4" s="13" t="s">
        <v>652</v>
      </c>
      <c r="BR4" s="13" t="s">
        <v>653</v>
      </c>
      <c r="BS4" s="13" t="s">
        <v>654</v>
      </c>
      <c r="BT4" s="13" t="s">
        <v>655</v>
      </c>
      <c r="BU4" s="13" t="s">
        <v>656</v>
      </c>
      <c r="BV4" s="13" t="s">
        <v>657</v>
      </c>
      <c r="BW4" s="13" t="s">
        <v>554</v>
      </c>
      <c r="BX4" s="13" t="s">
        <v>555</v>
      </c>
      <c r="BY4" s="13" t="s">
        <v>662</v>
      </c>
      <c r="BZ4" s="13" t="s">
        <v>663</v>
      </c>
      <c r="CA4" s="13" t="s">
        <v>664</v>
      </c>
      <c r="CB4" s="13" t="s">
        <v>665</v>
      </c>
      <c r="CC4" s="13" t="s">
        <v>1512</v>
      </c>
      <c r="CD4" s="13" t="s">
        <v>547</v>
      </c>
      <c r="CE4" s="13" t="s">
        <v>1496</v>
      </c>
      <c r="CF4" s="13" t="s">
        <v>666</v>
      </c>
      <c r="CG4" s="13" t="s">
        <v>667</v>
      </c>
      <c r="CH4" s="13" t="s">
        <v>668</v>
      </c>
      <c r="CI4" s="13" t="s">
        <v>669</v>
      </c>
      <c r="CJ4" s="13" t="s">
        <v>670</v>
      </c>
      <c r="CK4" s="13" t="s">
        <v>671</v>
      </c>
      <c r="CL4" s="13" t="s">
        <v>1513</v>
      </c>
      <c r="CM4" s="13" t="s">
        <v>1514</v>
      </c>
      <c r="CN4" s="13" t="s">
        <v>1515</v>
      </c>
      <c r="CO4" s="13" t="s">
        <v>1516</v>
      </c>
      <c r="CP4" s="13" t="s">
        <v>1517</v>
      </c>
      <c r="CQ4" s="13" t="s">
        <v>1518</v>
      </c>
      <c r="CR4" s="13" t="s">
        <v>1519</v>
      </c>
      <c r="CS4" s="13" t="s">
        <v>546</v>
      </c>
      <c r="CT4" s="13" t="s">
        <v>1524</v>
      </c>
      <c r="CU4" s="13" t="s">
        <v>683</v>
      </c>
      <c r="CV4" s="13" t="s">
        <v>1525</v>
      </c>
      <c r="CW4" s="13" t="s">
        <v>1526</v>
      </c>
      <c r="CX4" s="13" t="s">
        <v>1527</v>
      </c>
      <c r="CY4" s="13" t="s">
        <v>1769</v>
      </c>
      <c r="CZ4" s="13" t="s">
        <v>684</v>
      </c>
      <c r="DA4" s="13" t="s">
        <v>685</v>
      </c>
      <c r="DB4" s="13" t="s">
        <v>686</v>
      </c>
      <c r="DC4" s="13" t="s">
        <v>1770</v>
      </c>
      <c r="DD4" s="13" t="s">
        <v>1306</v>
      </c>
      <c r="DE4" s="13" t="s">
        <v>1276</v>
      </c>
      <c r="DF4" s="13" t="s">
        <v>1277</v>
      </c>
      <c r="DG4" s="13" t="s">
        <v>1307</v>
      </c>
      <c r="DH4" s="13" t="s">
        <v>1308</v>
      </c>
      <c r="DI4" s="13" t="s">
        <v>1309</v>
      </c>
      <c r="DJ4" s="13" t="s">
        <v>1288</v>
      </c>
      <c r="DK4" s="13" t="s">
        <v>1289</v>
      </c>
      <c r="DL4" s="13" t="s">
        <v>1291</v>
      </c>
      <c r="DM4" s="13" t="s">
        <v>1292</v>
      </c>
      <c r="DN4" s="13" t="s">
        <v>1320</v>
      </c>
      <c r="DO4" s="13" t="s">
        <v>1329</v>
      </c>
      <c r="DP4" s="13" t="s">
        <v>1335</v>
      </c>
      <c r="DQ4" s="13" t="s">
        <v>1332</v>
      </c>
      <c r="DR4" s="13" t="s">
        <v>1318</v>
      </c>
      <c r="DS4" s="13" t="s">
        <v>1319</v>
      </c>
      <c r="DT4" s="13" t="s">
        <v>1321</v>
      </c>
      <c r="DU4" s="13" t="s">
        <v>1322</v>
      </c>
      <c r="DV4" s="13" t="s">
        <v>1323</v>
      </c>
      <c r="DW4" s="13" t="s">
        <v>1324</v>
      </c>
      <c r="DX4" s="13" t="s">
        <v>1325</v>
      </c>
      <c r="DY4" s="13" t="s">
        <v>1326</v>
      </c>
      <c r="DZ4" s="13" t="s">
        <v>1327</v>
      </c>
      <c r="EA4" s="13" t="s">
        <v>1328</v>
      </c>
      <c r="EB4" s="13" t="s">
        <v>1330</v>
      </c>
      <c r="EC4" s="13" t="s">
        <v>1331</v>
      </c>
      <c r="ED4" s="13" t="s">
        <v>1333</v>
      </c>
      <c r="EE4" s="13" t="s">
        <v>1334</v>
      </c>
      <c r="EF4" s="13" t="s">
        <v>1336</v>
      </c>
      <c r="EG4" s="13" t="s">
        <v>1533</v>
      </c>
      <c r="EH4" s="13" t="s">
        <v>1505</v>
      </c>
      <c r="EI4" s="13" t="s">
        <v>1506</v>
      </c>
      <c r="EJ4" s="13" t="s">
        <v>1534</v>
      </c>
      <c r="EK4" s="13" t="s">
        <v>1535</v>
      </c>
      <c r="EL4" s="13" t="s">
        <v>1536</v>
      </c>
      <c r="EM4" s="13" t="s">
        <v>1283</v>
      </c>
      <c r="EN4" s="13" t="s">
        <v>1284</v>
      </c>
      <c r="EO4" s="13" t="s">
        <v>1285</v>
      </c>
      <c r="EP4" s="13" t="s">
        <v>1286</v>
      </c>
      <c r="EQ4" s="13" t="s">
        <v>1550</v>
      </c>
      <c r="ER4" s="13" t="s">
        <v>1548</v>
      </c>
      <c r="ES4" s="13" t="s">
        <v>1563</v>
      </c>
      <c r="ET4" s="13" t="s">
        <v>1566</v>
      </c>
      <c r="EU4" s="13" t="s">
        <v>1546</v>
      </c>
      <c r="EV4" s="13" t="s">
        <v>1547</v>
      </c>
      <c r="EW4" s="13" t="s">
        <v>1549</v>
      </c>
      <c r="EX4" s="13" t="s">
        <v>1551</v>
      </c>
      <c r="EY4" s="13" t="s">
        <v>1552</v>
      </c>
      <c r="EZ4" s="13" t="s">
        <v>1553</v>
      </c>
      <c r="FA4" s="13" t="s">
        <v>1554</v>
      </c>
      <c r="FB4" s="13" t="s">
        <v>1555</v>
      </c>
      <c r="FC4" s="13" t="s">
        <v>1556</v>
      </c>
      <c r="FD4" s="13" t="s">
        <v>1557</v>
      </c>
      <c r="FE4" s="13" t="s">
        <v>1558</v>
      </c>
      <c r="FF4" s="13" t="s">
        <v>1559</v>
      </c>
      <c r="FG4" s="13" t="s">
        <v>1560</v>
      </c>
      <c r="FH4" s="13" t="s">
        <v>1561</v>
      </c>
      <c r="FI4" s="13" t="s">
        <v>1772</v>
      </c>
      <c r="FJ4" s="13" t="s">
        <v>1773</v>
      </c>
      <c r="FK4" s="13" t="s">
        <v>1774</v>
      </c>
      <c r="FL4" s="13" t="s">
        <v>1562</v>
      </c>
      <c r="FM4" s="13" t="s">
        <v>1564</v>
      </c>
      <c r="FN4" s="13" t="s">
        <v>1565</v>
      </c>
      <c r="FO4" s="13" t="s">
        <v>1567</v>
      </c>
      <c r="FP4" s="13"/>
    </row>
    <row r="5" spans="1:172" x14ac:dyDescent="0.2">
      <c r="B5" t="s">
        <v>117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  <c r="BE5">
        <v>55</v>
      </c>
      <c r="BF5">
        <v>56</v>
      </c>
      <c r="BG5">
        <v>57</v>
      </c>
      <c r="BH5">
        <v>58</v>
      </c>
      <c r="BI5">
        <v>59</v>
      </c>
      <c r="BJ5">
        <v>60</v>
      </c>
      <c r="BK5">
        <v>61</v>
      </c>
      <c r="BL5">
        <v>62</v>
      </c>
      <c r="BM5">
        <v>63</v>
      </c>
      <c r="BN5">
        <v>64</v>
      </c>
      <c r="BO5">
        <v>65</v>
      </c>
      <c r="BP5">
        <v>66</v>
      </c>
      <c r="BQ5">
        <v>67</v>
      </c>
      <c r="BR5">
        <v>68</v>
      </c>
      <c r="BS5">
        <v>69</v>
      </c>
      <c r="BT5">
        <v>70</v>
      </c>
      <c r="BU5">
        <v>71</v>
      </c>
      <c r="BV5">
        <v>72</v>
      </c>
      <c r="BW5">
        <v>73</v>
      </c>
      <c r="BX5">
        <v>74</v>
      </c>
      <c r="BY5">
        <v>75</v>
      </c>
      <c r="BZ5">
        <v>76</v>
      </c>
      <c r="CA5">
        <v>77</v>
      </c>
      <c r="CB5">
        <v>78</v>
      </c>
      <c r="CC5">
        <v>79</v>
      </c>
      <c r="CD5">
        <v>80</v>
      </c>
      <c r="CE5">
        <v>81</v>
      </c>
      <c r="CF5">
        <v>82</v>
      </c>
      <c r="CG5">
        <v>83</v>
      </c>
      <c r="CH5">
        <v>84</v>
      </c>
      <c r="CI5">
        <v>85</v>
      </c>
      <c r="CJ5">
        <v>86</v>
      </c>
      <c r="CK5">
        <v>87</v>
      </c>
      <c r="CL5">
        <v>88</v>
      </c>
      <c r="CM5">
        <v>89</v>
      </c>
      <c r="CN5">
        <v>90</v>
      </c>
      <c r="CO5">
        <v>91</v>
      </c>
      <c r="CP5">
        <v>92</v>
      </c>
      <c r="CQ5">
        <v>93</v>
      </c>
      <c r="CR5">
        <v>94</v>
      </c>
      <c r="CS5">
        <v>95</v>
      </c>
      <c r="CT5">
        <v>96</v>
      </c>
      <c r="CU5">
        <v>97</v>
      </c>
      <c r="CV5">
        <v>98</v>
      </c>
      <c r="CW5">
        <v>99</v>
      </c>
      <c r="CX5">
        <v>100</v>
      </c>
      <c r="CY5">
        <v>101</v>
      </c>
      <c r="CZ5">
        <v>102</v>
      </c>
      <c r="DA5">
        <v>103</v>
      </c>
      <c r="DB5">
        <v>104</v>
      </c>
      <c r="DC5">
        <v>105</v>
      </c>
      <c r="DD5">
        <v>106</v>
      </c>
      <c r="DE5">
        <v>107</v>
      </c>
      <c r="DF5">
        <v>108</v>
      </c>
      <c r="DG5">
        <v>109</v>
      </c>
      <c r="DH5">
        <v>110</v>
      </c>
      <c r="DI5">
        <v>111</v>
      </c>
      <c r="DJ5">
        <v>112</v>
      </c>
      <c r="DK5">
        <v>113</v>
      </c>
      <c r="DL5">
        <v>114</v>
      </c>
      <c r="DM5">
        <v>115</v>
      </c>
      <c r="DN5">
        <v>116</v>
      </c>
      <c r="DO5">
        <v>117</v>
      </c>
      <c r="DP5">
        <v>118</v>
      </c>
      <c r="DQ5">
        <v>119</v>
      </c>
      <c r="DR5">
        <v>120</v>
      </c>
      <c r="DS5">
        <v>121</v>
      </c>
      <c r="DT5">
        <v>122</v>
      </c>
      <c r="DU5">
        <v>123</v>
      </c>
      <c r="DV5">
        <v>124</v>
      </c>
      <c r="DW5">
        <v>125</v>
      </c>
      <c r="DX5">
        <v>126</v>
      </c>
      <c r="DY5">
        <v>127</v>
      </c>
      <c r="DZ5">
        <v>128</v>
      </c>
      <c r="EA5">
        <v>129</v>
      </c>
      <c r="EB5">
        <v>130</v>
      </c>
      <c r="EC5">
        <v>131</v>
      </c>
      <c r="ED5">
        <v>132</v>
      </c>
      <c r="EE5">
        <v>133</v>
      </c>
      <c r="EF5">
        <v>134</v>
      </c>
      <c r="EG5">
        <v>135</v>
      </c>
      <c r="EH5">
        <v>136</v>
      </c>
      <c r="EI5">
        <v>137</v>
      </c>
      <c r="EJ5">
        <v>138</v>
      </c>
      <c r="EK5">
        <v>139</v>
      </c>
      <c r="EL5">
        <v>140</v>
      </c>
      <c r="EM5">
        <v>141</v>
      </c>
      <c r="EN5">
        <v>142</v>
      </c>
      <c r="EO5">
        <v>143</v>
      </c>
      <c r="EP5">
        <v>144</v>
      </c>
      <c r="EQ5">
        <v>145</v>
      </c>
      <c r="ER5">
        <v>146</v>
      </c>
      <c r="ES5">
        <v>147</v>
      </c>
      <c r="ET5">
        <v>148</v>
      </c>
      <c r="EU5">
        <v>149</v>
      </c>
      <c r="EV5">
        <v>150</v>
      </c>
      <c r="EW5">
        <v>151</v>
      </c>
      <c r="EX5">
        <v>152</v>
      </c>
      <c r="EY5">
        <v>153</v>
      </c>
      <c r="EZ5">
        <v>154</v>
      </c>
      <c r="FA5">
        <v>155</v>
      </c>
      <c r="FB5">
        <v>156</v>
      </c>
      <c r="FC5">
        <v>157</v>
      </c>
      <c r="FD5">
        <v>158</v>
      </c>
      <c r="FE5">
        <v>159</v>
      </c>
      <c r="FF5">
        <v>160</v>
      </c>
      <c r="FG5">
        <v>161</v>
      </c>
      <c r="FH5">
        <v>162</v>
      </c>
      <c r="FI5">
        <v>163</v>
      </c>
      <c r="FJ5">
        <v>164</v>
      </c>
      <c r="FK5">
        <v>165</v>
      </c>
      <c r="FL5">
        <v>166</v>
      </c>
      <c r="FM5">
        <v>167</v>
      </c>
      <c r="FN5">
        <v>168</v>
      </c>
      <c r="FO5">
        <v>169</v>
      </c>
    </row>
    <row r="6" spans="1:172" ht="13.5" x14ac:dyDescent="0.25">
      <c r="B6" t="s">
        <v>100</v>
      </c>
      <c r="C6" s="12">
        <v>0</v>
      </c>
      <c r="D6" s="12">
        <v>0</v>
      </c>
      <c r="E6" s="12">
        <v>0</v>
      </c>
      <c r="F6" s="12">
        <v>4</v>
      </c>
      <c r="G6" s="12">
        <v>0</v>
      </c>
      <c r="H6" s="12">
        <v>0</v>
      </c>
      <c r="I6" s="12">
        <v>0</v>
      </c>
      <c r="J6" s="12">
        <v>4</v>
      </c>
      <c r="K6" s="12">
        <v>4</v>
      </c>
      <c r="L6" s="12">
        <v>4</v>
      </c>
      <c r="M6" s="12">
        <v>4</v>
      </c>
      <c r="N6" s="12">
        <v>4</v>
      </c>
      <c r="O6" s="12">
        <v>4</v>
      </c>
      <c r="P6" s="12">
        <v>4</v>
      </c>
      <c r="Q6" s="12">
        <v>4</v>
      </c>
      <c r="R6" s="12">
        <v>4</v>
      </c>
      <c r="S6" s="12">
        <v>4</v>
      </c>
      <c r="T6" s="12">
        <v>4</v>
      </c>
      <c r="U6" s="12">
        <v>4</v>
      </c>
      <c r="V6" s="12">
        <v>4</v>
      </c>
      <c r="W6" s="12">
        <v>4</v>
      </c>
      <c r="X6" s="12">
        <v>4</v>
      </c>
      <c r="Y6" s="12">
        <v>4</v>
      </c>
      <c r="Z6" s="12">
        <v>4</v>
      </c>
      <c r="AA6" s="12">
        <v>4</v>
      </c>
      <c r="AB6" s="12">
        <v>4</v>
      </c>
      <c r="AC6" s="12">
        <v>4</v>
      </c>
      <c r="AD6" s="12">
        <v>4</v>
      </c>
      <c r="AE6" s="12">
        <v>4</v>
      </c>
      <c r="AF6" s="12">
        <v>4</v>
      </c>
      <c r="AG6" s="12">
        <v>4</v>
      </c>
      <c r="AH6" s="12">
        <v>4</v>
      </c>
      <c r="AI6" s="12">
        <v>4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4</v>
      </c>
      <c r="AY6" s="12">
        <v>4</v>
      </c>
      <c r="AZ6" s="12">
        <v>4</v>
      </c>
      <c r="BA6" s="12">
        <v>4</v>
      </c>
      <c r="BB6" s="12">
        <v>4</v>
      </c>
      <c r="BC6" s="12">
        <v>4</v>
      </c>
      <c r="BD6" s="12">
        <v>4</v>
      </c>
      <c r="BE6" s="12">
        <v>4</v>
      </c>
      <c r="BF6" s="12">
        <v>4</v>
      </c>
      <c r="BG6" s="12">
        <v>4</v>
      </c>
      <c r="BH6" s="12">
        <v>0</v>
      </c>
      <c r="BI6" s="12">
        <v>4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4</v>
      </c>
      <c r="BR6" s="12">
        <v>4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4</v>
      </c>
      <c r="BY6" s="12">
        <v>4</v>
      </c>
      <c r="BZ6" s="12">
        <v>4</v>
      </c>
      <c r="CA6" s="12">
        <v>4</v>
      </c>
      <c r="CB6" s="12">
        <v>4</v>
      </c>
      <c r="CC6" s="12">
        <v>4</v>
      </c>
      <c r="CD6" s="12">
        <v>4</v>
      </c>
      <c r="CE6" s="12">
        <v>0</v>
      </c>
      <c r="CF6" s="12">
        <v>4</v>
      </c>
      <c r="CG6" s="12">
        <v>4</v>
      </c>
      <c r="CH6" s="12">
        <v>4</v>
      </c>
      <c r="CI6" s="12">
        <v>4</v>
      </c>
      <c r="CJ6" s="12">
        <v>4</v>
      </c>
      <c r="CK6" s="12">
        <v>4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4</v>
      </c>
      <c r="CU6" s="12">
        <v>4</v>
      </c>
      <c r="CV6" s="12">
        <v>4</v>
      </c>
      <c r="CW6" s="12">
        <v>4</v>
      </c>
      <c r="CX6" s="12">
        <v>4</v>
      </c>
      <c r="CY6" s="12">
        <v>4</v>
      </c>
      <c r="CZ6" s="12">
        <v>4</v>
      </c>
      <c r="DA6" s="12">
        <v>4</v>
      </c>
      <c r="DB6" s="12">
        <v>4</v>
      </c>
      <c r="DC6" s="12">
        <v>4</v>
      </c>
      <c r="DD6" s="12">
        <v>4</v>
      </c>
      <c r="DE6" s="12">
        <v>4</v>
      </c>
      <c r="DF6" s="12">
        <v>4</v>
      </c>
      <c r="DG6" s="12">
        <v>4</v>
      </c>
      <c r="DH6" s="12">
        <v>4</v>
      </c>
      <c r="DI6" s="12">
        <v>4</v>
      </c>
      <c r="DJ6" s="12">
        <v>0</v>
      </c>
      <c r="DK6" s="12">
        <v>0</v>
      </c>
      <c r="DL6" s="12">
        <v>4</v>
      </c>
      <c r="DM6" s="12">
        <v>0</v>
      </c>
      <c r="DN6" s="12">
        <v>4</v>
      </c>
      <c r="DO6" s="12">
        <v>4</v>
      </c>
      <c r="DP6" s="12">
        <v>4</v>
      </c>
      <c r="DQ6" s="12">
        <v>4</v>
      </c>
      <c r="DR6" s="12">
        <v>0</v>
      </c>
      <c r="DS6" s="12">
        <v>0</v>
      </c>
      <c r="DT6" s="12">
        <v>0</v>
      </c>
      <c r="DU6" s="12">
        <v>4</v>
      </c>
      <c r="DV6" s="12">
        <v>0</v>
      </c>
      <c r="DW6" s="12">
        <v>0</v>
      </c>
      <c r="DX6" s="12">
        <v>4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4</v>
      </c>
      <c r="EH6" s="12">
        <v>4</v>
      </c>
      <c r="EI6" s="12">
        <v>4</v>
      </c>
      <c r="EJ6" s="12">
        <v>4</v>
      </c>
      <c r="EK6" s="12">
        <v>4</v>
      </c>
      <c r="EL6" s="12">
        <v>4</v>
      </c>
      <c r="EM6" s="12">
        <v>0</v>
      </c>
      <c r="EN6" s="12">
        <v>0</v>
      </c>
      <c r="EO6" s="12">
        <v>4</v>
      </c>
      <c r="EP6" s="12">
        <v>0</v>
      </c>
      <c r="EQ6" s="12">
        <v>4</v>
      </c>
      <c r="ER6" s="12">
        <v>4</v>
      </c>
      <c r="ES6" s="12">
        <v>4</v>
      </c>
      <c r="ET6" s="12">
        <v>4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4</v>
      </c>
      <c r="FA6" s="12">
        <v>0</v>
      </c>
      <c r="FB6" s="12">
        <v>0</v>
      </c>
      <c r="FC6" s="12">
        <v>4</v>
      </c>
      <c r="FD6" s="12">
        <v>0</v>
      </c>
      <c r="FE6" s="12">
        <v>0</v>
      </c>
      <c r="FF6" s="12">
        <v>4</v>
      </c>
      <c r="FG6" s="12">
        <v>0</v>
      </c>
      <c r="FH6" s="12">
        <v>0</v>
      </c>
      <c r="FI6" s="12">
        <v>4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/>
    </row>
    <row r="7" spans="1:172" x14ac:dyDescent="0.2">
      <c r="B7" t="s">
        <v>118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N7">
        <v>1</v>
      </c>
      <c r="DO7">
        <v>1</v>
      </c>
      <c r="DP7">
        <v>1</v>
      </c>
      <c r="DQ7">
        <v>1</v>
      </c>
      <c r="DR7">
        <v>1</v>
      </c>
      <c r="DS7">
        <v>1</v>
      </c>
      <c r="DT7">
        <v>1</v>
      </c>
      <c r="DU7">
        <v>1</v>
      </c>
      <c r="DV7">
        <v>1</v>
      </c>
      <c r="DW7">
        <v>1</v>
      </c>
      <c r="DX7">
        <v>1</v>
      </c>
      <c r="DY7">
        <v>1</v>
      </c>
      <c r="DZ7">
        <v>1</v>
      </c>
      <c r="EA7">
        <v>1</v>
      </c>
      <c r="EB7">
        <v>1</v>
      </c>
      <c r="EC7">
        <v>1</v>
      </c>
      <c r="ED7">
        <v>1</v>
      </c>
      <c r="EE7">
        <v>1</v>
      </c>
      <c r="EF7">
        <v>1</v>
      </c>
      <c r="EG7">
        <v>1</v>
      </c>
      <c r="EH7">
        <v>1</v>
      </c>
      <c r="EI7">
        <v>1</v>
      </c>
      <c r="EJ7">
        <v>1</v>
      </c>
      <c r="EK7">
        <v>1</v>
      </c>
      <c r="EL7">
        <v>1</v>
      </c>
      <c r="EM7">
        <v>1</v>
      </c>
      <c r="EN7">
        <v>1</v>
      </c>
      <c r="EO7">
        <v>1</v>
      </c>
      <c r="EP7">
        <v>1</v>
      </c>
      <c r="EQ7">
        <v>1</v>
      </c>
      <c r="ER7">
        <v>1</v>
      </c>
      <c r="ES7">
        <v>1</v>
      </c>
      <c r="ET7">
        <v>1</v>
      </c>
      <c r="EU7">
        <v>1</v>
      </c>
      <c r="EV7">
        <v>1</v>
      </c>
      <c r="EW7">
        <v>1</v>
      </c>
      <c r="EX7">
        <v>1</v>
      </c>
      <c r="EY7">
        <v>1</v>
      </c>
      <c r="EZ7">
        <v>1</v>
      </c>
      <c r="FA7">
        <v>1</v>
      </c>
      <c r="FB7">
        <v>1</v>
      </c>
      <c r="FC7">
        <v>1</v>
      </c>
      <c r="FD7">
        <v>1</v>
      </c>
      <c r="FE7">
        <v>1</v>
      </c>
      <c r="FF7">
        <v>1</v>
      </c>
      <c r="FG7">
        <v>1</v>
      </c>
      <c r="FH7">
        <v>1</v>
      </c>
      <c r="FI7">
        <v>1</v>
      </c>
      <c r="FJ7">
        <v>1</v>
      </c>
      <c r="FK7">
        <v>1</v>
      </c>
      <c r="FL7">
        <v>1</v>
      </c>
      <c r="FM7">
        <v>1</v>
      </c>
      <c r="FN7">
        <v>1</v>
      </c>
      <c r="FO7">
        <v>1</v>
      </c>
    </row>
    <row r="9" spans="1:172" ht="33.75" x14ac:dyDescent="0.2">
      <c r="B9" t="s">
        <v>119</v>
      </c>
      <c r="C9" s="19" t="s">
        <v>557</v>
      </c>
      <c r="D9" s="19" t="s">
        <v>558</v>
      </c>
      <c r="E9" s="19" t="s">
        <v>559</v>
      </c>
      <c r="F9" s="19" t="s">
        <v>560</v>
      </c>
      <c r="G9" s="19" t="s">
        <v>561</v>
      </c>
      <c r="H9" s="19" t="s">
        <v>562</v>
      </c>
      <c r="I9" s="19" t="s">
        <v>563</v>
      </c>
      <c r="J9" s="19" t="s">
        <v>521</v>
      </c>
      <c r="K9" s="19" t="s">
        <v>535</v>
      </c>
      <c r="L9" s="19" t="s">
        <v>538</v>
      </c>
      <c r="M9" s="19" t="s">
        <v>534</v>
      </c>
      <c r="N9" s="19" t="s">
        <v>536</v>
      </c>
      <c r="O9" s="19" t="s">
        <v>539</v>
      </c>
      <c r="P9" s="19" t="s">
        <v>537</v>
      </c>
      <c r="Q9" s="19" t="s">
        <v>527</v>
      </c>
      <c r="R9" s="19" t="s">
        <v>523</v>
      </c>
      <c r="S9" s="19" t="s">
        <v>526</v>
      </c>
      <c r="T9" s="19" t="s">
        <v>522</v>
      </c>
      <c r="U9" s="19" t="s">
        <v>524</v>
      </c>
      <c r="V9" s="19" t="s">
        <v>525</v>
      </c>
      <c r="W9" s="19" t="s">
        <v>533</v>
      </c>
      <c r="X9" s="19" t="s">
        <v>529</v>
      </c>
      <c r="Y9" s="19" t="s">
        <v>532</v>
      </c>
      <c r="Z9" s="19" t="s">
        <v>528</v>
      </c>
      <c r="AA9" s="19" t="s">
        <v>530</v>
      </c>
      <c r="AB9" s="19" t="s">
        <v>531</v>
      </c>
      <c r="AC9" s="19" t="s">
        <v>589</v>
      </c>
      <c r="AD9" s="19" t="s">
        <v>590</v>
      </c>
      <c r="AE9" s="19" t="s">
        <v>591</v>
      </c>
      <c r="AF9" s="19" t="s">
        <v>592</v>
      </c>
      <c r="AG9" s="19" t="s">
        <v>593</v>
      </c>
      <c r="AH9" s="19" t="s">
        <v>594</v>
      </c>
      <c r="AI9" s="19" t="s">
        <v>595</v>
      </c>
      <c r="AJ9" s="19" t="s">
        <v>596</v>
      </c>
      <c r="AK9" s="19" t="s">
        <v>597</v>
      </c>
      <c r="AL9" s="19" t="s">
        <v>598</v>
      </c>
      <c r="AM9" s="19" t="s">
        <v>599</v>
      </c>
      <c r="AN9" s="19" t="s">
        <v>1761</v>
      </c>
      <c r="AO9" s="19" t="s">
        <v>600</v>
      </c>
      <c r="AP9" s="19" t="s">
        <v>601</v>
      </c>
      <c r="AQ9" s="19" t="s">
        <v>602</v>
      </c>
      <c r="AR9" s="19" t="s">
        <v>1762</v>
      </c>
      <c r="AS9" s="19" t="s">
        <v>603</v>
      </c>
      <c r="AT9" s="19" t="s">
        <v>604</v>
      </c>
      <c r="AU9" s="19" t="s">
        <v>605</v>
      </c>
      <c r="AV9" s="19" t="s">
        <v>606</v>
      </c>
      <c r="AW9" s="19" t="s">
        <v>607</v>
      </c>
      <c r="AX9" s="19" t="s">
        <v>608</v>
      </c>
      <c r="AY9" s="19" t="s">
        <v>609</v>
      </c>
      <c r="AZ9" s="19" t="s">
        <v>610</v>
      </c>
      <c r="BA9" s="19" t="s">
        <v>611</v>
      </c>
      <c r="BB9" s="19" t="s">
        <v>612</v>
      </c>
      <c r="BC9" s="19" t="s">
        <v>613</v>
      </c>
      <c r="BD9" s="19" t="s">
        <v>614</v>
      </c>
      <c r="BE9" s="19" t="s">
        <v>615</v>
      </c>
      <c r="BF9" s="19" t="s">
        <v>616</v>
      </c>
      <c r="BG9" s="19" t="s">
        <v>617</v>
      </c>
      <c r="BH9" s="19" t="s">
        <v>618</v>
      </c>
      <c r="BI9" s="19" t="s">
        <v>619</v>
      </c>
      <c r="BJ9" s="19" t="s">
        <v>620</v>
      </c>
      <c r="BK9" s="19" t="s">
        <v>621</v>
      </c>
      <c r="BL9" s="19" t="s">
        <v>622</v>
      </c>
      <c r="BM9" s="19" t="s">
        <v>556</v>
      </c>
      <c r="BN9" s="19" t="s">
        <v>658</v>
      </c>
      <c r="BO9" s="19" t="s">
        <v>659</v>
      </c>
      <c r="BP9" s="19" t="s">
        <v>660</v>
      </c>
      <c r="BQ9" s="19" t="s">
        <v>661</v>
      </c>
      <c r="BR9" s="19" t="s">
        <v>1511</v>
      </c>
      <c r="BS9" s="19" t="s">
        <v>553</v>
      </c>
      <c r="BT9" s="19" t="s">
        <v>549</v>
      </c>
      <c r="BU9" s="19" t="s">
        <v>552</v>
      </c>
      <c r="BV9" s="19" t="s">
        <v>548</v>
      </c>
      <c r="BW9" s="19" t="s">
        <v>550</v>
      </c>
      <c r="BX9" s="19" t="s">
        <v>551</v>
      </c>
      <c r="BY9" s="19" t="s">
        <v>1503</v>
      </c>
      <c r="BZ9" s="19" t="s">
        <v>1497</v>
      </c>
      <c r="CA9" s="19" t="s">
        <v>1501</v>
      </c>
      <c r="CB9" s="19" t="s">
        <v>1498</v>
      </c>
      <c r="CC9" s="19" t="s">
        <v>1499</v>
      </c>
      <c r="CD9" s="19" t="s">
        <v>1500</v>
      </c>
      <c r="CE9" s="19" t="s">
        <v>1502</v>
      </c>
      <c r="CF9" s="19" t="s">
        <v>672</v>
      </c>
      <c r="CG9" s="19" t="s">
        <v>673</v>
      </c>
      <c r="CH9" s="19" t="s">
        <v>674</v>
      </c>
      <c r="CI9" s="19" t="s">
        <v>675</v>
      </c>
      <c r="CJ9" s="19" t="s">
        <v>676</v>
      </c>
      <c r="CK9" s="19" t="s">
        <v>677</v>
      </c>
      <c r="CL9" s="19" t="s">
        <v>1767</v>
      </c>
      <c r="CM9" s="19" t="s">
        <v>678</v>
      </c>
      <c r="CN9" s="19" t="s">
        <v>679</v>
      </c>
      <c r="CO9" s="19" t="s">
        <v>680</v>
      </c>
      <c r="CP9" s="19" t="s">
        <v>681</v>
      </c>
      <c r="CQ9" s="19" t="s">
        <v>682</v>
      </c>
      <c r="CR9" s="19" t="s">
        <v>1520</v>
      </c>
      <c r="CS9" s="19" t="s">
        <v>1521</v>
      </c>
      <c r="CT9" s="19" t="s">
        <v>1522</v>
      </c>
      <c r="CU9" s="19" t="s">
        <v>1768</v>
      </c>
      <c r="CV9" s="19" t="s">
        <v>1523</v>
      </c>
      <c r="CW9" s="19" t="s">
        <v>1301</v>
      </c>
      <c r="CX9" s="19" t="s">
        <v>1302</v>
      </c>
      <c r="CY9" s="19" t="s">
        <v>1303</v>
      </c>
      <c r="CZ9" s="19" t="s">
        <v>1304</v>
      </c>
      <c r="DA9" s="19" t="s">
        <v>1305</v>
      </c>
      <c r="DB9" s="19" t="s">
        <v>1290</v>
      </c>
      <c r="DC9" s="19" t="s">
        <v>1293</v>
      </c>
      <c r="DD9" s="19" t="s">
        <v>1294</v>
      </c>
      <c r="DE9" s="19" t="s">
        <v>1296</v>
      </c>
      <c r="DF9" s="19" t="s">
        <v>1295</v>
      </c>
      <c r="DG9" s="19" t="s">
        <v>1310</v>
      </c>
      <c r="DH9" s="19" t="s">
        <v>1311</v>
      </c>
      <c r="DI9" s="19" t="s">
        <v>1312</v>
      </c>
      <c r="DJ9" s="19" t="s">
        <v>1313</v>
      </c>
      <c r="DK9" s="19" t="s">
        <v>1314</v>
      </c>
      <c r="DL9" s="19" t="s">
        <v>1315</v>
      </c>
      <c r="DM9" s="19" t="s">
        <v>1316</v>
      </c>
      <c r="DN9" s="19" t="s">
        <v>1317</v>
      </c>
      <c r="DO9" s="19" t="s">
        <v>1528</v>
      </c>
      <c r="DP9" s="19" t="s">
        <v>1529</v>
      </c>
      <c r="DQ9" s="19" t="s">
        <v>1530</v>
      </c>
      <c r="DR9" s="19" t="s">
        <v>1531</v>
      </c>
      <c r="DS9" s="19" t="s">
        <v>1532</v>
      </c>
      <c r="DT9" s="19" t="s">
        <v>1287</v>
      </c>
      <c r="DU9" s="19" t="s">
        <v>1300</v>
      </c>
      <c r="DV9" s="19" t="s">
        <v>1297</v>
      </c>
      <c r="DW9" s="19" t="s">
        <v>1298</v>
      </c>
      <c r="DX9" s="19" t="s">
        <v>1299</v>
      </c>
      <c r="DY9" s="19" t="s">
        <v>1537</v>
      </c>
      <c r="DZ9" s="19" t="s">
        <v>1538</v>
      </c>
      <c r="EA9" s="19" t="s">
        <v>1539</v>
      </c>
      <c r="EB9" s="19" t="s">
        <v>1540</v>
      </c>
      <c r="EC9" s="19" t="s">
        <v>1541</v>
      </c>
      <c r="ED9" s="19" t="s">
        <v>1542</v>
      </c>
      <c r="EE9" s="19" t="s">
        <v>1543</v>
      </c>
      <c r="EF9" s="19" t="s">
        <v>1771</v>
      </c>
      <c r="EG9" s="19" t="s">
        <v>1544</v>
      </c>
      <c r="EH9" s="19" t="s">
        <v>1545</v>
      </c>
      <c r="EI9" s="19"/>
    </row>
    <row r="10" spans="1:172" x14ac:dyDescent="0.2">
      <c r="B10" t="s">
        <v>120</v>
      </c>
      <c r="C10">
        <v>1</v>
      </c>
      <c r="D10">
        <v>2</v>
      </c>
      <c r="E10">
        <v>3</v>
      </c>
      <c r="F10">
        <v>4</v>
      </c>
      <c r="G10">
        <v>5</v>
      </c>
      <c r="H10">
        <v>6</v>
      </c>
      <c r="I10">
        <v>7</v>
      </c>
      <c r="J10">
        <v>8</v>
      </c>
      <c r="K10">
        <v>9</v>
      </c>
      <c r="L10">
        <v>10</v>
      </c>
      <c r="M10">
        <v>11</v>
      </c>
      <c r="N10">
        <v>12</v>
      </c>
      <c r="O10">
        <v>13</v>
      </c>
      <c r="P10">
        <v>14</v>
      </c>
      <c r="Q10">
        <v>15</v>
      </c>
      <c r="R10">
        <v>16</v>
      </c>
      <c r="S10">
        <v>17</v>
      </c>
      <c r="T10">
        <v>18</v>
      </c>
      <c r="U10">
        <v>19</v>
      </c>
      <c r="V10">
        <v>20</v>
      </c>
      <c r="W10">
        <v>21</v>
      </c>
      <c r="X10">
        <v>22</v>
      </c>
      <c r="Y10">
        <v>23</v>
      </c>
      <c r="Z10">
        <v>24</v>
      </c>
      <c r="AA10">
        <v>25</v>
      </c>
      <c r="AB10">
        <v>26</v>
      </c>
      <c r="AC10">
        <v>27</v>
      </c>
      <c r="AD10">
        <v>28</v>
      </c>
      <c r="AE10">
        <v>29</v>
      </c>
      <c r="AF10">
        <v>30</v>
      </c>
      <c r="AG10">
        <v>31</v>
      </c>
      <c r="AH10">
        <v>32</v>
      </c>
      <c r="AI10">
        <v>33</v>
      </c>
      <c r="AJ10">
        <v>34</v>
      </c>
      <c r="AK10">
        <v>35</v>
      </c>
      <c r="AL10">
        <v>36</v>
      </c>
      <c r="AM10">
        <v>37</v>
      </c>
      <c r="AN10">
        <v>38</v>
      </c>
      <c r="AO10">
        <v>39</v>
      </c>
      <c r="AP10">
        <v>40</v>
      </c>
      <c r="AQ10">
        <v>41</v>
      </c>
      <c r="AR10">
        <v>42</v>
      </c>
      <c r="AS10">
        <v>43</v>
      </c>
      <c r="AT10">
        <v>44</v>
      </c>
      <c r="AU10">
        <v>45</v>
      </c>
      <c r="AV10">
        <v>46</v>
      </c>
      <c r="AW10">
        <v>47</v>
      </c>
      <c r="AX10">
        <v>48</v>
      </c>
      <c r="AY10">
        <v>49</v>
      </c>
      <c r="AZ10">
        <v>50</v>
      </c>
      <c r="BA10">
        <v>51</v>
      </c>
      <c r="BB10">
        <v>52</v>
      </c>
      <c r="BC10">
        <v>53</v>
      </c>
      <c r="BD10">
        <v>54</v>
      </c>
      <c r="BE10">
        <v>55</v>
      </c>
      <c r="BF10">
        <v>56</v>
      </c>
      <c r="BG10">
        <v>57</v>
      </c>
      <c r="BH10">
        <v>58</v>
      </c>
      <c r="BI10">
        <v>59</v>
      </c>
      <c r="BJ10">
        <v>60</v>
      </c>
      <c r="BK10">
        <v>61</v>
      </c>
      <c r="BL10">
        <v>62</v>
      </c>
      <c r="BM10">
        <v>63</v>
      </c>
      <c r="BN10">
        <v>64</v>
      </c>
      <c r="BO10">
        <v>65</v>
      </c>
      <c r="BP10">
        <v>66</v>
      </c>
      <c r="BQ10">
        <v>67</v>
      </c>
      <c r="BR10">
        <v>68</v>
      </c>
      <c r="BS10">
        <v>69</v>
      </c>
      <c r="BT10">
        <v>70</v>
      </c>
      <c r="BU10">
        <v>71</v>
      </c>
      <c r="BV10">
        <v>72</v>
      </c>
      <c r="BW10">
        <v>73</v>
      </c>
      <c r="BX10">
        <v>74</v>
      </c>
      <c r="BY10">
        <v>75</v>
      </c>
      <c r="BZ10">
        <v>76</v>
      </c>
      <c r="CA10">
        <v>77</v>
      </c>
      <c r="CB10">
        <v>78</v>
      </c>
      <c r="CC10">
        <v>79</v>
      </c>
      <c r="CD10">
        <v>80</v>
      </c>
      <c r="CE10">
        <v>81</v>
      </c>
      <c r="CF10">
        <v>82</v>
      </c>
      <c r="CG10">
        <v>83</v>
      </c>
      <c r="CH10">
        <v>84</v>
      </c>
      <c r="CI10">
        <v>85</v>
      </c>
      <c r="CJ10">
        <v>86</v>
      </c>
      <c r="CK10">
        <v>87</v>
      </c>
      <c r="CL10">
        <v>88</v>
      </c>
      <c r="CM10">
        <v>89</v>
      </c>
      <c r="CN10">
        <v>90</v>
      </c>
      <c r="CO10">
        <v>91</v>
      </c>
      <c r="CP10">
        <v>92</v>
      </c>
      <c r="CQ10">
        <v>93</v>
      </c>
      <c r="CR10">
        <v>94</v>
      </c>
      <c r="CS10">
        <v>95</v>
      </c>
      <c r="CT10">
        <v>96</v>
      </c>
      <c r="CU10">
        <v>97</v>
      </c>
      <c r="CV10">
        <v>98</v>
      </c>
      <c r="CW10">
        <v>99</v>
      </c>
      <c r="CX10">
        <v>100</v>
      </c>
      <c r="CY10">
        <v>101</v>
      </c>
      <c r="CZ10">
        <v>102</v>
      </c>
      <c r="DA10">
        <v>103</v>
      </c>
      <c r="DB10">
        <v>104</v>
      </c>
      <c r="DC10">
        <v>105</v>
      </c>
      <c r="DD10">
        <v>106</v>
      </c>
      <c r="DE10">
        <v>107</v>
      </c>
      <c r="DF10">
        <v>108</v>
      </c>
      <c r="DG10">
        <v>109</v>
      </c>
      <c r="DH10">
        <v>110</v>
      </c>
      <c r="DI10">
        <v>111</v>
      </c>
      <c r="DJ10">
        <v>112</v>
      </c>
      <c r="DK10">
        <v>113</v>
      </c>
      <c r="DL10">
        <v>114</v>
      </c>
      <c r="DM10">
        <v>115</v>
      </c>
      <c r="DN10">
        <v>116</v>
      </c>
      <c r="DO10">
        <v>117</v>
      </c>
      <c r="DP10">
        <v>118</v>
      </c>
      <c r="DQ10">
        <v>119</v>
      </c>
      <c r="DR10">
        <v>120</v>
      </c>
      <c r="DS10">
        <v>121</v>
      </c>
      <c r="DT10">
        <v>122</v>
      </c>
      <c r="DU10">
        <v>123</v>
      </c>
      <c r="DV10">
        <v>124</v>
      </c>
      <c r="DW10">
        <v>125</v>
      </c>
      <c r="DX10">
        <v>126</v>
      </c>
      <c r="DY10">
        <v>127</v>
      </c>
      <c r="DZ10">
        <v>128</v>
      </c>
      <c r="EA10">
        <v>129</v>
      </c>
      <c r="EB10">
        <v>130</v>
      </c>
      <c r="EC10">
        <v>131</v>
      </c>
      <c r="ED10">
        <v>132</v>
      </c>
      <c r="EE10">
        <v>133</v>
      </c>
      <c r="EF10">
        <v>134</v>
      </c>
      <c r="EG10">
        <v>135</v>
      </c>
      <c r="EH10">
        <v>136</v>
      </c>
    </row>
    <row r="11" spans="1:172" x14ac:dyDescent="0.2">
      <c r="B11" t="s">
        <v>100</v>
      </c>
      <c r="C11" s="18">
        <v>1</v>
      </c>
      <c r="D11" s="18">
        <v>1</v>
      </c>
      <c r="E11" s="18">
        <v>1</v>
      </c>
      <c r="F11" s="18">
        <v>1</v>
      </c>
      <c r="G11" s="18">
        <v>1</v>
      </c>
      <c r="H11" s="18">
        <v>1</v>
      </c>
      <c r="I11" s="18">
        <v>1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1</v>
      </c>
      <c r="AD11" s="18">
        <v>1</v>
      </c>
      <c r="AE11" s="18">
        <v>1</v>
      </c>
      <c r="AF11" s="18">
        <v>0</v>
      </c>
      <c r="AG11" s="18">
        <v>0</v>
      </c>
      <c r="AH11" s="18">
        <v>0</v>
      </c>
      <c r="AI11" s="18">
        <v>1</v>
      </c>
      <c r="AJ11" s="18">
        <v>1</v>
      </c>
      <c r="AK11" s="18">
        <v>1</v>
      </c>
      <c r="AL11" s="18">
        <v>1</v>
      </c>
      <c r="AM11" s="18">
        <v>1</v>
      </c>
      <c r="AN11" s="18">
        <v>1</v>
      </c>
      <c r="AO11" s="18">
        <v>1</v>
      </c>
      <c r="AP11" s="18">
        <v>1</v>
      </c>
      <c r="AQ11" s="18">
        <v>1</v>
      </c>
      <c r="AR11" s="18">
        <v>1</v>
      </c>
      <c r="AS11" s="18">
        <v>1</v>
      </c>
      <c r="AT11" s="18">
        <v>1</v>
      </c>
      <c r="AU11" s="18">
        <v>1</v>
      </c>
      <c r="AV11" s="18">
        <v>1</v>
      </c>
      <c r="AW11" s="18">
        <v>1</v>
      </c>
      <c r="AX11" s="18">
        <v>1</v>
      </c>
      <c r="AY11" s="18">
        <v>1</v>
      </c>
      <c r="AZ11" s="18">
        <v>1</v>
      </c>
      <c r="BA11" s="18">
        <v>1</v>
      </c>
      <c r="BB11" s="18">
        <v>1</v>
      </c>
      <c r="BC11" s="18">
        <v>1</v>
      </c>
      <c r="BD11" s="18">
        <v>1</v>
      </c>
      <c r="BE11" s="18">
        <v>1</v>
      </c>
      <c r="BF11" s="18">
        <v>1</v>
      </c>
      <c r="BG11" s="18">
        <v>1</v>
      </c>
      <c r="BH11" s="18">
        <v>1</v>
      </c>
      <c r="BI11" s="18">
        <v>1</v>
      </c>
      <c r="BJ11" s="18">
        <v>1</v>
      </c>
      <c r="BK11" s="18">
        <v>1</v>
      </c>
      <c r="BL11" s="18">
        <v>1</v>
      </c>
      <c r="BM11" s="18">
        <v>1</v>
      </c>
      <c r="BN11" s="18">
        <v>1</v>
      </c>
      <c r="BO11" s="18">
        <v>1</v>
      </c>
      <c r="BP11" s="18">
        <v>1</v>
      </c>
      <c r="BQ11" s="18">
        <v>1</v>
      </c>
      <c r="BR11" s="18">
        <v>1</v>
      </c>
      <c r="BS11" s="18">
        <v>0</v>
      </c>
      <c r="BT11" s="18">
        <v>0</v>
      </c>
      <c r="BU11" s="18">
        <v>0</v>
      </c>
      <c r="BV11" s="18">
        <v>0</v>
      </c>
      <c r="BW11" s="18">
        <v>0</v>
      </c>
      <c r="BX11" s="18">
        <v>0</v>
      </c>
      <c r="BY11" s="18">
        <v>0</v>
      </c>
      <c r="BZ11" s="18">
        <v>0</v>
      </c>
      <c r="CA11" s="18">
        <v>0</v>
      </c>
      <c r="CB11" s="18">
        <v>0</v>
      </c>
      <c r="CC11" s="18">
        <v>0</v>
      </c>
      <c r="CD11" s="18">
        <v>0</v>
      </c>
      <c r="CE11" s="18">
        <v>0</v>
      </c>
      <c r="CF11" s="18">
        <v>1</v>
      </c>
      <c r="CG11" s="18">
        <v>1</v>
      </c>
      <c r="CH11" s="18">
        <v>1</v>
      </c>
      <c r="CI11" s="18">
        <v>1</v>
      </c>
      <c r="CJ11" s="18">
        <v>1</v>
      </c>
      <c r="CK11" s="18">
        <v>1</v>
      </c>
      <c r="CL11" s="18">
        <v>1</v>
      </c>
      <c r="CM11" s="18">
        <v>1</v>
      </c>
      <c r="CN11" s="18">
        <v>1</v>
      </c>
      <c r="CO11" s="18">
        <v>1</v>
      </c>
      <c r="CP11" s="18">
        <v>1</v>
      </c>
      <c r="CQ11" s="18">
        <v>1</v>
      </c>
      <c r="CR11" s="18">
        <v>1</v>
      </c>
      <c r="CS11" s="18">
        <v>1</v>
      </c>
      <c r="CT11" s="18">
        <v>1</v>
      </c>
      <c r="CU11" s="18">
        <v>1</v>
      </c>
      <c r="CV11" s="18">
        <v>1</v>
      </c>
      <c r="CW11" s="18">
        <v>1</v>
      </c>
      <c r="CX11" s="18">
        <v>1</v>
      </c>
      <c r="CY11" s="18">
        <v>1</v>
      </c>
      <c r="CZ11" s="18">
        <v>1</v>
      </c>
      <c r="DA11" s="18">
        <v>1</v>
      </c>
      <c r="DB11" s="18">
        <v>0</v>
      </c>
      <c r="DC11" s="18">
        <v>0</v>
      </c>
      <c r="DD11" s="18">
        <v>0</v>
      </c>
      <c r="DE11" s="18">
        <v>0</v>
      </c>
      <c r="DF11" s="18">
        <v>0</v>
      </c>
      <c r="DG11" s="18">
        <v>1</v>
      </c>
      <c r="DH11" s="18">
        <v>1</v>
      </c>
      <c r="DI11" s="18">
        <v>1</v>
      </c>
      <c r="DJ11" s="18">
        <v>1</v>
      </c>
      <c r="DK11" s="18">
        <v>1</v>
      </c>
      <c r="DL11" s="18">
        <v>1</v>
      </c>
      <c r="DM11" s="18">
        <v>1</v>
      </c>
      <c r="DN11" s="18">
        <v>1</v>
      </c>
      <c r="DO11" s="18">
        <v>1</v>
      </c>
      <c r="DP11" s="18">
        <v>1</v>
      </c>
      <c r="DQ11" s="18">
        <v>1</v>
      </c>
      <c r="DR11" s="18">
        <v>1</v>
      </c>
      <c r="DS11" s="18">
        <v>1</v>
      </c>
      <c r="DT11" s="18">
        <v>0</v>
      </c>
      <c r="DU11" s="18">
        <v>0</v>
      </c>
      <c r="DV11" s="18">
        <v>0</v>
      </c>
      <c r="DW11" s="18">
        <v>0</v>
      </c>
      <c r="DX11" s="18">
        <v>0</v>
      </c>
      <c r="DY11" s="18">
        <v>1</v>
      </c>
      <c r="DZ11" s="18">
        <v>1</v>
      </c>
      <c r="EA11" s="18">
        <v>1</v>
      </c>
      <c r="EB11" s="18">
        <v>1</v>
      </c>
      <c r="EC11" s="18">
        <v>1</v>
      </c>
      <c r="ED11" s="18">
        <v>1</v>
      </c>
      <c r="EE11" s="18">
        <v>1</v>
      </c>
      <c r="EF11" s="18">
        <v>1</v>
      </c>
      <c r="EG11" s="18">
        <v>1</v>
      </c>
      <c r="EH11" s="18">
        <v>1</v>
      </c>
      <c r="EI11" s="18"/>
    </row>
    <row r="12" spans="1:172" x14ac:dyDescent="0.2">
      <c r="B12" t="s">
        <v>118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</row>
    <row r="15" spans="1:172" x14ac:dyDescent="0.2">
      <c r="A15" t="s">
        <v>121</v>
      </c>
      <c r="B15" t="s">
        <v>122</v>
      </c>
      <c r="C15" t="e">
        <f t="array" aca="1" ref="C15:D24" ca="1">_xll.GDOT_GetSizes('Opt Config'!$B$19,'Gain Matrix'!$F$6:$FR$141,Diagnostics!$C$5:$FO$7,Diagnostics!$C$10:$EH$12)</f>
        <v>#VALUE!</v>
      </c>
      <c r="D15" t="e">
        <f ca="1"/>
        <v>#VALUE!</v>
      </c>
    </row>
    <row r="16" spans="1:172" x14ac:dyDescent="0.2">
      <c r="B16" t="s">
        <v>123</v>
      </c>
      <c r="C16" t="e">
        <f ca="1"/>
        <v>#VALUE!</v>
      </c>
      <c r="D16" t="e">
        <f ca="1"/>
        <v>#VALUE!</v>
      </c>
    </row>
    <row r="17" spans="1:4" x14ac:dyDescent="0.2">
      <c r="B17" t="s">
        <v>124</v>
      </c>
      <c r="C17" t="e">
        <f ca="1"/>
        <v>#VALUE!</v>
      </c>
      <c r="D17" t="e">
        <f ca="1"/>
        <v>#VALUE!</v>
      </c>
    </row>
    <row r="18" spans="1:4" x14ac:dyDescent="0.2">
      <c r="B18" t="s">
        <v>125</v>
      </c>
      <c r="C18" t="e">
        <f ca="1"/>
        <v>#VALUE!</v>
      </c>
      <c r="D18" t="e">
        <f ca="1"/>
        <v>#VALUE!</v>
      </c>
    </row>
    <row r="19" spans="1:4" x14ac:dyDescent="0.2">
      <c r="B19" t="s">
        <v>126</v>
      </c>
      <c r="C19" t="e">
        <f ca="1"/>
        <v>#VALUE!</v>
      </c>
      <c r="D19" t="e">
        <f ca="1"/>
        <v>#VALUE!</v>
      </c>
    </row>
    <row r="20" spans="1:4" x14ac:dyDescent="0.2">
      <c r="A20" t="s">
        <v>127</v>
      </c>
      <c r="B20" t="s">
        <v>122</v>
      </c>
      <c r="C20" t="e">
        <f ca="1"/>
        <v>#VALUE!</v>
      </c>
      <c r="D20" t="e">
        <f ca="1"/>
        <v>#VALUE!</v>
      </c>
    </row>
    <row r="21" spans="1:4" x14ac:dyDescent="0.2">
      <c r="B21" t="s">
        <v>123</v>
      </c>
      <c r="C21" t="e">
        <f ca="1"/>
        <v>#VALUE!</v>
      </c>
      <c r="D21" t="e">
        <f ca="1"/>
        <v>#VALUE!</v>
      </c>
    </row>
    <row r="22" spans="1:4" x14ac:dyDescent="0.2">
      <c r="B22" t="s">
        <v>124</v>
      </c>
      <c r="C22" t="e">
        <f ca="1"/>
        <v>#VALUE!</v>
      </c>
      <c r="D22" t="e">
        <f ca="1"/>
        <v>#VALUE!</v>
      </c>
    </row>
    <row r="23" spans="1:4" x14ac:dyDescent="0.2">
      <c r="B23" t="s">
        <v>125</v>
      </c>
      <c r="C23" t="e">
        <f ca="1"/>
        <v>#VALUE!</v>
      </c>
      <c r="D23" t="e">
        <f ca="1"/>
        <v>#VALUE!</v>
      </c>
    </row>
    <row r="24" spans="1:4" x14ac:dyDescent="0.2">
      <c r="B24" t="s">
        <v>126</v>
      </c>
      <c r="C24" t="e">
        <f ca="1"/>
        <v>#VALUE!</v>
      </c>
      <c r="D24" t="e">
        <f ca="1"/>
        <v>#VALUE!</v>
      </c>
    </row>
    <row r="27" spans="1:4" x14ac:dyDescent="0.2">
      <c r="B27" t="s">
        <v>128</v>
      </c>
      <c r="C27">
        <f t="array" ref="C27">_xll.GDOT_RowRank()</f>
        <v>91</v>
      </c>
    </row>
    <row r="28" spans="1:4" x14ac:dyDescent="0.2">
      <c r="B28" t="s">
        <v>129</v>
      </c>
      <c r="C28">
        <f t="array" ref="C28">_xll.GDOT_ColRank()</f>
        <v>0</v>
      </c>
    </row>
    <row r="29" spans="1:4" x14ac:dyDescent="0.2">
      <c r="B29" t="s">
        <v>130</v>
      </c>
      <c r="C29">
        <f t="array" ref="C29">_xll.GDOT_SVD_Amatrix(D36:CP126)</f>
        <v>743626291.93643785</v>
      </c>
    </row>
    <row r="34" spans="2:4003" x14ac:dyDescent="0.2">
      <c r="B34" s="27" t="s">
        <v>131</v>
      </c>
    </row>
    <row r="35" spans="2:4003" ht="15" x14ac:dyDescent="0.25">
      <c r="B35" s="32" t="s">
        <v>132</v>
      </c>
      <c r="C35" s="5"/>
      <c r="D35" s="79" t="s">
        <v>515</v>
      </c>
      <c r="E35" s="79" t="s">
        <v>520</v>
      </c>
      <c r="F35" s="79" t="s">
        <v>564</v>
      </c>
      <c r="G35" s="79" t="s">
        <v>565</v>
      </c>
      <c r="H35" s="79" t="s">
        <v>566</v>
      </c>
      <c r="I35" s="79" t="s">
        <v>567</v>
      </c>
      <c r="J35" s="79" t="s">
        <v>568</v>
      </c>
      <c r="K35" s="79" t="s">
        <v>569</v>
      </c>
      <c r="L35" s="79" t="s">
        <v>570</v>
      </c>
      <c r="M35" s="79" t="s">
        <v>571</v>
      </c>
      <c r="N35" s="79" t="s">
        <v>572</v>
      </c>
      <c r="O35" s="79" t="s">
        <v>573</v>
      </c>
      <c r="P35" s="79" t="s">
        <v>574</v>
      </c>
      <c r="Q35" s="79" t="s">
        <v>575</v>
      </c>
      <c r="R35" s="79" t="s">
        <v>576</v>
      </c>
      <c r="S35" s="79" t="s">
        <v>577</v>
      </c>
      <c r="T35" s="79" t="s">
        <v>578</v>
      </c>
      <c r="U35" s="79" t="s">
        <v>579</v>
      </c>
      <c r="V35" s="79" t="s">
        <v>580</v>
      </c>
      <c r="W35" s="79" t="s">
        <v>581</v>
      </c>
      <c r="X35" s="79" t="s">
        <v>582</v>
      </c>
      <c r="Y35" s="79" t="s">
        <v>583</v>
      </c>
      <c r="Z35" s="79" t="s">
        <v>584</v>
      </c>
      <c r="AA35" s="79" t="s">
        <v>585</v>
      </c>
      <c r="AB35" s="79" t="s">
        <v>586</v>
      </c>
      <c r="AC35" s="79" t="s">
        <v>587</v>
      </c>
      <c r="AD35" s="79" t="s">
        <v>588</v>
      </c>
      <c r="AE35" s="79" t="s">
        <v>635</v>
      </c>
      <c r="AF35" s="79" t="s">
        <v>636</v>
      </c>
      <c r="AG35" s="79" t="s">
        <v>637</v>
      </c>
      <c r="AH35" s="79" t="s">
        <v>638</v>
      </c>
      <c r="AI35" s="79" t="s">
        <v>639</v>
      </c>
      <c r="AJ35" s="79" t="s">
        <v>1765</v>
      </c>
      <c r="AK35" s="79" t="s">
        <v>640</v>
      </c>
      <c r="AL35" s="79" t="s">
        <v>641</v>
      </c>
      <c r="AM35" s="79" t="s">
        <v>642</v>
      </c>
      <c r="AN35" s="79" t="s">
        <v>1766</v>
      </c>
      <c r="AO35" s="79" t="s">
        <v>644</v>
      </c>
      <c r="AP35" s="79" t="s">
        <v>652</v>
      </c>
      <c r="AQ35" s="79" t="s">
        <v>653</v>
      </c>
      <c r="AR35" s="79" t="s">
        <v>555</v>
      </c>
      <c r="AS35" s="79" t="s">
        <v>662</v>
      </c>
      <c r="AT35" s="79" t="s">
        <v>663</v>
      </c>
      <c r="AU35" s="79" t="s">
        <v>664</v>
      </c>
      <c r="AV35" s="79" t="s">
        <v>665</v>
      </c>
      <c r="AW35" s="79" t="s">
        <v>1512</v>
      </c>
      <c r="AX35" s="79" t="s">
        <v>547</v>
      </c>
      <c r="AY35" s="79" t="s">
        <v>666</v>
      </c>
      <c r="AZ35" s="79" t="s">
        <v>667</v>
      </c>
      <c r="BA35" s="79" t="s">
        <v>668</v>
      </c>
      <c r="BB35" s="79" t="s">
        <v>669</v>
      </c>
      <c r="BC35" s="79" t="s">
        <v>670</v>
      </c>
      <c r="BD35" s="79" t="s">
        <v>671</v>
      </c>
      <c r="BE35" s="79" t="s">
        <v>1524</v>
      </c>
      <c r="BF35" s="79" t="s">
        <v>683</v>
      </c>
      <c r="BG35" s="79" t="s">
        <v>1525</v>
      </c>
      <c r="BH35" s="79" t="s">
        <v>1526</v>
      </c>
      <c r="BI35" s="79" t="s">
        <v>1527</v>
      </c>
      <c r="BJ35" s="79" t="s">
        <v>1769</v>
      </c>
      <c r="BK35" s="79" t="s">
        <v>684</v>
      </c>
      <c r="BL35" s="79" t="s">
        <v>685</v>
      </c>
      <c r="BM35" s="79" t="s">
        <v>686</v>
      </c>
      <c r="BN35" s="79" t="s">
        <v>1770</v>
      </c>
      <c r="BO35" s="79" t="s">
        <v>1306</v>
      </c>
      <c r="BP35" s="79" t="s">
        <v>1276</v>
      </c>
      <c r="BQ35" s="79" t="s">
        <v>1277</v>
      </c>
      <c r="BR35" s="79" t="s">
        <v>1307</v>
      </c>
      <c r="BS35" s="79" t="s">
        <v>1308</v>
      </c>
      <c r="BT35" s="79" t="s">
        <v>1309</v>
      </c>
      <c r="BU35" s="79" t="s">
        <v>1291</v>
      </c>
      <c r="BV35" s="79" t="s">
        <v>1320</v>
      </c>
      <c r="BW35" s="79" t="s">
        <v>1329</v>
      </c>
      <c r="BX35" s="79" t="s">
        <v>1335</v>
      </c>
      <c r="BY35" s="79" t="s">
        <v>1332</v>
      </c>
      <c r="BZ35" s="79" t="s">
        <v>1322</v>
      </c>
      <c r="CA35" s="79" t="s">
        <v>1325</v>
      </c>
      <c r="CB35" s="79" t="s">
        <v>1533</v>
      </c>
      <c r="CC35" s="79" t="s">
        <v>1505</v>
      </c>
      <c r="CD35" s="79" t="s">
        <v>1506</v>
      </c>
      <c r="CE35" s="79" t="s">
        <v>1534</v>
      </c>
      <c r="CF35" s="79" t="s">
        <v>1535</v>
      </c>
      <c r="CG35" s="79" t="s">
        <v>1536</v>
      </c>
      <c r="CH35" s="79" t="s">
        <v>1285</v>
      </c>
      <c r="CI35" s="79" t="s">
        <v>1550</v>
      </c>
      <c r="CJ35" s="79" t="s">
        <v>1548</v>
      </c>
      <c r="CK35" s="79" t="s">
        <v>1563</v>
      </c>
      <c r="CL35" s="79" t="s">
        <v>1566</v>
      </c>
      <c r="CM35" s="79" t="s">
        <v>1553</v>
      </c>
      <c r="CN35" s="79" t="s">
        <v>1556</v>
      </c>
      <c r="CO35" s="79" t="s">
        <v>1559</v>
      </c>
      <c r="CP35" s="79" t="s">
        <v>1772</v>
      </c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  <c r="ALH35" s="5"/>
      <c r="ALI35" s="5"/>
      <c r="ALJ35" s="5"/>
      <c r="ALK35" s="5"/>
      <c r="ALL35" s="5"/>
      <c r="ALM35" s="5"/>
      <c r="ALN35" s="5"/>
      <c r="ALO35" s="5"/>
      <c r="ALP35" s="5"/>
      <c r="ALQ35" s="5"/>
      <c r="ALR35" s="5"/>
      <c r="ALS35" s="5"/>
      <c r="ALT35" s="5"/>
      <c r="ALU35" s="5"/>
      <c r="ALV35" s="5"/>
      <c r="ALW35" s="5"/>
      <c r="ALX35" s="5"/>
      <c r="ALY35" s="5"/>
      <c r="ALZ35" s="5"/>
      <c r="AMA35" s="5"/>
      <c r="AMB35" s="5"/>
      <c r="AMC35" s="5"/>
      <c r="AMD35" s="5"/>
      <c r="AME35" s="5"/>
      <c r="AMF35" s="5"/>
      <c r="AMG35" s="5"/>
      <c r="AMH35" s="5"/>
      <c r="AMI35" s="5"/>
      <c r="AMJ35" s="5"/>
      <c r="AMK35" s="5"/>
      <c r="AML35" s="5"/>
      <c r="AMM35" s="5"/>
      <c r="AMN35" s="5"/>
      <c r="AMO35" s="5"/>
      <c r="AMP35" s="5"/>
      <c r="AMQ35" s="5"/>
      <c r="AMR35" s="5"/>
      <c r="AMS35" s="5"/>
      <c r="AMT35" s="5"/>
      <c r="AMU35" s="5"/>
      <c r="AMV35" s="5"/>
      <c r="AMW35" s="5"/>
      <c r="AMX35" s="5"/>
      <c r="AMY35" s="5"/>
      <c r="AMZ35" s="5"/>
      <c r="ANA35" s="5"/>
      <c r="ANB35" s="5"/>
      <c r="ANC35" s="5"/>
      <c r="AND35" s="5"/>
      <c r="ANE35" s="5"/>
      <c r="ANF35" s="5"/>
      <c r="ANG35" s="5"/>
      <c r="ANH35" s="5"/>
      <c r="ANI35" s="5"/>
      <c r="ANJ35" s="5"/>
      <c r="ANK35" s="5"/>
      <c r="ANL35" s="5"/>
      <c r="ANM35" s="5"/>
      <c r="ANN35" s="5"/>
      <c r="ANO35" s="5"/>
      <c r="ANP35" s="5"/>
      <c r="ANQ35" s="5"/>
      <c r="ANR35" s="5"/>
      <c r="ANS35" s="5"/>
      <c r="ANT35" s="5"/>
      <c r="ANU35" s="5"/>
      <c r="ANV35" s="5"/>
      <c r="ANW35" s="5"/>
      <c r="ANX35" s="5"/>
      <c r="ANY35" s="5"/>
      <c r="ANZ35" s="5"/>
      <c r="AOA35" s="5"/>
      <c r="AOB35" s="5"/>
      <c r="AOC35" s="5"/>
      <c r="AOD35" s="5"/>
      <c r="AOE35" s="5"/>
      <c r="AOF35" s="5"/>
      <c r="AOG35" s="5"/>
      <c r="AOH35" s="5"/>
      <c r="AOI35" s="5"/>
      <c r="AOJ35" s="5"/>
      <c r="AOK35" s="5"/>
      <c r="AOL35" s="5"/>
      <c r="AOM35" s="5"/>
      <c r="AON35" s="5"/>
      <c r="AOO35" s="5"/>
      <c r="AOP35" s="5"/>
      <c r="AOQ35" s="5"/>
      <c r="AOR35" s="5"/>
      <c r="AOS35" s="5"/>
      <c r="AOT35" s="5"/>
      <c r="AOU35" s="5"/>
      <c r="AOV35" s="5"/>
      <c r="AOW35" s="5"/>
      <c r="AOX35" s="5"/>
      <c r="AOY35" s="5"/>
      <c r="AOZ35" s="5"/>
      <c r="APA35" s="5"/>
      <c r="APB35" s="5"/>
      <c r="APC35" s="5"/>
      <c r="APD35" s="5"/>
      <c r="APE35" s="5"/>
      <c r="APF35" s="5"/>
      <c r="APG35" s="5"/>
      <c r="APH35" s="5"/>
      <c r="API35" s="5"/>
      <c r="APJ35" s="5"/>
      <c r="APK35" s="5"/>
      <c r="APL35" s="5"/>
      <c r="APM35" s="5"/>
      <c r="APN35" s="5"/>
      <c r="APO35" s="5"/>
      <c r="APP35" s="5"/>
      <c r="APQ35" s="5"/>
      <c r="APR35" s="5"/>
      <c r="APS35" s="5"/>
      <c r="APT35" s="5"/>
      <c r="APU35" s="5"/>
      <c r="APV35" s="5"/>
      <c r="APW35" s="5"/>
      <c r="APX35" s="5"/>
      <c r="APY35" s="5"/>
      <c r="APZ35" s="5"/>
      <c r="AQA35" s="5"/>
      <c r="AQB35" s="5"/>
      <c r="AQC35" s="5"/>
      <c r="AQD35" s="5"/>
      <c r="AQE35" s="5"/>
      <c r="AQF35" s="5"/>
      <c r="AQG35" s="5"/>
      <c r="AQH35" s="5"/>
      <c r="AQI35" s="5"/>
      <c r="AQJ35" s="5"/>
      <c r="AQK35" s="5"/>
      <c r="AQL35" s="5"/>
      <c r="AQM35" s="5"/>
      <c r="AQN35" s="5"/>
      <c r="AQO35" s="5"/>
      <c r="AQP35" s="5"/>
      <c r="AQQ35" s="5"/>
      <c r="AQR35" s="5"/>
      <c r="AQS35" s="5"/>
      <c r="AQT35" s="5"/>
      <c r="AQU35" s="5"/>
      <c r="AQV35" s="5"/>
      <c r="AQW35" s="5"/>
      <c r="AQX35" s="5"/>
      <c r="AQY35" s="5"/>
      <c r="AQZ35" s="5"/>
      <c r="ARA35" s="5"/>
      <c r="ARB35" s="5"/>
      <c r="ARC35" s="5"/>
      <c r="ARD35" s="5"/>
      <c r="ARE35" s="5"/>
      <c r="ARF35" s="5"/>
      <c r="ARG35" s="5"/>
      <c r="ARH35" s="5"/>
      <c r="ARI35" s="5"/>
      <c r="ARJ35" s="5"/>
      <c r="ARK35" s="5"/>
      <c r="ARL35" s="5"/>
      <c r="ARM35" s="5"/>
      <c r="ARN35" s="5"/>
      <c r="ARO35" s="5"/>
      <c r="ARP35" s="5"/>
      <c r="ARQ35" s="5"/>
      <c r="ARR35" s="5"/>
      <c r="ARS35" s="5"/>
      <c r="ART35" s="5"/>
      <c r="ARU35" s="5"/>
      <c r="ARV35" s="5"/>
      <c r="ARW35" s="5"/>
      <c r="ARX35" s="5"/>
      <c r="ARY35" s="5"/>
      <c r="ARZ35" s="5"/>
      <c r="ASA35" s="5"/>
      <c r="ASB35" s="5"/>
      <c r="ASC35" s="5"/>
      <c r="ASD35" s="5"/>
      <c r="ASE35" s="5"/>
      <c r="ASF35" s="5"/>
      <c r="ASG35" s="5"/>
      <c r="ASH35" s="5"/>
      <c r="ASI35" s="5"/>
      <c r="ASJ35" s="5"/>
      <c r="ASK35" s="5"/>
      <c r="ASL35" s="5"/>
      <c r="ASM35" s="5"/>
      <c r="ASN35" s="5"/>
      <c r="ASO35" s="5"/>
      <c r="ASP35" s="5"/>
      <c r="ASQ35" s="5"/>
      <c r="ASR35" s="5"/>
      <c r="ASS35" s="5"/>
      <c r="AST35" s="5"/>
      <c r="ASU35" s="5"/>
      <c r="ASV35" s="5"/>
      <c r="ASW35" s="5"/>
      <c r="ASX35" s="5"/>
      <c r="ASY35" s="5"/>
      <c r="ASZ35" s="5"/>
      <c r="ATA35" s="5"/>
      <c r="ATB35" s="5"/>
      <c r="ATC35" s="5"/>
      <c r="ATD35" s="5"/>
      <c r="ATE35" s="5"/>
      <c r="ATF35" s="5"/>
      <c r="ATG35" s="5"/>
      <c r="ATH35" s="5"/>
      <c r="ATI35" s="5"/>
      <c r="ATJ35" s="5"/>
      <c r="ATK35" s="5"/>
      <c r="ATL35" s="5"/>
      <c r="ATM35" s="5"/>
      <c r="ATN35" s="5"/>
      <c r="ATO35" s="5"/>
      <c r="ATP35" s="5"/>
      <c r="ATQ35" s="5"/>
      <c r="ATR35" s="5"/>
      <c r="ATS35" s="5"/>
      <c r="ATT35" s="5"/>
      <c r="ATU35" s="5"/>
      <c r="ATV35" s="5"/>
      <c r="ATW35" s="5"/>
      <c r="ATX35" s="5"/>
      <c r="ATY35" s="5"/>
      <c r="ATZ35" s="5"/>
      <c r="AUA35" s="5"/>
      <c r="AUB35" s="5"/>
      <c r="AUC35" s="5"/>
      <c r="AUD35" s="5"/>
      <c r="AUE35" s="5"/>
      <c r="AUF35" s="5"/>
      <c r="AUG35" s="5"/>
      <c r="AUH35" s="5"/>
      <c r="AUI35" s="5"/>
      <c r="AUJ35" s="5"/>
      <c r="AUK35" s="5"/>
      <c r="AUL35" s="5"/>
      <c r="AUM35" s="5"/>
      <c r="AUN35" s="5"/>
      <c r="AUO35" s="5"/>
      <c r="AUP35" s="5"/>
      <c r="AUQ35" s="5"/>
      <c r="AUR35" s="5"/>
      <c r="AUS35" s="5"/>
      <c r="AUT35" s="5"/>
      <c r="AUU35" s="5"/>
      <c r="AUV35" s="5"/>
      <c r="AUW35" s="5"/>
      <c r="AUX35" s="5"/>
      <c r="AUY35" s="5"/>
      <c r="AUZ35" s="5"/>
      <c r="AVA35" s="5"/>
      <c r="AVB35" s="5"/>
      <c r="AVC35" s="5"/>
      <c r="AVD35" s="5"/>
      <c r="AVE35" s="5"/>
      <c r="AVF35" s="5"/>
      <c r="AVG35" s="5"/>
      <c r="AVH35" s="5"/>
      <c r="AVI35" s="5"/>
      <c r="AVJ35" s="5"/>
      <c r="AVK35" s="5"/>
      <c r="AVL35" s="5"/>
      <c r="AVM35" s="5"/>
      <c r="AVN35" s="5"/>
      <c r="AVO35" s="5"/>
      <c r="AVP35" s="5"/>
      <c r="AVQ35" s="5"/>
      <c r="AVR35" s="5"/>
      <c r="AVS35" s="5"/>
      <c r="AVT35" s="5"/>
      <c r="AVU35" s="5"/>
      <c r="AVV35" s="5"/>
      <c r="AVW35" s="5"/>
      <c r="AVX35" s="5"/>
      <c r="AVY35" s="5"/>
      <c r="AVZ35" s="5"/>
      <c r="AWA35" s="5"/>
      <c r="AWB35" s="5"/>
      <c r="AWC35" s="5"/>
      <c r="AWD35" s="5"/>
      <c r="AWE35" s="5"/>
      <c r="AWF35" s="5"/>
      <c r="AWG35" s="5"/>
      <c r="AWH35" s="5"/>
      <c r="AWI35" s="5"/>
      <c r="AWJ35" s="5"/>
      <c r="AWK35" s="5"/>
      <c r="AWL35" s="5"/>
      <c r="AWM35" s="5"/>
      <c r="AWN35" s="5"/>
      <c r="AWO35" s="5"/>
      <c r="AWP35" s="5"/>
      <c r="AWQ35" s="5"/>
      <c r="AWR35" s="5"/>
      <c r="AWS35" s="5"/>
      <c r="AWT35" s="5"/>
      <c r="AWU35" s="5"/>
      <c r="AWV35" s="5"/>
      <c r="AWW35" s="5"/>
      <c r="AWX35" s="5"/>
      <c r="AWY35" s="5"/>
      <c r="AWZ35" s="5"/>
      <c r="AXA35" s="5"/>
      <c r="AXB35" s="5"/>
      <c r="AXC35" s="5"/>
      <c r="AXD35" s="5"/>
      <c r="AXE35" s="5"/>
      <c r="AXF35" s="5"/>
      <c r="AXG35" s="5"/>
      <c r="AXH35" s="5"/>
      <c r="AXI35" s="5"/>
      <c r="AXJ35" s="5"/>
      <c r="AXK35" s="5"/>
      <c r="AXL35" s="5"/>
      <c r="AXM35" s="5"/>
      <c r="AXN35" s="5"/>
      <c r="AXO35" s="5"/>
      <c r="AXP35" s="5"/>
      <c r="AXQ35" s="5"/>
      <c r="AXR35" s="5"/>
      <c r="AXS35" s="5"/>
      <c r="AXT35" s="5"/>
      <c r="AXU35" s="5"/>
      <c r="AXV35" s="5"/>
      <c r="AXW35" s="5"/>
      <c r="AXX35" s="5"/>
      <c r="AXY35" s="5"/>
      <c r="AXZ35" s="5"/>
      <c r="AYA35" s="5"/>
      <c r="AYB35" s="5"/>
      <c r="AYC35" s="5"/>
      <c r="AYD35" s="5"/>
      <c r="AYE35" s="5"/>
      <c r="AYF35" s="5"/>
      <c r="AYG35" s="5"/>
      <c r="AYH35" s="5"/>
      <c r="AYI35" s="5"/>
      <c r="AYJ35" s="5"/>
      <c r="AYK35" s="5"/>
      <c r="AYL35" s="5"/>
      <c r="AYM35" s="5"/>
      <c r="AYN35" s="5"/>
      <c r="AYO35" s="5"/>
      <c r="AYP35" s="5"/>
      <c r="AYQ35" s="5"/>
      <c r="AYR35" s="5"/>
      <c r="AYS35" s="5"/>
      <c r="AYT35" s="5"/>
      <c r="AYU35" s="5"/>
      <c r="AYV35" s="5"/>
      <c r="AYW35" s="5"/>
      <c r="AYX35" s="5"/>
      <c r="AYY35" s="5"/>
      <c r="AYZ35" s="5"/>
      <c r="AZA35" s="5"/>
      <c r="AZB35" s="5"/>
      <c r="AZC35" s="5"/>
      <c r="AZD35" s="5"/>
      <c r="AZE35" s="5"/>
      <c r="AZF35" s="5"/>
      <c r="AZG35" s="5"/>
      <c r="AZH35" s="5"/>
      <c r="AZI35" s="5"/>
      <c r="AZJ35" s="5"/>
      <c r="AZK35" s="5"/>
      <c r="AZL35" s="5"/>
      <c r="AZM35" s="5"/>
      <c r="AZN35" s="5"/>
      <c r="AZO35" s="5"/>
      <c r="AZP35" s="5"/>
      <c r="AZQ35" s="5"/>
      <c r="AZR35" s="5"/>
      <c r="AZS35" s="5"/>
      <c r="AZT35" s="5"/>
      <c r="AZU35" s="5"/>
      <c r="AZV35" s="5"/>
      <c r="AZW35" s="5"/>
      <c r="AZX35" s="5"/>
      <c r="AZY35" s="5"/>
      <c r="AZZ35" s="5"/>
      <c r="BAA35" s="5"/>
      <c r="BAB35" s="5"/>
      <c r="BAC35" s="5"/>
      <c r="BAD35" s="5"/>
      <c r="BAE35" s="5"/>
      <c r="BAF35" s="5"/>
      <c r="BAG35" s="5"/>
      <c r="BAH35" s="5"/>
      <c r="BAI35" s="5"/>
      <c r="BAJ35" s="5"/>
      <c r="BAK35" s="5"/>
      <c r="BAL35" s="5"/>
      <c r="BAM35" s="5"/>
      <c r="BAN35" s="5"/>
      <c r="BAO35" s="5"/>
      <c r="BAP35" s="5"/>
      <c r="BAQ35" s="5"/>
      <c r="BAR35" s="5"/>
      <c r="BAS35" s="5"/>
      <c r="BAT35" s="5"/>
      <c r="BAU35" s="5"/>
      <c r="BAV35" s="5"/>
      <c r="BAW35" s="5"/>
      <c r="BAX35" s="5"/>
      <c r="BAY35" s="5"/>
      <c r="BAZ35" s="5"/>
      <c r="BBA35" s="5"/>
      <c r="BBB35" s="5"/>
      <c r="BBC35" s="5"/>
      <c r="BBD35" s="5"/>
      <c r="BBE35" s="5"/>
      <c r="BBF35" s="5"/>
      <c r="BBG35" s="5"/>
      <c r="BBH35" s="5"/>
      <c r="BBI35" s="5"/>
      <c r="BBJ35" s="5"/>
      <c r="BBK35" s="5"/>
      <c r="BBL35" s="5"/>
      <c r="BBM35" s="5"/>
      <c r="BBN35" s="5"/>
      <c r="BBO35" s="5"/>
      <c r="BBP35" s="5"/>
      <c r="BBQ35" s="5"/>
      <c r="BBR35" s="5"/>
      <c r="BBS35" s="5"/>
      <c r="BBT35" s="5"/>
      <c r="BBU35" s="5"/>
      <c r="BBV35" s="5"/>
      <c r="BBW35" s="5"/>
      <c r="BBX35" s="5"/>
      <c r="BBY35" s="5"/>
      <c r="BBZ35" s="5"/>
      <c r="BCA35" s="5"/>
      <c r="BCB35" s="5"/>
      <c r="BCC35" s="5"/>
      <c r="BCD35" s="5"/>
      <c r="BCE35" s="5"/>
      <c r="BCF35" s="5"/>
      <c r="BCG35" s="5"/>
      <c r="BCH35" s="5"/>
      <c r="BCI35" s="5"/>
      <c r="BCJ35" s="5"/>
      <c r="BCK35" s="5"/>
      <c r="BCL35" s="5"/>
      <c r="BCM35" s="5"/>
      <c r="BCN35" s="5"/>
      <c r="BCO35" s="5"/>
      <c r="BCP35" s="5"/>
      <c r="BCQ35" s="5"/>
      <c r="BCR35" s="5"/>
      <c r="BCS35" s="5"/>
      <c r="BCT35" s="5"/>
      <c r="BCU35" s="5"/>
      <c r="BCV35" s="5"/>
      <c r="BCW35" s="5"/>
      <c r="BCX35" s="5"/>
      <c r="BCY35" s="5"/>
      <c r="BCZ35" s="5"/>
      <c r="BDA35" s="5"/>
      <c r="BDB35" s="5"/>
      <c r="BDC35" s="5"/>
      <c r="BDD35" s="5"/>
      <c r="BDE35" s="5"/>
      <c r="BDF35" s="5"/>
      <c r="BDG35" s="5"/>
      <c r="BDH35" s="5"/>
      <c r="BDI35" s="5"/>
      <c r="BDJ35" s="5"/>
      <c r="BDK35" s="5"/>
      <c r="BDL35" s="5"/>
      <c r="BDM35" s="5"/>
      <c r="BDN35" s="5"/>
      <c r="BDO35" s="5"/>
      <c r="BDP35" s="5"/>
      <c r="BDQ35" s="5"/>
      <c r="BDR35" s="5"/>
      <c r="BDS35" s="5"/>
      <c r="BDT35" s="5"/>
      <c r="BDU35" s="5"/>
      <c r="BDV35" s="5"/>
      <c r="BDW35" s="5"/>
      <c r="BDX35" s="5"/>
      <c r="BDY35" s="5"/>
      <c r="BDZ35" s="5"/>
      <c r="BEA35" s="5"/>
      <c r="BEB35" s="5"/>
      <c r="BEC35" s="5"/>
      <c r="BED35" s="5"/>
      <c r="BEE35" s="5"/>
      <c r="BEF35" s="5"/>
      <c r="BEG35" s="5"/>
      <c r="BEH35" s="5"/>
      <c r="BEI35" s="5"/>
      <c r="BEJ35" s="5"/>
      <c r="BEK35" s="5"/>
      <c r="BEL35" s="5"/>
      <c r="BEM35" s="5"/>
      <c r="BEN35" s="5"/>
      <c r="BEO35" s="5"/>
      <c r="BEP35" s="5"/>
      <c r="BEQ35" s="5"/>
      <c r="BER35" s="5"/>
      <c r="BES35" s="5"/>
      <c r="BET35" s="5"/>
      <c r="BEU35" s="5"/>
      <c r="BEV35" s="5"/>
      <c r="BEW35" s="5"/>
      <c r="BEX35" s="5"/>
      <c r="BEY35" s="5"/>
      <c r="BEZ35" s="5"/>
      <c r="BFA35" s="5"/>
      <c r="BFB35" s="5"/>
      <c r="BFC35" s="5"/>
      <c r="BFD35" s="5"/>
      <c r="BFE35" s="5"/>
      <c r="BFF35" s="5"/>
      <c r="BFG35" s="5"/>
      <c r="BFH35" s="5"/>
      <c r="BFI35" s="5"/>
      <c r="BFJ35" s="5"/>
      <c r="BFK35" s="5"/>
      <c r="BFL35" s="5"/>
      <c r="BFM35" s="5"/>
      <c r="BFN35" s="5"/>
      <c r="BFO35" s="5"/>
      <c r="BFP35" s="5"/>
      <c r="BFQ35" s="5"/>
      <c r="BFR35" s="5"/>
      <c r="BFS35" s="5"/>
      <c r="BFT35" s="5"/>
      <c r="BFU35" s="5"/>
      <c r="BFV35" s="5"/>
      <c r="BFW35" s="5"/>
      <c r="BFX35" s="5"/>
      <c r="BFY35" s="5"/>
      <c r="BFZ35" s="5"/>
      <c r="BGA35" s="5"/>
      <c r="BGB35" s="5"/>
      <c r="BGC35" s="5"/>
      <c r="BGD35" s="5"/>
      <c r="BGE35" s="5"/>
      <c r="BGF35" s="5"/>
      <c r="BGG35" s="5"/>
      <c r="BGH35" s="5"/>
      <c r="BGI35" s="5"/>
      <c r="BGJ35" s="5"/>
      <c r="BGK35" s="5"/>
      <c r="BGL35" s="5"/>
      <c r="BGM35" s="5"/>
      <c r="BGN35" s="5"/>
      <c r="BGO35" s="5"/>
      <c r="BGP35" s="5"/>
      <c r="BGQ35" s="5"/>
      <c r="BGR35" s="5"/>
      <c r="BGS35" s="5"/>
      <c r="BGT35" s="5"/>
      <c r="BGU35" s="5"/>
      <c r="BGV35" s="5"/>
      <c r="BGW35" s="5"/>
      <c r="BGX35" s="5"/>
      <c r="BGY35" s="5"/>
      <c r="BGZ35" s="5"/>
      <c r="BHA35" s="5"/>
      <c r="BHB35" s="5"/>
      <c r="BHC35" s="5"/>
      <c r="BHD35" s="5"/>
      <c r="BHE35" s="5"/>
      <c r="BHF35" s="5"/>
      <c r="BHG35" s="5"/>
      <c r="BHH35" s="5"/>
      <c r="BHI35" s="5"/>
      <c r="BHJ35" s="5"/>
      <c r="BHK35" s="5"/>
      <c r="BHL35" s="5"/>
      <c r="BHM35" s="5"/>
      <c r="BHN35" s="5"/>
      <c r="BHO35" s="5"/>
      <c r="BHP35" s="5"/>
      <c r="BHQ35" s="5"/>
      <c r="BHR35" s="5"/>
      <c r="BHS35" s="5"/>
      <c r="BHT35" s="5"/>
      <c r="BHU35" s="5"/>
      <c r="BHV35" s="5"/>
      <c r="BHW35" s="5"/>
      <c r="BHX35" s="5"/>
      <c r="BHY35" s="5"/>
      <c r="BHZ35" s="5"/>
      <c r="BIA35" s="5"/>
      <c r="BIB35" s="5"/>
      <c r="BIC35" s="5"/>
      <c r="BID35" s="5"/>
      <c r="BIE35" s="5"/>
      <c r="BIF35" s="5"/>
      <c r="BIG35" s="5"/>
      <c r="BIH35" s="5"/>
      <c r="BII35" s="5"/>
      <c r="BIJ35" s="5"/>
      <c r="BIK35" s="5"/>
      <c r="BIL35" s="5"/>
      <c r="BIM35" s="5"/>
      <c r="BIN35" s="5"/>
      <c r="BIO35" s="5"/>
      <c r="BIP35" s="5"/>
      <c r="BIQ35" s="5"/>
      <c r="BIR35" s="5"/>
      <c r="BIS35" s="5"/>
      <c r="BIT35" s="5"/>
      <c r="BIU35" s="5"/>
      <c r="BIV35" s="5"/>
      <c r="BIW35" s="5"/>
      <c r="BIX35" s="5"/>
      <c r="BIY35" s="5"/>
      <c r="BIZ35" s="5"/>
      <c r="BJA35" s="5"/>
      <c r="BJB35" s="5"/>
      <c r="BJC35" s="5"/>
      <c r="BJD35" s="5"/>
      <c r="BJE35" s="5"/>
      <c r="BJF35" s="5"/>
      <c r="BJG35" s="5"/>
      <c r="BJH35" s="5"/>
      <c r="BJI35" s="5"/>
      <c r="BJJ35" s="5"/>
      <c r="BJK35" s="5"/>
      <c r="BJL35" s="5"/>
      <c r="BJM35" s="5"/>
      <c r="BJN35" s="5"/>
      <c r="BJO35" s="5"/>
      <c r="BJP35" s="5"/>
      <c r="BJQ35" s="5"/>
      <c r="BJR35" s="5"/>
      <c r="BJS35" s="5"/>
      <c r="BJT35" s="5"/>
      <c r="BJU35" s="5"/>
      <c r="BJV35" s="5"/>
      <c r="BJW35" s="5"/>
      <c r="BJX35" s="5"/>
      <c r="BJY35" s="5"/>
      <c r="BJZ35" s="5"/>
      <c r="BKA35" s="5"/>
      <c r="BKB35" s="5"/>
      <c r="BKC35" s="5"/>
      <c r="BKD35" s="5"/>
      <c r="BKE35" s="5"/>
      <c r="BKF35" s="5"/>
      <c r="BKG35" s="5"/>
      <c r="BKH35" s="5"/>
      <c r="BKI35" s="5"/>
      <c r="BKJ35" s="5"/>
      <c r="BKK35" s="5"/>
      <c r="BKL35" s="5"/>
      <c r="BKM35" s="5"/>
      <c r="BKN35" s="5"/>
      <c r="BKO35" s="5"/>
      <c r="BKP35" s="5"/>
      <c r="BKQ35" s="5"/>
      <c r="BKR35" s="5"/>
      <c r="BKS35" s="5"/>
      <c r="BKT35" s="5"/>
      <c r="BKU35" s="5"/>
      <c r="BKV35" s="5"/>
      <c r="BKW35" s="5"/>
      <c r="BKX35" s="5"/>
      <c r="BKY35" s="5"/>
      <c r="BKZ35" s="5"/>
      <c r="BLA35" s="5"/>
      <c r="BLB35" s="5"/>
      <c r="BLC35" s="5"/>
      <c r="BLD35" s="5"/>
      <c r="BLE35" s="5"/>
      <c r="BLF35" s="5"/>
      <c r="BLG35" s="5"/>
      <c r="BLH35" s="5"/>
      <c r="BLI35" s="5"/>
      <c r="BLJ35" s="5"/>
      <c r="BLK35" s="5"/>
      <c r="BLL35" s="5"/>
      <c r="BLM35" s="5"/>
      <c r="BLN35" s="5"/>
      <c r="BLO35" s="5"/>
      <c r="BLP35" s="5"/>
      <c r="BLQ35" s="5"/>
      <c r="BLR35" s="5"/>
      <c r="BLS35" s="5"/>
      <c r="BLT35" s="5"/>
      <c r="BLU35" s="5"/>
      <c r="BLV35" s="5"/>
      <c r="BLW35" s="5"/>
      <c r="BLX35" s="5"/>
      <c r="BLY35" s="5"/>
      <c r="BLZ35" s="5"/>
      <c r="BMA35" s="5"/>
      <c r="BMB35" s="5"/>
      <c r="BMC35" s="5"/>
      <c r="BMD35" s="5"/>
      <c r="BME35" s="5"/>
      <c r="BMF35" s="5"/>
      <c r="BMG35" s="5"/>
      <c r="BMH35" s="5"/>
      <c r="BMI35" s="5"/>
      <c r="BMJ35" s="5"/>
      <c r="BMK35" s="5"/>
      <c r="BML35" s="5"/>
      <c r="BMM35" s="5"/>
      <c r="BMN35" s="5"/>
      <c r="BMO35" s="5"/>
      <c r="BMP35" s="5"/>
      <c r="BMQ35" s="5"/>
      <c r="BMR35" s="5"/>
      <c r="BMS35" s="5"/>
      <c r="BMT35" s="5"/>
      <c r="BMU35" s="5"/>
      <c r="BMV35" s="5"/>
      <c r="BMW35" s="5"/>
      <c r="BMX35" s="5"/>
      <c r="BMY35" s="5"/>
      <c r="BMZ35" s="5"/>
      <c r="BNA35" s="5"/>
      <c r="BNB35" s="5"/>
      <c r="BNC35" s="5"/>
      <c r="BND35" s="5"/>
      <c r="BNE35" s="5"/>
      <c r="BNF35" s="5"/>
      <c r="BNG35" s="5"/>
      <c r="BNH35" s="5"/>
      <c r="BNI35" s="5"/>
      <c r="BNJ35" s="5"/>
      <c r="BNK35" s="5"/>
      <c r="BNL35" s="5"/>
      <c r="BNM35" s="5"/>
      <c r="BNN35" s="5"/>
      <c r="BNO35" s="5"/>
      <c r="BNP35" s="5"/>
      <c r="BNQ35" s="5"/>
      <c r="BNR35" s="5"/>
      <c r="BNS35" s="5"/>
      <c r="BNT35" s="5"/>
      <c r="BNU35" s="5"/>
      <c r="BNV35" s="5"/>
      <c r="BNW35" s="5"/>
      <c r="BNX35" s="5"/>
      <c r="BNY35" s="5"/>
      <c r="BNZ35" s="5"/>
      <c r="BOA35" s="5"/>
      <c r="BOB35" s="5"/>
      <c r="BOC35" s="5"/>
      <c r="BOD35" s="5"/>
      <c r="BOE35" s="5"/>
      <c r="BOF35" s="5"/>
      <c r="BOG35" s="5"/>
      <c r="BOH35" s="5"/>
      <c r="BOI35" s="5"/>
      <c r="BOJ35" s="5"/>
      <c r="BOK35" s="5"/>
      <c r="BOL35" s="5"/>
      <c r="BOM35" s="5"/>
      <c r="BON35" s="5"/>
      <c r="BOO35" s="5"/>
      <c r="BOP35" s="5"/>
      <c r="BOQ35" s="5"/>
      <c r="BOR35" s="5"/>
      <c r="BOS35" s="5"/>
      <c r="BOT35" s="5"/>
      <c r="BOU35" s="5"/>
      <c r="BOV35" s="5"/>
      <c r="BOW35" s="5"/>
      <c r="BOX35" s="5"/>
      <c r="BOY35" s="5"/>
      <c r="BOZ35" s="5"/>
      <c r="BPA35" s="5"/>
      <c r="BPB35" s="5"/>
      <c r="BPC35" s="5"/>
      <c r="BPD35" s="5"/>
      <c r="BPE35" s="5"/>
      <c r="BPF35" s="5"/>
      <c r="BPG35" s="5"/>
      <c r="BPH35" s="5"/>
      <c r="BPI35" s="5"/>
      <c r="BPJ35" s="5"/>
      <c r="BPK35" s="5"/>
      <c r="BPL35" s="5"/>
      <c r="BPM35" s="5"/>
      <c r="BPN35" s="5"/>
      <c r="BPO35" s="5"/>
      <c r="BPP35" s="5"/>
      <c r="BPQ35" s="5"/>
      <c r="BPR35" s="5"/>
      <c r="BPS35" s="5"/>
      <c r="BPT35" s="5"/>
      <c r="BPU35" s="5"/>
      <c r="BPV35" s="5"/>
      <c r="BPW35" s="5"/>
      <c r="BPX35" s="5"/>
      <c r="BPY35" s="5"/>
      <c r="BPZ35" s="5"/>
      <c r="BQA35" s="5"/>
      <c r="BQB35" s="5"/>
      <c r="BQC35" s="5"/>
      <c r="BQD35" s="5"/>
      <c r="BQE35" s="5"/>
      <c r="BQF35" s="5"/>
      <c r="BQG35" s="5"/>
      <c r="BQH35" s="5"/>
      <c r="BQI35" s="5"/>
      <c r="BQJ35" s="5"/>
      <c r="BQK35" s="5"/>
      <c r="BQL35" s="5"/>
      <c r="BQM35" s="5"/>
      <c r="BQN35" s="5"/>
      <c r="BQO35" s="5"/>
      <c r="BQP35" s="5"/>
      <c r="BQQ35" s="5"/>
      <c r="BQR35" s="5"/>
      <c r="BQS35" s="5"/>
      <c r="BQT35" s="5"/>
      <c r="BQU35" s="5"/>
      <c r="BQV35" s="5"/>
      <c r="BQW35" s="5"/>
      <c r="BQX35" s="5"/>
      <c r="BQY35" s="5"/>
      <c r="BQZ35" s="5"/>
      <c r="BRA35" s="5"/>
      <c r="BRB35" s="5"/>
      <c r="BRC35" s="5"/>
      <c r="BRD35" s="5"/>
      <c r="BRE35" s="5"/>
      <c r="BRF35" s="5"/>
      <c r="BRG35" s="5"/>
      <c r="BRH35" s="5"/>
      <c r="BRI35" s="5"/>
      <c r="BRJ35" s="5"/>
      <c r="BRK35" s="5"/>
      <c r="BRL35" s="5"/>
      <c r="BRM35" s="5"/>
      <c r="BRN35" s="5"/>
      <c r="BRO35" s="5"/>
      <c r="BRP35" s="5"/>
      <c r="BRQ35" s="5"/>
      <c r="BRR35" s="5"/>
      <c r="BRS35" s="5"/>
      <c r="BRT35" s="5"/>
      <c r="BRU35" s="5"/>
      <c r="BRV35" s="5"/>
      <c r="BRW35" s="5"/>
      <c r="BRX35" s="5"/>
      <c r="BRY35" s="5"/>
      <c r="BRZ35" s="5"/>
      <c r="BSA35" s="5"/>
      <c r="BSB35" s="5"/>
      <c r="BSC35" s="5"/>
      <c r="BSD35" s="5"/>
      <c r="BSE35" s="5"/>
      <c r="BSF35" s="5"/>
      <c r="BSG35" s="5"/>
      <c r="BSH35" s="5"/>
      <c r="BSI35" s="5"/>
      <c r="BSJ35" s="5"/>
      <c r="BSK35" s="5"/>
      <c r="BSL35" s="5"/>
      <c r="BSM35" s="5"/>
      <c r="BSN35" s="5"/>
      <c r="BSO35" s="5"/>
      <c r="BSP35" s="5"/>
      <c r="BSQ35" s="5"/>
      <c r="BSR35" s="5"/>
      <c r="BSS35" s="5"/>
      <c r="BST35" s="5"/>
      <c r="BSU35" s="5"/>
      <c r="BSV35" s="5"/>
      <c r="BSW35" s="5"/>
      <c r="BSX35" s="5"/>
      <c r="BSY35" s="5"/>
      <c r="BSZ35" s="5"/>
      <c r="BTA35" s="5"/>
      <c r="BTB35" s="5"/>
      <c r="BTC35" s="5"/>
      <c r="BTD35" s="5"/>
      <c r="BTE35" s="5"/>
      <c r="BTF35" s="5"/>
      <c r="BTG35" s="5"/>
      <c r="BTH35" s="5"/>
      <c r="BTI35" s="5"/>
      <c r="BTJ35" s="5"/>
      <c r="BTK35" s="5"/>
      <c r="BTL35" s="5"/>
      <c r="BTM35" s="5"/>
      <c r="BTN35" s="5"/>
      <c r="BTO35" s="5"/>
      <c r="BTP35" s="5"/>
      <c r="BTQ35" s="5"/>
      <c r="BTR35" s="5"/>
      <c r="BTS35" s="5"/>
      <c r="BTT35" s="5"/>
      <c r="BTU35" s="5"/>
      <c r="BTV35" s="5"/>
      <c r="BTW35" s="5"/>
      <c r="BTX35" s="5"/>
      <c r="BTY35" s="5"/>
      <c r="BTZ35" s="5"/>
      <c r="BUA35" s="5"/>
      <c r="BUB35" s="5"/>
      <c r="BUC35" s="5"/>
      <c r="BUD35" s="5"/>
      <c r="BUE35" s="5"/>
      <c r="BUF35" s="5"/>
      <c r="BUG35" s="5"/>
      <c r="BUH35" s="5"/>
      <c r="BUI35" s="5"/>
      <c r="BUJ35" s="5"/>
      <c r="BUK35" s="5"/>
      <c r="BUL35" s="5"/>
      <c r="BUM35" s="5"/>
      <c r="BUN35" s="5"/>
      <c r="BUO35" s="5"/>
      <c r="BUP35" s="5"/>
      <c r="BUQ35" s="5"/>
      <c r="BUR35" s="5"/>
      <c r="BUS35" s="5"/>
      <c r="BUT35" s="5"/>
      <c r="BUU35" s="5"/>
      <c r="BUV35" s="5"/>
      <c r="BUW35" s="5"/>
      <c r="BUX35" s="5"/>
      <c r="BUY35" s="5"/>
      <c r="BUZ35" s="5"/>
      <c r="BVA35" s="5"/>
      <c r="BVB35" s="5"/>
      <c r="BVC35" s="5"/>
      <c r="BVD35" s="5"/>
      <c r="BVE35" s="5"/>
      <c r="BVF35" s="5"/>
      <c r="BVG35" s="5"/>
      <c r="BVH35" s="5"/>
      <c r="BVI35" s="5"/>
      <c r="BVJ35" s="5"/>
      <c r="BVK35" s="5"/>
      <c r="BVL35" s="5"/>
      <c r="BVM35" s="5"/>
      <c r="BVN35" s="5"/>
      <c r="BVO35" s="5"/>
      <c r="BVP35" s="5"/>
      <c r="BVQ35" s="5"/>
      <c r="BVR35" s="5"/>
      <c r="BVS35" s="5"/>
      <c r="BVT35" s="5"/>
      <c r="BVU35" s="5"/>
      <c r="BVV35" s="5"/>
      <c r="BVW35" s="5"/>
      <c r="BVX35" s="5"/>
      <c r="BVY35" s="5"/>
      <c r="BVZ35" s="5"/>
      <c r="BWA35" s="5"/>
      <c r="BWB35" s="5"/>
      <c r="BWC35" s="5"/>
      <c r="BWD35" s="5"/>
      <c r="BWE35" s="5"/>
      <c r="BWF35" s="5"/>
      <c r="BWG35" s="5"/>
      <c r="BWH35" s="5"/>
      <c r="BWI35" s="5"/>
      <c r="BWJ35" s="5"/>
      <c r="BWK35" s="5"/>
      <c r="BWL35" s="5"/>
      <c r="BWM35" s="5"/>
      <c r="BWN35" s="5"/>
      <c r="BWO35" s="5"/>
      <c r="BWP35" s="5"/>
      <c r="BWQ35" s="5"/>
      <c r="BWR35" s="5"/>
      <c r="BWS35" s="5"/>
      <c r="BWT35" s="5"/>
      <c r="BWU35" s="5"/>
      <c r="BWV35" s="5"/>
      <c r="BWW35" s="5"/>
      <c r="BWX35" s="5"/>
      <c r="BWY35" s="5"/>
      <c r="BWZ35" s="5"/>
      <c r="BXA35" s="5"/>
      <c r="BXB35" s="5"/>
      <c r="BXC35" s="5"/>
      <c r="BXD35" s="5"/>
      <c r="BXE35" s="5"/>
      <c r="BXF35" s="5"/>
      <c r="BXG35" s="5"/>
      <c r="BXH35" s="5"/>
      <c r="BXI35" s="5"/>
      <c r="BXJ35" s="5"/>
      <c r="BXK35" s="5"/>
      <c r="BXL35" s="5"/>
      <c r="BXM35" s="5"/>
      <c r="BXN35" s="5"/>
      <c r="BXO35" s="5"/>
      <c r="BXP35" s="5"/>
      <c r="BXQ35" s="5"/>
      <c r="BXR35" s="5"/>
      <c r="BXS35" s="5"/>
      <c r="BXT35" s="5"/>
      <c r="BXU35" s="5"/>
      <c r="BXV35" s="5"/>
      <c r="BXW35" s="5"/>
      <c r="BXX35" s="5"/>
      <c r="BXY35" s="5"/>
      <c r="BXZ35" s="5"/>
      <c r="BYA35" s="5"/>
      <c r="BYB35" s="5"/>
      <c r="BYC35" s="5"/>
      <c r="BYD35" s="5"/>
      <c r="BYE35" s="5"/>
      <c r="BYF35" s="5"/>
      <c r="BYG35" s="5"/>
      <c r="BYH35" s="5"/>
      <c r="BYI35" s="5"/>
      <c r="BYJ35" s="5"/>
      <c r="BYK35" s="5"/>
      <c r="BYL35" s="5"/>
      <c r="BYM35" s="5"/>
      <c r="BYN35" s="5"/>
      <c r="BYO35" s="5"/>
      <c r="BYP35" s="5"/>
      <c r="BYQ35" s="5"/>
      <c r="BYR35" s="5"/>
      <c r="BYS35" s="5"/>
      <c r="BYT35" s="5"/>
      <c r="BYU35" s="5"/>
      <c r="BYV35" s="5"/>
      <c r="BYW35" s="5"/>
      <c r="BYX35" s="5"/>
      <c r="BYY35" s="5"/>
      <c r="BYZ35" s="5"/>
      <c r="BZA35" s="5"/>
      <c r="BZB35" s="5"/>
      <c r="BZC35" s="5"/>
      <c r="BZD35" s="5"/>
      <c r="BZE35" s="5"/>
      <c r="BZF35" s="5"/>
      <c r="BZG35" s="5"/>
      <c r="BZH35" s="5"/>
      <c r="BZI35" s="5"/>
      <c r="BZJ35" s="5"/>
      <c r="BZK35" s="5"/>
      <c r="BZL35" s="5"/>
      <c r="BZM35" s="5"/>
      <c r="BZN35" s="5"/>
      <c r="BZO35" s="5"/>
      <c r="BZP35" s="5"/>
      <c r="BZQ35" s="5"/>
      <c r="BZR35" s="5"/>
      <c r="BZS35" s="5"/>
      <c r="BZT35" s="5"/>
      <c r="BZU35" s="5"/>
      <c r="BZV35" s="5"/>
      <c r="BZW35" s="5"/>
      <c r="BZX35" s="5"/>
      <c r="BZY35" s="5"/>
      <c r="BZZ35" s="5"/>
      <c r="CAA35" s="5"/>
      <c r="CAB35" s="5"/>
      <c r="CAC35" s="5"/>
      <c r="CAD35" s="5"/>
      <c r="CAE35" s="5"/>
      <c r="CAF35" s="5"/>
      <c r="CAG35" s="5"/>
      <c r="CAH35" s="5"/>
      <c r="CAI35" s="5"/>
      <c r="CAJ35" s="5"/>
      <c r="CAK35" s="5"/>
      <c r="CAL35" s="5"/>
      <c r="CAM35" s="5"/>
      <c r="CAN35" s="5"/>
      <c r="CAO35" s="5"/>
      <c r="CAP35" s="5"/>
      <c r="CAQ35" s="5"/>
      <c r="CAR35" s="5"/>
      <c r="CAS35" s="5"/>
      <c r="CAT35" s="5"/>
      <c r="CAU35" s="5"/>
      <c r="CAV35" s="5"/>
      <c r="CAW35" s="5"/>
      <c r="CAX35" s="5"/>
      <c r="CAY35" s="5"/>
      <c r="CAZ35" s="5"/>
      <c r="CBA35" s="5"/>
      <c r="CBB35" s="5"/>
      <c r="CBC35" s="5"/>
      <c r="CBD35" s="5"/>
      <c r="CBE35" s="5"/>
      <c r="CBF35" s="5"/>
      <c r="CBG35" s="5"/>
      <c r="CBH35" s="5"/>
      <c r="CBI35" s="5"/>
      <c r="CBJ35" s="5"/>
      <c r="CBK35" s="5"/>
      <c r="CBL35" s="5"/>
      <c r="CBM35" s="5"/>
      <c r="CBN35" s="5"/>
      <c r="CBO35" s="5"/>
      <c r="CBP35" s="5"/>
      <c r="CBQ35" s="5"/>
      <c r="CBR35" s="5"/>
      <c r="CBS35" s="5"/>
      <c r="CBT35" s="5"/>
      <c r="CBU35" s="5"/>
      <c r="CBV35" s="5"/>
      <c r="CBW35" s="5"/>
      <c r="CBX35" s="5"/>
      <c r="CBY35" s="5"/>
      <c r="CBZ35" s="5"/>
      <c r="CCA35" s="5"/>
      <c r="CCB35" s="5"/>
      <c r="CCC35" s="5"/>
      <c r="CCD35" s="5"/>
      <c r="CCE35" s="5"/>
      <c r="CCF35" s="5"/>
      <c r="CCG35" s="5"/>
      <c r="CCH35" s="5"/>
      <c r="CCI35" s="5"/>
      <c r="CCJ35" s="5"/>
      <c r="CCK35" s="5"/>
      <c r="CCL35" s="5"/>
      <c r="CCM35" s="5"/>
      <c r="CCN35" s="5"/>
      <c r="CCO35" s="5"/>
      <c r="CCP35" s="5"/>
      <c r="CCQ35" s="5"/>
      <c r="CCR35" s="5"/>
      <c r="CCS35" s="5"/>
      <c r="CCT35" s="5"/>
      <c r="CCU35" s="5"/>
      <c r="CCV35" s="5"/>
      <c r="CCW35" s="5"/>
      <c r="CCX35" s="5"/>
      <c r="CCY35" s="5"/>
      <c r="CCZ35" s="5"/>
      <c r="CDA35" s="5"/>
      <c r="CDB35" s="5"/>
      <c r="CDC35" s="5"/>
      <c r="CDD35" s="5"/>
      <c r="CDE35" s="5"/>
      <c r="CDF35" s="5"/>
      <c r="CDG35" s="5"/>
      <c r="CDH35" s="5"/>
      <c r="CDI35" s="5"/>
      <c r="CDJ35" s="5"/>
      <c r="CDK35" s="5"/>
      <c r="CDL35" s="5"/>
      <c r="CDM35" s="5"/>
      <c r="CDN35" s="5"/>
      <c r="CDO35" s="5"/>
      <c r="CDP35" s="5"/>
      <c r="CDQ35" s="5"/>
      <c r="CDR35" s="5"/>
      <c r="CDS35" s="5"/>
      <c r="CDT35" s="5"/>
      <c r="CDU35" s="5"/>
      <c r="CDV35" s="5"/>
      <c r="CDW35" s="5"/>
      <c r="CDX35" s="5"/>
      <c r="CDY35" s="5"/>
      <c r="CDZ35" s="5"/>
      <c r="CEA35" s="5"/>
      <c r="CEB35" s="5"/>
      <c r="CEC35" s="5"/>
      <c r="CED35" s="5"/>
      <c r="CEE35" s="5"/>
      <c r="CEF35" s="5"/>
      <c r="CEG35" s="5"/>
      <c r="CEH35" s="5"/>
      <c r="CEI35" s="5"/>
      <c r="CEJ35" s="5"/>
      <c r="CEK35" s="5"/>
      <c r="CEL35" s="5"/>
      <c r="CEM35" s="5"/>
      <c r="CEN35" s="5"/>
      <c r="CEO35" s="5"/>
      <c r="CEP35" s="5"/>
      <c r="CEQ35" s="5"/>
      <c r="CER35" s="5"/>
      <c r="CES35" s="5"/>
      <c r="CET35" s="5"/>
      <c r="CEU35" s="5"/>
      <c r="CEV35" s="5"/>
      <c r="CEW35" s="5"/>
      <c r="CEX35" s="5"/>
      <c r="CEY35" s="5"/>
      <c r="CEZ35" s="5"/>
      <c r="CFA35" s="5"/>
      <c r="CFB35" s="5"/>
      <c r="CFC35" s="5"/>
      <c r="CFD35" s="5"/>
      <c r="CFE35" s="5"/>
      <c r="CFF35" s="5"/>
      <c r="CFG35" s="5"/>
      <c r="CFH35" s="5"/>
      <c r="CFI35" s="5"/>
      <c r="CFJ35" s="5"/>
      <c r="CFK35" s="5"/>
      <c r="CFL35" s="5"/>
      <c r="CFM35" s="5"/>
      <c r="CFN35" s="5"/>
      <c r="CFO35" s="5"/>
      <c r="CFP35" s="5"/>
      <c r="CFQ35" s="5"/>
      <c r="CFR35" s="5"/>
      <c r="CFS35" s="5"/>
      <c r="CFT35" s="5"/>
      <c r="CFU35" s="5"/>
      <c r="CFV35" s="5"/>
      <c r="CFW35" s="5"/>
      <c r="CFX35" s="5"/>
      <c r="CFY35" s="5"/>
      <c r="CFZ35" s="5"/>
      <c r="CGA35" s="5"/>
      <c r="CGB35" s="5"/>
      <c r="CGC35" s="5"/>
      <c r="CGD35" s="5"/>
      <c r="CGE35" s="5"/>
      <c r="CGF35" s="5"/>
      <c r="CGG35" s="5"/>
      <c r="CGH35" s="5"/>
      <c r="CGI35" s="5"/>
      <c r="CGJ35" s="5"/>
      <c r="CGK35" s="5"/>
      <c r="CGL35" s="5"/>
      <c r="CGM35" s="5"/>
      <c r="CGN35" s="5"/>
      <c r="CGO35" s="5"/>
      <c r="CGP35" s="5"/>
      <c r="CGQ35" s="5"/>
      <c r="CGR35" s="5"/>
      <c r="CGS35" s="5"/>
      <c r="CGT35" s="5"/>
      <c r="CGU35" s="5"/>
      <c r="CGV35" s="5"/>
      <c r="CGW35" s="5"/>
      <c r="CGX35" s="5"/>
      <c r="CGY35" s="5"/>
      <c r="CGZ35" s="5"/>
      <c r="CHA35" s="5"/>
      <c r="CHB35" s="5"/>
      <c r="CHC35" s="5"/>
      <c r="CHD35" s="5"/>
      <c r="CHE35" s="5"/>
      <c r="CHF35" s="5"/>
      <c r="CHG35" s="5"/>
      <c r="CHH35" s="5"/>
      <c r="CHI35" s="5"/>
      <c r="CHJ35" s="5"/>
      <c r="CHK35" s="5"/>
      <c r="CHL35" s="5"/>
      <c r="CHM35" s="5"/>
      <c r="CHN35" s="5"/>
      <c r="CHO35" s="5"/>
      <c r="CHP35" s="5"/>
      <c r="CHQ35" s="5"/>
      <c r="CHR35" s="5"/>
      <c r="CHS35" s="5"/>
      <c r="CHT35" s="5"/>
      <c r="CHU35" s="5"/>
      <c r="CHV35" s="5"/>
      <c r="CHW35" s="5"/>
      <c r="CHX35" s="5"/>
      <c r="CHY35" s="5"/>
      <c r="CHZ35" s="5"/>
      <c r="CIA35" s="5"/>
      <c r="CIB35" s="5"/>
      <c r="CIC35" s="5"/>
      <c r="CID35" s="5"/>
      <c r="CIE35" s="5"/>
      <c r="CIF35" s="5"/>
      <c r="CIG35" s="5"/>
      <c r="CIH35" s="5"/>
      <c r="CII35" s="5"/>
      <c r="CIJ35" s="5"/>
      <c r="CIK35" s="5"/>
      <c r="CIL35" s="5"/>
      <c r="CIM35" s="5"/>
      <c r="CIN35" s="5"/>
      <c r="CIO35" s="5"/>
      <c r="CIP35" s="5"/>
      <c r="CIQ35" s="5"/>
      <c r="CIR35" s="5"/>
      <c r="CIS35" s="5"/>
      <c r="CIT35" s="5"/>
      <c r="CIU35" s="5"/>
      <c r="CIV35" s="5"/>
      <c r="CIW35" s="5"/>
      <c r="CIX35" s="5"/>
      <c r="CIY35" s="5"/>
      <c r="CIZ35" s="5"/>
      <c r="CJA35" s="5"/>
      <c r="CJB35" s="5"/>
      <c r="CJC35" s="5"/>
      <c r="CJD35" s="5"/>
      <c r="CJE35" s="5"/>
      <c r="CJF35" s="5"/>
      <c r="CJG35" s="5"/>
      <c r="CJH35" s="5"/>
      <c r="CJI35" s="5"/>
      <c r="CJJ35" s="5"/>
      <c r="CJK35" s="5"/>
      <c r="CJL35" s="5"/>
      <c r="CJM35" s="5"/>
      <c r="CJN35" s="5"/>
      <c r="CJO35" s="5"/>
      <c r="CJP35" s="5"/>
      <c r="CJQ35" s="5"/>
      <c r="CJR35" s="5"/>
      <c r="CJS35" s="5"/>
      <c r="CJT35" s="5"/>
      <c r="CJU35" s="5"/>
      <c r="CJV35" s="5"/>
      <c r="CJW35" s="5"/>
      <c r="CJX35" s="5"/>
      <c r="CJY35" s="5"/>
      <c r="CJZ35" s="5"/>
      <c r="CKA35" s="5"/>
      <c r="CKB35" s="5"/>
      <c r="CKC35" s="5"/>
      <c r="CKD35" s="5"/>
      <c r="CKE35" s="5"/>
      <c r="CKF35" s="5"/>
      <c r="CKG35" s="5"/>
      <c r="CKH35" s="5"/>
      <c r="CKI35" s="5"/>
      <c r="CKJ35" s="5"/>
      <c r="CKK35" s="5"/>
      <c r="CKL35" s="5"/>
      <c r="CKM35" s="5"/>
      <c r="CKN35" s="5"/>
      <c r="CKO35" s="5"/>
      <c r="CKP35" s="5"/>
      <c r="CKQ35" s="5"/>
      <c r="CKR35" s="5"/>
      <c r="CKS35" s="5"/>
      <c r="CKT35" s="5"/>
      <c r="CKU35" s="5"/>
      <c r="CKV35" s="5"/>
      <c r="CKW35" s="5"/>
      <c r="CKX35" s="5"/>
      <c r="CKY35" s="5"/>
      <c r="CKZ35" s="5"/>
      <c r="CLA35" s="5"/>
      <c r="CLB35" s="5"/>
      <c r="CLC35" s="5"/>
      <c r="CLD35" s="5"/>
      <c r="CLE35" s="5"/>
      <c r="CLF35" s="5"/>
      <c r="CLG35" s="5"/>
      <c r="CLH35" s="5"/>
      <c r="CLI35" s="5"/>
      <c r="CLJ35" s="5"/>
      <c r="CLK35" s="5"/>
      <c r="CLL35" s="5"/>
      <c r="CLM35" s="5"/>
      <c r="CLN35" s="5"/>
      <c r="CLO35" s="5"/>
      <c r="CLP35" s="5"/>
      <c r="CLQ35" s="5"/>
      <c r="CLR35" s="5"/>
      <c r="CLS35" s="5"/>
      <c r="CLT35" s="5"/>
      <c r="CLU35" s="5"/>
      <c r="CLV35" s="5"/>
      <c r="CLW35" s="5"/>
      <c r="CLX35" s="5"/>
      <c r="CLY35" s="5"/>
      <c r="CLZ35" s="5"/>
      <c r="CMA35" s="5"/>
      <c r="CMB35" s="5"/>
      <c r="CMC35" s="5"/>
      <c r="CMD35" s="5"/>
      <c r="CME35" s="5"/>
      <c r="CMF35" s="5"/>
      <c r="CMG35" s="5"/>
      <c r="CMH35" s="5"/>
      <c r="CMI35" s="5"/>
      <c r="CMJ35" s="5"/>
      <c r="CMK35" s="5"/>
      <c r="CML35" s="5"/>
      <c r="CMM35" s="5"/>
      <c r="CMN35" s="5"/>
      <c r="CMO35" s="5"/>
      <c r="CMP35" s="5"/>
      <c r="CMQ35" s="5"/>
      <c r="CMR35" s="5"/>
      <c r="CMS35" s="5"/>
      <c r="CMT35" s="5"/>
      <c r="CMU35" s="5"/>
      <c r="CMV35" s="5"/>
      <c r="CMW35" s="5"/>
      <c r="CMX35" s="5"/>
      <c r="CMY35" s="5"/>
      <c r="CMZ35" s="5"/>
      <c r="CNA35" s="5"/>
      <c r="CNB35" s="5"/>
      <c r="CNC35" s="5"/>
      <c r="CND35" s="5"/>
      <c r="CNE35" s="5"/>
      <c r="CNF35" s="5"/>
      <c r="CNG35" s="5"/>
      <c r="CNH35" s="5"/>
      <c r="CNI35" s="5"/>
      <c r="CNJ35" s="5"/>
      <c r="CNK35" s="5"/>
      <c r="CNL35" s="5"/>
      <c r="CNM35" s="5"/>
      <c r="CNN35" s="5"/>
      <c r="CNO35" s="5"/>
      <c r="CNP35" s="5"/>
      <c r="CNQ35" s="5"/>
      <c r="CNR35" s="5"/>
      <c r="CNS35" s="5"/>
      <c r="CNT35" s="5"/>
      <c r="CNU35" s="5"/>
      <c r="CNV35" s="5"/>
      <c r="CNW35" s="5"/>
      <c r="CNX35" s="5"/>
      <c r="CNY35" s="5"/>
      <c r="CNZ35" s="5"/>
      <c r="COA35" s="5"/>
      <c r="COB35" s="5"/>
      <c r="COC35" s="5"/>
      <c r="COD35" s="5"/>
      <c r="COE35" s="5"/>
      <c r="COF35" s="5"/>
      <c r="COG35" s="5"/>
      <c r="COH35" s="5"/>
      <c r="COI35" s="5"/>
      <c r="COJ35" s="5"/>
      <c r="COK35" s="5"/>
      <c r="COL35" s="5"/>
      <c r="COM35" s="5"/>
      <c r="CON35" s="5"/>
      <c r="COO35" s="5"/>
      <c r="COP35" s="5"/>
      <c r="COQ35" s="5"/>
      <c r="COR35" s="5"/>
      <c r="COS35" s="5"/>
      <c r="COT35" s="5"/>
      <c r="COU35" s="5"/>
      <c r="COV35" s="5"/>
      <c r="COW35" s="5"/>
      <c r="COX35" s="5"/>
      <c r="COY35" s="5"/>
      <c r="COZ35" s="5"/>
      <c r="CPA35" s="5"/>
      <c r="CPB35" s="5"/>
      <c r="CPC35" s="5"/>
      <c r="CPD35" s="5"/>
      <c r="CPE35" s="5"/>
      <c r="CPF35" s="5"/>
      <c r="CPG35" s="5"/>
      <c r="CPH35" s="5"/>
      <c r="CPI35" s="5"/>
      <c r="CPJ35" s="5"/>
      <c r="CPK35" s="5"/>
      <c r="CPL35" s="5"/>
      <c r="CPM35" s="5"/>
      <c r="CPN35" s="5"/>
      <c r="CPO35" s="5"/>
      <c r="CPP35" s="5"/>
      <c r="CPQ35" s="5"/>
      <c r="CPR35" s="5"/>
      <c r="CPS35" s="5"/>
      <c r="CPT35" s="5"/>
      <c r="CPU35" s="5"/>
      <c r="CPV35" s="5"/>
      <c r="CPW35" s="5"/>
      <c r="CPX35" s="5"/>
      <c r="CPY35" s="5"/>
      <c r="CPZ35" s="5"/>
      <c r="CQA35" s="5"/>
      <c r="CQB35" s="5"/>
      <c r="CQC35" s="5"/>
      <c r="CQD35" s="5"/>
      <c r="CQE35" s="5"/>
      <c r="CQF35" s="5"/>
      <c r="CQG35" s="5"/>
      <c r="CQH35" s="5"/>
      <c r="CQI35" s="5"/>
      <c r="CQJ35" s="5"/>
      <c r="CQK35" s="5"/>
      <c r="CQL35" s="5"/>
      <c r="CQM35" s="5"/>
      <c r="CQN35" s="5"/>
      <c r="CQO35" s="5"/>
      <c r="CQP35" s="5"/>
      <c r="CQQ35" s="5"/>
      <c r="CQR35" s="5"/>
      <c r="CQS35" s="5"/>
      <c r="CQT35" s="5"/>
      <c r="CQU35" s="5"/>
      <c r="CQV35" s="5"/>
      <c r="CQW35" s="5"/>
      <c r="CQX35" s="5"/>
      <c r="CQY35" s="5"/>
      <c r="CQZ35" s="5"/>
      <c r="CRA35" s="5"/>
      <c r="CRB35" s="5"/>
      <c r="CRC35" s="5"/>
      <c r="CRD35" s="5"/>
      <c r="CRE35" s="5"/>
      <c r="CRF35" s="5"/>
      <c r="CRG35" s="5"/>
      <c r="CRH35" s="5"/>
      <c r="CRI35" s="5"/>
      <c r="CRJ35" s="5"/>
      <c r="CRK35" s="5"/>
      <c r="CRL35" s="5"/>
      <c r="CRM35" s="5"/>
      <c r="CRN35" s="5"/>
      <c r="CRO35" s="5"/>
      <c r="CRP35" s="5"/>
      <c r="CRQ35" s="5"/>
      <c r="CRR35" s="5"/>
      <c r="CRS35" s="5"/>
      <c r="CRT35" s="5"/>
      <c r="CRU35" s="5"/>
      <c r="CRV35" s="5"/>
      <c r="CRW35" s="5"/>
      <c r="CRX35" s="5"/>
      <c r="CRY35" s="5"/>
      <c r="CRZ35" s="5"/>
      <c r="CSA35" s="5"/>
      <c r="CSB35" s="5"/>
      <c r="CSC35" s="5"/>
      <c r="CSD35" s="5"/>
      <c r="CSE35" s="5"/>
      <c r="CSF35" s="5"/>
      <c r="CSG35" s="5"/>
      <c r="CSH35" s="5"/>
      <c r="CSI35" s="5"/>
      <c r="CSJ35" s="5"/>
      <c r="CSK35" s="5"/>
      <c r="CSL35" s="5"/>
      <c r="CSM35" s="5"/>
      <c r="CSN35" s="5"/>
      <c r="CSO35" s="5"/>
      <c r="CSP35" s="5"/>
      <c r="CSQ35" s="5"/>
      <c r="CSR35" s="5"/>
      <c r="CSS35" s="5"/>
      <c r="CST35" s="5"/>
      <c r="CSU35" s="5"/>
      <c r="CSV35" s="5"/>
      <c r="CSW35" s="5"/>
      <c r="CSX35" s="5"/>
      <c r="CSY35" s="5"/>
      <c r="CSZ35" s="5"/>
      <c r="CTA35" s="5"/>
      <c r="CTB35" s="5"/>
      <c r="CTC35" s="5"/>
      <c r="CTD35" s="5"/>
      <c r="CTE35" s="5"/>
      <c r="CTF35" s="5"/>
      <c r="CTG35" s="5"/>
      <c r="CTH35" s="5"/>
      <c r="CTI35" s="5"/>
      <c r="CTJ35" s="5"/>
      <c r="CTK35" s="5"/>
      <c r="CTL35" s="5"/>
      <c r="CTM35" s="5"/>
      <c r="CTN35" s="5"/>
      <c r="CTO35" s="5"/>
      <c r="CTP35" s="5"/>
      <c r="CTQ35" s="5"/>
      <c r="CTR35" s="5"/>
      <c r="CTS35" s="5"/>
      <c r="CTT35" s="5"/>
      <c r="CTU35" s="5"/>
      <c r="CTV35" s="5"/>
      <c r="CTW35" s="5"/>
      <c r="CTX35" s="5"/>
      <c r="CTY35" s="5"/>
      <c r="CTZ35" s="5"/>
      <c r="CUA35" s="5"/>
      <c r="CUB35" s="5"/>
      <c r="CUC35" s="5"/>
      <c r="CUD35" s="5"/>
      <c r="CUE35" s="5"/>
      <c r="CUF35" s="5"/>
      <c r="CUG35" s="5"/>
      <c r="CUH35" s="5"/>
      <c r="CUI35" s="5"/>
      <c r="CUJ35" s="5"/>
      <c r="CUK35" s="5"/>
      <c r="CUL35" s="5"/>
      <c r="CUM35" s="5"/>
      <c r="CUN35" s="5"/>
      <c r="CUO35" s="5"/>
      <c r="CUP35" s="5"/>
      <c r="CUQ35" s="5"/>
      <c r="CUR35" s="5"/>
      <c r="CUS35" s="5"/>
      <c r="CUT35" s="5"/>
      <c r="CUU35" s="5"/>
      <c r="CUV35" s="5"/>
      <c r="CUW35" s="5"/>
      <c r="CUX35" s="5"/>
      <c r="CUY35" s="5"/>
      <c r="CUZ35" s="5"/>
      <c r="CVA35" s="5"/>
      <c r="CVB35" s="5"/>
      <c r="CVC35" s="5"/>
      <c r="CVD35" s="5"/>
      <c r="CVE35" s="5"/>
      <c r="CVF35" s="5"/>
      <c r="CVG35" s="5"/>
      <c r="CVH35" s="5"/>
      <c r="CVI35" s="5"/>
      <c r="CVJ35" s="5"/>
      <c r="CVK35" s="5"/>
      <c r="CVL35" s="5"/>
      <c r="CVM35" s="5"/>
      <c r="CVN35" s="5"/>
      <c r="CVO35" s="5"/>
      <c r="CVP35" s="5"/>
      <c r="CVQ35" s="5"/>
      <c r="CVR35" s="5"/>
      <c r="CVS35" s="5"/>
      <c r="CVT35" s="5"/>
      <c r="CVU35" s="5"/>
      <c r="CVV35" s="5"/>
      <c r="CVW35" s="5"/>
      <c r="CVX35" s="5"/>
      <c r="CVY35" s="5"/>
      <c r="CVZ35" s="5"/>
      <c r="CWA35" s="5"/>
      <c r="CWB35" s="5"/>
      <c r="CWC35" s="5"/>
      <c r="CWD35" s="5"/>
      <c r="CWE35" s="5"/>
      <c r="CWF35" s="5"/>
      <c r="CWG35" s="5"/>
      <c r="CWH35" s="5"/>
      <c r="CWI35" s="5"/>
      <c r="CWJ35" s="5"/>
      <c r="CWK35" s="5"/>
      <c r="CWL35" s="5"/>
      <c r="CWM35" s="5"/>
      <c r="CWN35" s="5"/>
      <c r="CWO35" s="5"/>
      <c r="CWP35" s="5"/>
      <c r="CWQ35" s="5"/>
      <c r="CWR35" s="5"/>
      <c r="CWS35" s="5"/>
      <c r="CWT35" s="5"/>
      <c r="CWU35" s="5"/>
      <c r="CWV35" s="5"/>
      <c r="CWW35" s="5"/>
      <c r="CWX35" s="5"/>
      <c r="CWY35" s="5"/>
      <c r="CWZ35" s="5"/>
      <c r="CXA35" s="5"/>
      <c r="CXB35" s="5"/>
      <c r="CXC35" s="5"/>
      <c r="CXD35" s="5"/>
      <c r="CXE35" s="5"/>
      <c r="CXF35" s="5"/>
      <c r="CXG35" s="5"/>
      <c r="CXH35" s="5"/>
      <c r="CXI35" s="5"/>
      <c r="CXJ35" s="5"/>
      <c r="CXK35" s="5"/>
      <c r="CXL35" s="5"/>
      <c r="CXM35" s="5"/>
      <c r="CXN35" s="5"/>
      <c r="CXO35" s="5"/>
      <c r="CXP35" s="5"/>
      <c r="CXQ35" s="5"/>
      <c r="CXR35" s="5"/>
      <c r="CXS35" s="5"/>
      <c r="CXT35" s="5"/>
      <c r="CXU35" s="5"/>
      <c r="CXV35" s="5"/>
      <c r="CXW35" s="5"/>
      <c r="CXX35" s="5"/>
      <c r="CXY35" s="5"/>
      <c r="CXZ35" s="5"/>
      <c r="CYA35" s="5"/>
      <c r="CYB35" s="5"/>
      <c r="CYC35" s="5"/>
      <c r="CYD35" s="5"/>
      <c r="CYE35" s="5"/>
      <c r="CYF35" s="5"/>
      <c r="CYG35" s="5"/>
      <c r="CYH35" s="5"/>
      <c r="CYI35" s="5"/>
      <c r="CYJ35" s="5"/>
      <c r="CYK35" s="5"/>
      <c r="CYL35" s="5"/>
      <c r="CYM35" s="5"/>
      <c r="CYN35" s="5"/>
      <c r="CYO35" s="5"/>
      <c r="CYP35" s="5"/>
      <c r="CYQ35" s="5"/>
      <c r="CYR35" s="5"/>
      <c r="CYS35" s="5"/>
      <c r="CYT35" s="5"/>
      <c r="CYU35" s="5"/>
      <c r="CYV35" s="5"/>
      <c r="CYW35" s="5"/>
      <c r="CYX35" s="5"/>
      <c r="CYY35" s="5"/>
      <c r="CYZ35" s="5"/>
      <c r="CZA35" s="5"/>
      <c r="CZB35" s="5"/>
      <c r="CZC35" s="5"/>
      <c r="CZD35" s="5"/>
      <c r="CZE35" s="5"/>
      <c r="CZF35" s="5"/>
      <c r="CZG35" s="5"/>
      <c r="CZH35" s="5"/>
      <c r="CZI35" s="5"/>
      <c r="CZJ35" s="5"/>
      <c r="CZK35" s="5"/>
      <c r="CZL35" s="5"/>
      <c r="CZM35" s="5"/>
      <c r="CZN35" s="5"/>
      <c r="CZO35" s="5"/>
      <c r="CZP35" s="5"/>
      <c r="CZQ35" s="5"/>
      <c r="CZR35" s="5"/>
      <c r="CZS35" s="5"/>
      <c r="CZT35" s="5"/>
      <c r="CZU35" s="5"/>
      <c r="CZV35" s="5"/>
      <c r="CZW35" s="5"/>
      <c r="CZX35" s="5"/>
      <c r="CZY35" s="5"/>
      <c r="CZZ35" s="5"/>
      <c r="DAA35" s="5"/>
      <c r="DAB35" s="5"/>
      <c r="DAC35" s="5"/>
      <c r="DAD35" s="5"/>
      <c r="DAE35" s="5"/>
      <c r="DAF35" s="5"/>
      <c r="DAG35" s="5"/>
      <c r="DAH35" s="5"/>
      <c r="DAI35" s="5"/>
      <c r="DAJ35" s="5"/>
      <c r="DAK35" s="5"/>
      <c r="DAL35" s="5"/>
      <c r="DAM35" s="5"/>
      <c r="DAN35" s="5"/>
      <c r="DAO35" s="5"/>
      <c r="DAP35" s="5"/>
      <c r="DAQ35" s="5"/>
      <c r="DAR35" s="5"/>
      <c r="DAS35" s="5"/>
      <c r="DAT35" s="5"/>
      <c r="DAU35" s="5"/>
      <c r="DAV35" s="5"/>
      <c r="DAW35" s="5"/>
      <c r="DAX35" s="5"/>
      <c r="DAY35" s="5"/>
      <c r="DAZ35" s="5"/>
      <c r="DBA35" s="5"/>
      <c r="DBB35" s="5"/>
      <c r="DBC35" s="5"/>
      <c r="DBD35" s="5"/>
      <c r="DBE35" s="5"/>
      <c r="DBF35" s="5"/>
      <c r="DBG35" s="5"/>
      <c r="DBH35" s="5"/>
      <c r="DBI35" s="5"/>
      <c r="DBJ35" s="5"/>
      <c r="DBK35" s="5"/>
      <c r="DBL35" s="5"/>
      <c r="DBM35" s="5"/>
      <c r="DBN35" s="5"/>
      <c r="DBO35" s="5"/>
      <c r="DBP35" s="5"/>
      <c r="DBQ35" s="5"/>
      <c r="DBR35" s="5"/>
      <c r="DBS35" s="5"/>
      <c r="DBT35" s="5"/>
      <c r="DBU35" s="5"/>
      <c r="DBV35" s="5"/>
      <c r="DBW35" s="5"/>
      <c r="DBX35" s="5"/>
      <c r="DBY35" s="5"/>
      <c r="DBZ35" s="5"/>
      <c r="DCA35" s="5"/>
      <c r="DCB35" s="5"/>
      <c r="DCC35" s="5"/>
      <c r="DCD35" s="5"/>
      <c r="DCE35" s="5"/>
      <c r="DCF35" s="5"/>
      <c r="DCG35" s="5"/>
      <c r="DCH35" s="5"/>
      <c r="DCI35" s="5"/>
      <c r="DCJ35" s="5"/>
      <c r="DCK35" s="5"/>
      <c r="DCL35" s="5"/>
      <c r="DCM35" s="5"/>
      <c r="DCN35" s="5"/>
      <c r="DCO35" s="5"/>
      <c r="DCP35" s="5"/>
      <c r="DCQ35" s="5"/>
      <c r="DCR35" s="5"/>
      <c r="DCS35" s="5"/>
      <c r="DCT35" s="5"/>
      <c r="DCU35" s="5"/>
      <c r="DCV35" s="5"/>
      <c r="DCW35" s="5"/>
      <c r="DCX35" s="5"/>
      <c r="DCY35" s="5"/>
      <c r="DCZ35" s="5"/>
      <c r="DDA35" s="5"/>
      <c r="DDB35" s="5"/>
      <c r="DDC35" s="5"/>
      <c r="DDD35" s="5"/>
      <c r="DDE35" s="5"/>
      <c r="DDF35" s="5"/>
      <c r="DDG35" s="5"/>
      <c r="DDH35" s="5"/>
      <c r="DDI35" s="5"/>
      <c r="DDJ35" s="5"/>
      <c r="DDK35" s="5"/>
      <c r="DDL35" s="5"/>
      <c r="DDM35" s="5"/>
      <c r="DDN35" s="5"/>
      <c r="DDO35" s="5"/>
      <c r="DDP35" s="5"/>
      <c r="DDQ35" s="5"/>
      <c r="DDR35" s="5"/>
      <c r="DDS35" s="5"/>
      <c r="DDT35" s="5"/>
      <c r="DDU35" s="5"/>
      <c r="DDV35" s="5"/>
      <c r="DDW35" s="5"/>
      <c r="DDX35" s="5"/>
      <c r="DDY35" s="5"/>
      <c r="DDZ35" s="5"/>
      <c r="DEA35" s="5"/>
      <c r="DEB35" s="5"/>
      <c r="DEC35" s="5"/>
      <c r="DED35" s="5"/>
      <c r="DEE35" s="5"/>
      <c r="DEF35" s="5"/>
      <c r="DEG35" s="5"/>
      <c r="DEH35" s="5"/>
      <c r="DEI35" s="5"/>
      <c r="DEJ35" s="5"/>
      <c r="DEK35" s="5"/>
      <c r="DEL35" s="5"/>
      <c r="DEM35" s="5"/>
      <c r="DEN35" s="5"/>
      <c r="DEO35" s="5"/>
      <c r="DEP35" s="5"/>
      <c r="DEQ35" s="5"/>
      <c r="DER35" s="5"/>
      <c r="DES35" s="5"/>
      <c r="DET35" s="5"/>
      <c r="DEU35" s="5"/>
      <c r="DEV35" s="5"/>
      <c r="DEW35" s="5"/>
      <c r="DEX35" s="5"/>
      <c r="DEY35" s="5"/>
      <c r="DEZ35" s="5"/>
      <c r="DFA35" s="5"/>
      <c r="DFB35" s="5"/>
      <c r="DFC35" s="5"/>
      <c r="DFD35" s="5"/>
      <c r="DFE35" s="5"/>
      <c r="DFF35" s="5"/>
      <c r="DFG35" s="5"/>
      <c r="DFH35" s="5"/>
      <c r="DFI35" s="5"/>
      <c r="DFJ35" s="5"/>
      <c r="DFK35" s="5"/>
      <c r="DFL35" s="5"/>
      <c r="DFM35" s="5"/>
      <c r="DFN35" s="5"/>
      <c r="DFO35" s="5"/>
      <c r="DFP35" s="5"/>
      <c r="DFQ35" s="5"/>
      <c r="DFR35" s="5"/>
      <c r="DFS35" s="5"/>
      <c r="DFT35" s="5"/>
      <c r="DFU35" s="5"/>
      <c r="DFV35" s="5"/>
      <c r="DFW35" s="5"/>
      <c r="DFX35" s="5"/>
      <c r="DFY35" s="5"/>
      <c r="DFZ35" s="5"/>
      <c r="DGA35" s="5"/>
      <c r="DGB35" s="5"/>
      <c r="DGC35" s="5"/>
      <c r="DGD35" s="5"/>
      <c r="DGE35" s="5"/>
      <c r="DGF35" s="5"/>
      <c r="DGG35" s="5"/>
      <c r="DGH35" s="5"/>
      <c r="DGI35" s="5"/>
      <c r="DGJ35" s="5"/>
      <c r="DGK35" s="5"/>
      <c r="DGL35" s="5"/>
      <c r="DGM35" s="5"/>
      <c r="DGN35" s="5"/>
      <c r="DGO35" s="5"/>
      <c r="DGP35" s="5"/>
      <c r="DGQ35" s="5"/>
      <c r="DGR35" s="5"/>
      <c r="DGS35" s="5"/>
      <c r="DGT35" s="5"/>
      <c r="DGU35" s="5"/>
      <c r="DGV35" s="5"/>
      <c r="DGW35" s="5"/>
      <c r="DGX35" s="5"/>
      <c r="DGY35" s="5"/>
      <c r="DGZ35" s="5"/>
      <c r="DHA35" s="5"/>
      <c r="DHB35" s="5"/>
      <c r="DHC35" s="5"/>
      <c r="DHD35" s="5"/>
      <c r="DHE35" s="5"/>
      <c r="DHF35" s="5"/>
      <c r="DHG35" s="5"/>
      <c r="DHH35" s="5"/>
      <c r="DHI35" s="5"/>
      <c r="DHJ35" s="5"/>
      <c r="DHK35" s="5"/>
      <c r="DHL35" s="5"/>
      <c r="DHM35" s="5"/>
      <c r="DHN35" s="5"/>
      <c r="DHO35" s="5"/>
      <c r="DHP35" s="5"/>
      <c r="DHQ35" s="5"/>
      <c r="DHR35" s="5"/>
      <c r="DHS35" s="5"/>
      <c r="DHT35" s="5"/>
      <c r="DHU35" s="5"/>
      <c r="DHV35" s="5"/>
      <c r="DHW35" s="5"/>
      <c r="DHX35" s="5"/>
      <c r="DHY35" s="5"/>
      <c r="DHZ35" s="5"/>
      <c r="DIA35" s="5"/>
      <c r="DIB35" s="5"/>
      <c r="DIC35" s="5"/>
      <c r="DID35" s="5"/>
      <c r="DIE35" s="5"/>
      <c r="DIF35" s="5"/>
      <c r="DIG35" s="5"/>
      <c r="DIH35" s="5"/>
      <c r="DII35" s="5"/>
      <c r="DIJ35" s="5"/>
      <c r="DIK35" s="5"/>
      <c r="DIL35" s="5"/>
      <c r="DIM35" s="5"/>
      <c r="DIN35" s="5"/>
      <c r="DIO35" s="5"/>
      <c r="DIP35" s="5"/>
      <c r="DIQ35" s="5"/>
      <c r="DIR35" s="5"/>
      <c r="DIS35" s="5"/>
      <c r="DIT35" s="5"/>
      <c r="DIU35" s="5"/>
      <c r="DIV35" s="5"/>
      <c r="DIW35" s="5"/>
      <c r="DIX35" s="5"/>
      <c r="DIY35" s="5"/>
      <c r="DIZ35" s="5"/>
      <c r="DJA35" s="5"/>
      <c r="DJB35" s="5"/>
      <c r="DJC35" s="5"/>
      <c r="DJD35" s="5"/>
      <c r="DJE35" s="5"/>
      <c r="DJF35" s="5"/>
      <c r="DJG35" s="5"/>
      <c r="DJH35" s="5"/>
      <c r="DJI35" s="5"/>
      <c r="DJJ35" s="5"/>
      <c r="DJK35" s="5"/>
      <c r="DJL35" s="5"/>
      <c r="DJM35" s="5"/>
      <c r="DJN35" s="5"/>
      <c r="DJO35" s="5"/>
      <c r="DJP35" s="5"/>
      <c r="DJQ35" s="5"/>
      <c r="DJR35" s="5"/>
      <c r="DJS35" s="5"/>
      <c r="DJT35" s="5"/>
      <c r="DJU35" s="5"/>
      <c r="DJV35" s="5"/>
      <c r="DJW35" s="5"/>
      <c r="DJX35" s="5"/>
      <c r="DJY35" s="5"/>
      <c r="DJZ35" s="5"/>
      <c r="DKA35" s="5"/>
      <c r="DKB35" s="5"/>
      <c r="DKC35" s="5"/>
      <c r="DKD35" s="5"/>
      <c r="DKE35" s="5"/>
      <c r="DKF35" s="5"/>
      <c r="DKG35" s="5"/>
      <c r="DKH35" s="5"/>
      <c r="DKI35" s="5"/>
      <c r="DKJ35" s="5"/>
      <c r="DKK35" s="5"/>
      <c r="DKL35" s="5"/>
      <c r="DKM35" s="5"/>
      <c r="DKN35" s="5"/>
      <c r="DKO35" s="5"/>
      <c r="DKP35" s="5"/>
      <c r="DKQ35" s="5"/>
      <c r="DKR35" s="5"/>
      <c r="DKS35" s="5"/>
      <c r="DKT35" s="5"/>
      <c r="DKU35" s="5"/>
      <c r="DKV35" s="5"/>
      <c r="DKW35" s="5"/>
      <c r="DKX35" s="5"/>
      <c r="DKY35" s="5"/>
      <c r="DKZ35" s="5"/>
      <c r="DLA35" s="5"/>
      <c r="DLB35" s="5"/>
      <c r="DLC35" s="5"/>
      <c r="DLD35" s="5"/>
      <c r="DLE35" s="5"/>
      <c r="DLF35" s="5"/>
      <c r="DLG35" s="5"/>
      <c r="DLH35" s="5"/>
      <c r="DLI35" s="5"/>
      <c r="DLJ35" s="5"/>
      <c r="DLK35" s="5"/>
      <c r="DLL35" s="5"/>
      <c r="DLM35" s="5"/>
      <c r="DLN35" s="5"/>
      <c r="DLO35" s="5"/>
      <c r="DLP35" s="5"/>
      <c r="DLQ35" s="5"/>
      <c r="DLR35" s="5"/>
      <c r="DLS35" s="5"/>
      <c r="DLT35" s="5"/>
      <c r="DLU35" s="5"/>
      <c r="DLV35" s="5"/>
      <c r="DLW35" s="5"/>
      <c r="DLX35" s="5"/>
      <c r="DLY35" s="5"/>
      <c r="DLZ35" s="5"/>
      <c r="DMA35" s="5"/>
      <c r="DMB35" s="5"/>
      <c r="DMC35" s="5"/>
      <c r="DMD35" s="5"/>
      <c r="DME35" s="5"/>
      <c r="DMF35" s="5"/>
      <c r="DMG35" s="5"/>
      <c r="DMH35" s="5"/>
      <c r="DMI35" s="5"/>
      <c r="DMJ35" s="5"/>
      <c r="DMK35" s="5"/>
      <c r="DML35" s="5"/>
      <c r="DMM35" s="5"/>
      <c r="DMN35" s="5"/>
      <c r="DMO35" s="5"/>
      <c r="DMP35" s="5"/>
      <c r="DMQ35" s="5"/>
      <c r="DMR35" s="5"/>
      <c r="DMS35" s="5"/>
      <c r="DMT35" s="5"/>
      <c r="DMU35" s="5"/>
      <c r="DMV35" s="5"/>
      <c r="DMW35" s="5"/>
      <c r="DMX35" s="5"/>
      <c r="DMY35" s="5"/>
      <c r="DMZ35" s="5"/>
      <c r="DNA35" s="5"/>
      <c r="DNB35" s="5"/>
      <c r="DNC35" s="5"/>
      <c r="DND35" s="5"/>
      <c r="DNE35" s="5"/>
      <c r="DNF35" s="5"/>
      <c r="DNG35" s="5"/>
      <c r="DNH35" s="5"/>
      <c r="DNI35" s="5"/>
      <c r="DNJ35" s="5"/>
      <c r="DNK35" s="5"/>
      <c r="DNL35" s="5"/>
      <c r="DNM35" s="5"/>
      <c r="DNN35" s="5"/>
      <c r="DNO35" s="5"/>
      <c r="DNP35" s="5"/>
      <c r="DNQ35" s="5"/>
      <c r="DNR35" s="5"/>
      <c r="DNS35" s="5"/>
      <c r="DNT35" s="5"/>
      <c r="DNU35" s="5"/>
      <c r="DNV35" s="5"/>
      <c r="DNW35" s="5"/>
      <c r="DNX35" s="5"/>
      <c r="DNY35" s="5"/>
      <c r="DNZ35" s="5"/>
      <c r="DOA35" s="5"/>
      <c r="DOB35" s="5"/>
      <c r="DOC35" s="5"/>
      <c r="DOD35" s="5"/>
      <c r="DOE35" s="5"/>
      <c r="DOF35" s="5"/>
      <c r="DOG35" s="5"/>
      <c r="DOH35" s="5"/>
      <c r="DOI35" s="5"/>
      <c r="DOJ35" s="5"/>
      <c r="DOK35" s="5"/>
      <c r="DOL35" s="5"/>
      <c r="DOM35" s="5"/>
      <c r="DON35" s="5"/>
      <c r="DOO35" s="5"/>
      <c r="DOP35" s="5"/>
      <c r="DOQ35" s="5"/>
      <c r="DOR35" s="5"/>
      <c r="DOS35" s="5"/>
      <c r="DOT35" s="5"/>
      <c r="DOU35" s="5"/>
      <c r="DOV35" s="5"/>
      <c r="DOW35" s="5"/>
      <c r="DOX35" s="5"/>
      <c r="DOY35" s="5"/>
      <c r="DOZ35" s="5"/>
      <c r="DPA35" s="5"/>
      <c r="DPB35" s="5"/>
      <c r="DPC35" s="5"/>
      <c r="DPD35" s="5"/>
      <c r="DPE35" s="5"/>
      <c r="DPF35" s="5"/>
      <c r="DPG35" s="5"/>
      <c r="DPH35" s="5"/>
      <c r="DPI35" s="5"/>
      <c r="DPJ35" s="5"/>
      <c r="DPK35" s="5"/>
      <c r="DPL35" s="5"/>
      <c r="DPM35" s="5"/>
      <c r="DPN35" s="5"/>
      <c r="DPO35" s="5"/>
      <c r="DPP35" s="5"/>
      <c r="DPQ35" s="5"/>
      <c r="DPR35" s="5"/>
      <c r="DPS35" s="5"/>
      <c r="DPT35" s="5"/>
      <c r="DPU35" s="5"/>
      <c r="DPV35" s="5"/>
      <c r="DPW35" s="5"/>
      <c r="DPX35" s="5"/>
      <c r="DPY35" s="5"/>
      <c r="DPZ35" s="5"/>
      <c r="DQA35" s="5"/>
      <c r="DQB35" s="5"/>
      <c r="DQC35" s="5"/>
      <c r="DQD35" s="5"/>
      <c r="DQE35" s="5"/>
      <c r="DQF35" s="5"/>
      <c r="DQG35" s="5"/>
      <c r="DQH35" s="5"/>
      <c r="DQI35" s="5"/>
      <c r="DQJ35" s="5"/>
      <c r="DQK35" s="5"/>
      <c r="DQL35" s="5"/>
      <c r="DQM35" s="5"/>
      <c r="DQN35" s="5"/>
      <c r="DQO35" s="5"/>
      <c r="DQP35" s="5"/>
      <c r="DQQ35" s="5"/>
      <c r="DQR35" s="5"/>
      <c r="DQS35" s="5"/>
      <c r="DQT35" s="5"/>
      <c r="DQU35" s="5"/>
      <c r="DQV35" s="5"/>
      <c r="DQW35" s="5"/>
      <c r="DQX35" s="5"/>
      <c r="DQY35" s="5"/>
      <c r="DQZ35" s="5"/>
      <c r="DRA35" s="5"/>
      <c r="DRB35" s="5"/>
      <c r="DRC35" s="5"/>
      <c r="DRD35" s="5"/>
      <c r="DRE35" s="5"/>
      <c r="DRF35" s="5"/>
      <c r="DRG35" s="5"/>
      <c r="DRH35" s="5"/>
      <c r="DRI35" s="5"/>
      <c r="DRJ35" s="5"/>
      <c r="DRK35" s="5"/>
      <c r="DRL35" s="5"/>
      <c r="DRM35" s="5"/>
      <c r="DRN35" s="5"/>
      <c r="DRO35" s="5"/>
      <c r="DRP35" s="5"/>
      <c r="DRQ35" s="5"/>
      <c r="DRR35" s="5"/>
      <c r="DRS35" s="5"/>
      <c r="DRT35" s="5"/>
      <c r="DRU35" s="5"/>
      <c r="DRV35" s="5"/>
      <c r="DRW35" s="5"/>
      <c r="DRX35" s="5"/>
      <c r="DRY35" s="5"/>
      <c r="DRZ35" s="5"/>
      <c r="DSA35" s="5"/>
      <c r="DSB35" s="5"/>
      <c r="DSC35" s="5"/>
      <c r="DSD35" s="5"/>
      <c r="DSE35" s="5"/>
      <c r="DSF35" s="5"/>
      <c r="DSG35" s="5"/>
      <c r="DSH35" s="5"/>
      <c r="DSI35" s="5"/>
      <c r="DSJ35" s="5"/>
      <c r="DSK35" s="5"/>
      <c r="DSL35" s="5"/>
      <c r="DSM35" s="5"/>
      <c r="DSN35" s="5"/>
      <c r="DSO35" s="5"/>
      <c r="DSP35" s="5"/>
      <c r="DSQ35" s="5"/>
      <c r="DSR35" s="5"/>
      <c r="DSS35" s="5"/>
      <c r="DST35" s="5"/>
      <c r="DSU35" s="5"/>
      <c r="DSV35" s="5"/>
      <c r="DSW35" s="5"/>
      <c r="DSX35" s="5"/>
      <c r="DSY35" s="5"/>
      <c r="DSZ35" s="5"/>
      <c r="DTA35" s="5"/>
      <c r="DTB35" s="5"/>
      <c r="DTC35" s="5"/>
      <c r="DTD35" s="5"/>
      <c r="DTE35" s="5"/>
      <c r="DTF35" s="5"/>
      <c r="DTG35" s="5"/>
      <c r="DTH35" s="5"/>
      <c r="DTI35" s="5"/>
      <c r="DTJ35" s="5"/>
      <c r="DTK35" s="5"/>
      <c r="DTL35" s="5"/>
      <c r="DTM35" s="5"/>
      <c r="DTN35" s="5"/>
      <c r="DTO35" s="5"/>
      <c r="DTP35" s="5"/>
      <c r="DTQ35" s="5"/>
      <c r="DTR35" s="5"/>
      <c r="DTS35" s="5"/>
      <c r="DTT35" s="5"/>
      <c r="DTU35" s="5"/>
      <c r="DTV35" s="5"/>
      <c r="DTW35" s="5"/>
      <c r="DTX35" s="5"/>
      <c r="DTY35" s="5"/>
      <c r="DTZ35" s="5"/>
      <c r="DUA35" s="5"/>
      <c r="DUB35" s="5"/>
      <c r="DUC35" s="5"/>
      <c r="DUD35" s="5"/>
      <c r="DUE35" s="5"/>
      <c r="DUF35" s="5"/>
      <c r="DUG35" s="5"/>
      <c r="DUH35" s="5"/>
      <c r="DUI35" s="5"/>
      <c r="DUJ35" s="5"/>
      <c r="DUK35" s="5"/>
      <c r="DUL35" s="5"/>
      <c r="DUM35" s="5"/>
      <c r="DUN35" s="5"/>
      <c r="DUO35" s="5"/>
      <c r="DUP35" s="5"/>
      <c r="DUQ35" s="5"/>
      <c r="DUR35" s="5"/>
      <c r="DUS35" s="5"/>
      <c r="DUT35" s="5"/>
      <c r="DUU35" s="5"/>
      <c r="DUV35" s="5"/>
      <c r="DUW35" s="5"/>
      <c r="DUX35" s="5"/>
      <c r="DUY35" s="5"/>
      <c r="DUZ35" s="5"/>
      <c r="DVA35" s="5"/>
      <c r="DVB35" s="5"/>
      <c r="DVC35" s="5"/>
      <c r="DVD35" s="5"/>
      <c r="DVE35" s="5"/>
      <c r="DVF35" s="5"/>
      <c r="DVG35" s="5"/>
      <c r="DVH35" s="5"/>
      <c r="DVI35" s="5"/>
      <c r="DVJ35" s="5"/>
      <c r="DVK35" s="5"/>
      <c r="DVL35" s="5"/>
      <c r="DVM35" s="5"/>
      <c r="DVN35" s="5"/>
      <c r="DVO35" s="5"/>
      <c r="DVP35" s="5"/>
      <c r="DVQ35" s="5"/>
      <c r="DVR35" s="5"/>
      <c r="DVS35" s="5"/>
      <c r="DVT35" s="5"/>
      <c r="DVU35" s="5"/>
      <c r="DVV35" s="5"/>
      <c r="DVW35" s="5"/>
      <c r="DVX35" s="5"/>
      <c r="DVY35" s="5"/>
      <c r="DVZ35" s="5"/>
      <c r="DWA35" s="5"/>
      <c r="DWB35" s="5"/>
      <c r="DWC35" s="5"/>
      <c r="DWD35" s="5"/>
      <c r="DWE35" s="5"/>
      <c r="DWF35" s="5"/>
      <c r="DWG35" s="5"/>
      <c r="DWH35" s="5"/>
      <c r="DWI35" s="5"/>
      <c r="DWJ35" s="5"/>
      <c r="DWK35" s="5"/>
      <c r="DWL35" s="5"/>
      <c r="DWM35" s="5"/>
      <c r="DWN35" s="5"/>
      <c r="DWO35" s="5"/>
      <c r="DWP35" s="5"/>
      <c r="DWQ35" s="5"/>
      <c r="DWR35" s="5"/>
      <c r="DWS35" s="5"/>
      <c r="DWT35" s="5"/>
      <c r="DWU35" s="5"/>
      <c r="DWV35" s="5"/>
      <c r="DWW35" s="5"/>
      <c r="DWX35" s="5"/>
      <c r="DWY35" s="5"/>
      <c r="DWZ35" s="5"/>
      <c r="DXA35" s="5"/>
      <c r="DXB35" s="5"/>
      <c r="DXC35" s="5"/>
      <c r="DXD35" s="5"/>
      <c r="DXE35" s="5"/>
      <c r="DXF35" s="5"/>
      <c r="DXG35" s="5"/>
      <c r="DXH35" s="5"/>
      <c r="DXI35" s="5"/>
      <c r="DXJ35" s="5"/>
      <c r="DXK35" s="5"/>
      <c r="DXL35" s="5"/>
      <c r="DXM35" s="5"/>
      <c r="DXN35" s="5"/>
      <c r="DXO35" s="5"/>
      <c r="DXP35" s="5"/>
      <c r="DXQ35" s="5"/>
      <c r="DXR35" s="5"/>
      <c r="DXS35" s="5"/>
      <c r="DXT35" s="5"/>
      <c r="DXU35" s="5"/>
      <c r="DXV35" s="5"/>
      <c r="DXW35" s="5"/>
      <c r="DXX35" s="5"/>
      <c r="DXY35" s="5"/>
      <c r="DXZ35" s="5"/>
      <c r="DYA35" s="5"/>
      <c r="DYB35" s="5"/>
      <c r="DYC35" s="5"/>
      <c r="DYD35" s="5"/>
      <c r="DYE35" s="5"/>
      <c r="DYF35" s="5"/>
      <c r="DYG35" s="5"/>
      <c r="DYH35" s="5"/>
      <c r="DYI35" s="5"/>
      <c r="DYJ35" s="5"/>
      <c r="DYK35" s="5"/>
      <c r="DYL35" s="5"/>
      <c r="DYM35" s="5"/>
      <c r="DYN35" s="5"/>
      <c r="DYO35" s="5"/>
      <c r="DYP35" s="5"/>
      <c r="DYQ35" s="5"/>
      <c r="DYR35" s="5"/>
      <c r="DYS35" s="5"/>
      <c r="DYT35" s="5"/>
      <c r="DYU35" s="5"/>
      <c r="DYV35" s="5"/>
      <c r="DYW35" s="5"/>
      <c r="DYX35" s="5"/>
      <c r="DYY35" s="5"/>
      <c r="DYZ35" s="5"/>
      <c r="DZA35" s="5"/>
      <c r="DZB35" s="5"/>
      <c r="DZC35" s="5"/>
      <c r="DZD35" s="5"/>
      <c r="DZE35" s="5"/>
      <c r="DZF35" s="5"/>
      <c r="DZG35" s="5"/>
      <c r="DZH35" s="5"/>
      <c r="DZI35" s="5"/>
      <c r="DZJ35" s="5"/>
      <c r="DZK35" s="5"/>
      <c r="DZL35" s="5"/>
      <c r="DZM35" s="5"/>
      <c r="DZN35" s="5"/>
      <c r="DZO35" s="5"/>
      <c r="DZP35" s="5"/>
      <c r="DZQ35" s="5"/>
      <c r="DZR35" s="5"/>
      <c r="DZS35" s="5"/>
      <c r="DZT35" s="5"/>
      <c r="DZU35" s="5"/>
      <c r="DZV35" s="5"/>
      <c r="DZW35" s="5"/>
      <c r="DZX35" s="5"/>
      <c r="DZY35" s="5"/>
      <c r="DZZ35" s="5"/>
      <c r="EAA35" s="5"/>
      <c r="EAB35" s="5"/>
      <c r="EAC35" s="5"/>
      <c r="EAD35" s="5"/>
      <c r="EAE35" s="5"/>
      <c r="EAF35" s="5"/>
      <c r="EAG35" s="5"/>
      <c r="EAH35" s="5"/>
      <c r="EAI35" s="5"/>
      <c r="EAJ35" s="5"/>
      <c r="EAK35" s="5"/>
      <c r="EAL35" s="5"/>
      <c r="EAM35" s="5"/>
      <c r="EAN35" s="5"/>
      <c r="EAO35" s="5"/>
      <c r="EAP35" s="5"/>
      <c r="EAQ35" s="5"/>
      <c r="EAR35" s="5"/>
      <c r="EAS35" s="5"/>
      <c r="EAT35" s="5"/>
      <c r="EAU35" s="5"/>
      <c r="EAV35" s="5"/>
      <c r="EAW35" s="5"/>
      <c r="EAX35" s="5"/>
      <c r="EAY35" s="5"/>
      <c r="EAZ35" s="5"/>
      <c r="EBA35" s="5"/>
      <c r="EBB35" s="5"/>
      <c r="EBC35" s="5"/>
      <c r="EBD35" s="5"/>
      <c r="EBE35" s="5"/>
      <c r="EBF35" s="5"/>
      <c r="EBG35" s="5"/>
      <c r="EBH35" s="5"/>
      <c r="EBI35" s="5"/>
      <c r="EBJ35" s="5"/>
      <c r="EBK35" s="5"/>
      <c r="EBL35" s="5"/>
      <c r="EBM35" s="5"/>
      <c r="EBN35" s="5"/>
      <c r="EBO35" s="5"/>
      <c r="EBP35" s="5"/>
      <c r="EBQ35" s="5"/>
      <c r="EBR35" s="5"/>
      <c r="EBS35" s="5"/>
      <c r="EBT35" s="5"/>
      <c r="EBU35" s="5"/>
      <c r="EBV35" s="5"/>
      <c r="EBW35" s="5"/>
      <c r="EBX35" s="5"/>
      <c r="EBY35" s="5"/>
      <c r="EBZ35" s="5"/>
      <c r="ECA35" s="5"/>
      <c r="ECB35" s="5"/>
      <c r="ECC35" s="5"/>
      <c r="ECD35" s="5"/>
      <c r="ECE35" s="5"/>
      <c r="ECF35" s="5"/>
      <c r="ECG35" s="5"/>
      <c r="ECH35" s="5"/>
      <c r="ECI35" s="5"/>
      <c r="ECJ35" s="5"/>
      <c r="ECK35" s="5"/>
      <c r="ECL35" s="5"/>
      <c r="ECM35" s="5"/>
      <c r="ECN35" s="5"/>
      <c r="ECO35" s="5"/>
      <c r="ECP35" s="5"/>
      <c r="ECQ35" s="5"/>
      <c r="ECR35" s="5"/>
      <c r="ECS35" s="5"/>
      <c r="ECT35" s="5"/>
      <c r="ECU35" s="5"/>
      <c r="ECV35" s="5"/>
      <c r="ECW35" s="5"/>
      <c r="ECX35" s="5"/>
      <c r="ECY35" s="5"/>
      <c r="ECZ35" s="5"/>
      <c r="EDA35" s="5"/>
      <c r="EDB35" s="5"/>
      <c r="EDC35" s="5"/>
      <c r="EDD35" s="5"/>
      <c r="EDE35" s="5"/>
      <c r="EDF35" s="5"/>
      <c r="EDG35" s="5"/>
      <c r="EDH35" s="5"/>
      <c r="EDI35" s="5"/>
      <c r="EDJ35" s="5"/>
      <c r="EDK35" s="5"/>
      <c r="EDL35" s="5"/>
      <c r="EDM35" s="5"/>
      <c r="EDN35" s="5"/>
      <c r="EDO35" s="5"/>
      <c r="EDP35" s="5"/>
      <c r="EDQ35" s="5"/>
      <c r="EDR35" s="5"/>
      <c r="EDS35" s="5"/>
      <c r="EDT35" s="5"/>
      <c r="EDU35" s="5"/>
      <c r="EDV35" s="5"/>
      <c r="EDW35" s="5"/>
      <c r="EDX35" s="5"/>
      <c r="EDY35" s="5"/>
      <c r="EDZ35" s="5"/>
      <c r="EEA35" s="5"/>
      <c r="EEB35" s="5"/>
      <c r="EEC35" s="5"/>
      <c r="EED35" s="5"/>
      <c r="EEE35" s="5"/>
      <c r="EEF35" s="5"/>
      <c r="EEG35" s="5"/>
      <c r="EEH35" s="5"/>
      <c r="EEI35" s="5"/>
      <c r="EEJ35" s="5"/>
      <c r="EEK35" s="5"/>
      <c r="EEL35" s="5"/>
      <c r="EEM35" s="5"/>
      <c r="EEN35" s="5"/>
      <c r="EEO35" s="5"/>
      <c r="EEP35" s="5"/>
      <c r="EEQ35" s="5"/>
      <c r="EER35" s="5"/>
      <c r="EES35" s="5"/>
      <c r="EET35" s="5"/>
      <c r="EEU35" s="5"/>
      <c r="EEV35" s="5"/>
      <c r="EEW35" s="5"/>
      <c r="EEX35" s="5"/>
      <c r="EEY35" s="5"/>
      <c r="EEZ35" s="5"/>
      <c r="EFA35" s="5"/>
      <c r="EFB35" s="5"/>
      <c r="EFC35" s="5"/>
      <c r="EFD35" s="5"/>
      <c r="EFE35" s="5"/>
      <c r="EFF35" s="5"/>
      <c r="EFG35" s="5"/>
      <c r="EFH35" s="5"/>
      <c r="EFI35" s="5"/>
      <c r="EFJ35" s="5"/>
      <c r="EFK35" s="5"/>
      <c r="EFL35" s="5"/>
      <c r="EFM35" s="5"/>
      <c r="EFN35" s="5"/>
      <c r="EFO35" s="5"/>
      <c r="EFP35" s="5"/>
      <c r="EFQ35" s="5"/>
      <c r="EFR35" s="5"/>
      <c r="EFS35" s="5"/>
      <c r="EFT35" s="5"/>
      <c r="EFU35" s="5"/>
      <c r="EFV35" s="5"/>
      <c r="EFW35" s="5"/>
      <c r="EFX35" s="5"/>
      <c r="EFY35" s="5"/>
      <c r="EFZ35" s="5"/>
      <c r="EGA35" s="5"/>
      <c r="EGB35" s="5"/>
      <c r="EGC35" s="5"/>
      <c r="EGD35" s="5"/>
      <c r="EGE35" s="5"/>
      <c r="EGF35" s="5"/>
      <c r="EGG35" s="5"/>
      <c r="EGH35" s="5"/>
      <c r="EGI35" s="5"/>
      <c r="EGJ35" s="5"/>
      <c r="EGK35" s="5"/>
      <c r="EGL35" s="5"/>
      <c r="EGM35" s="5"/>
      <c r="EGN35" s="5"/>
      <c r="EGO35" s="5"/>
      <c r="EGP35" s="5"/>
      <c r="EGQ35" s="5"/>
      <c r="EGR35" s="5"/>
      <c r="EGS35" s="5"/>
      <c r="EGT35" s="5"/>
      <c r="EGU35" s="5"/>
      <c r="EGV35" s="5"/>
      <c r="EGW35" s="5"/>
      <c r="EGX35" s="5"/>
      <c r="EGY35" s="5"/>
      <c r="EGZ35" s="5"/>
      <c r="EHA35" s="5"/>
      <c r="EHB35" s="5"/>
      <c r="EHC35" s="5"/>
      <c r="EHD35" s="5"/>
      <c r="EHE35" s="5"/>
      <c r="EHF35" s="5"/>
      <c r="EHG35" s="5"/>
      <c r="EHH35" s="5"/>
      <c r="EHI35" s="5"/>
      <c r="EHJ35" s="5"/>
      <c r="EHK35" s="5"/>
      <c r="EHL35" s="5"/>
      <c r="EHM35" s="5"/>
      <c r="EHN35" s="5"/>
      <c r="EHO35" s="5"/>
      <c r="EHP35" s="5"/>
      <c r="EHQ35" s="5"/>
      <c r="EHR35" s="5"/>
      <c r="EHS35" s="5"/>
      <c r="EHT35" s="5"/>
      <c r="EHU35" s="5"/>
      <c r="EHV35" s="5"/>
      <c r="EHW35" s="5"/>
      <c r="EHX35" s="5"/>
      <c r="EHY35" s="5"/>
      <c r="EHZ35" s="5"/>
      <c r="EIA35" s="5"/>
      <c r="EIB35" s="5"/>
      <c r="EIC35" s="5"/>
      <c r="EID35" s="5"/>
      <c r="EIE35" s="5"/>
      <c r="EIF35" s="5"/>
      <c r="EIG35" s="5"/>
      <c r="EIH35" s="5"/>
      <c r="EII35" s="5"/>
      <c r="EIJ35" s="5"/>
      <c r="EIK35" s="5"/>
      <c r="EIL35" s="5"/>
      <c r="EIM35" s="5"/>
      <c r="EIN35" s="5"/>
      <c r="EIO35" s="5"/>
      <c r="EIP35" s="5"/>
      <c r="EIQ35" s="5"/>
      <c r="EIR35" s="5"/>
      <c r="EIS35" s="5"/>
      <c r="EIT35" s="5"/>
      <c r="EIU35" s="5"/>
      <c r="EIV35" s="5"/>
      <c r="EIW35" s="5"/>
      <c r="EIX35" s="5"/>
      <c r="EIY35" s="5"/>
      <c r="EIZ35" s="5"/>
      <c r="EJA35" s="5"/>
      <c r="EJB35" s="5"/>
      <c r="EJC35" s="5"/>
      <c r="EJD35" s="5"/>
      <c r="EJE35" s="5"/>
      <c r="EJF35" s="5"/>
      <c r="EJG35" s="5"/>
      <c r="EJH35" s="5"/>
      <c r="EJI35" s="5"/>
      <c r="EJJ35" s="5"/>
      <c r="EJK35" s="5"/>
      <c r="EJL35" s="5"/>
      <c r="EJM35" s="5"/>
      <c r="EJN35" s="5"/>
      <c r="EJO35" s="5"/>
      <c r="EJP35" s="5"/>
      <c r="EJQ35" s="5"/>
      <c r="EJR35" s="5"/>
      <c r="EJS35" s="5"/>
      <c r="EJT35" s="5"/>
      <c r="EJU35" s="5"/>
      <c r="EJV35" s="5"/>
      <c r="EJW35" s="5"/>
      <c r="EJX35" s="5"/>
      <c r="EJY35" s="5"/>
      <c r="EJZ35" s="5"/>
      <c r="EKA35" s="5"/>
      <c r="EKB35" s="5"/>
      <c r="EKC35" s="5"/>
      <c r="EKD35" s="5"/>
      <c r="EKE35" s="5"/>
      <c r="EKF35" s="5"/>
      <c r="EKG35" s="5"/>
      <c r="EKH35" s="5"/>
      <c r="EKI35" s="5"/>
      <c r="EKJ35" s="5"/>
      <c r="EKK35" s="5"/>
      <c r="EKL35" s="5"/>
      <c r="EKM35" s="5"/>
      <c r="EKN35" s="5"/>
      <c r="EKO35" s="5"/>
      <c r="EKP35" s="5"/>
      <c r="EKQ35" s="5"/>
      <c r="EKR35" s="5"/>
      <c r="EKS35" s="5"/>
      <c r="EKT35" s="5"/>
      <c r="EKU35" s="5"/>
      <c r="EKV35" s="5"/>
      <c r="EKW35" s="5"/>
      <c r="EKX35" s="5"/>
      <c r="EKY35" s="5"/>
      <c r="EKZ35" s="5"/>
      <c r="ELA35" s="5"/>
      <c r="ELB35" s="5"/>
      <c r="ELC35" s="5"/>
      <c r="ELD35" s="5"/>
      <c r="ELE35" s="5"/>
      <c r="ELF35" s="5"/>
      <c r="ELG35" s="5"/>
      <c r="ELH35" s="5"/>
      <c r="ELI35" s="5"/>
      <c r="ELJ35" s="5"/>
      <c r="ELK35" s="5"/>
      <c r="ELL35" s="5"/>
      <c r="ELM35" s="5"/>
      <c r="ELN35" s="5"/>
      <c r="ELO35" s="5"/>
      <c r="ELP35" s="5"/>
      <c r="ELQ35" s="5"/>
      <c r="ELR35" s="5"/>
      <c r="ELS35" s="5"/>
      <c r="ELT35" s="5"/>
      <c r="ELU35" s="5"/>
      <c r="ELV35" s="5"/>
      <c r="ELW35" s="5"/>
      <c r="ELX35" s="5"/>
      <c r="ELY35" s="5"/>
      <c r="ELZ35" s="5"/>
      <c r="EMA35" s="5"/>
      <c r="EMB35" s="5"/>
      <c r="EMC35" s="5"/>
      <c r="EMD35" s="5"/>
      <c r="EME35" s="5"/>
      <c r="EMF35" s="5"/>
      <c r="EMG35" s="5"/>
      <c r="EMH35" s="5"/>
      <c r="EMI35" s="5"/>
      <c r="EMJ35" s="5"/>
      <c r="EMK35" s="5"/>
      <c r="EML35" s="5"/>
      <c r="EMM35" s="5"/>
      <c r="EMN35" s="5"/>
      <c r="EMO35" s="5"/>
      <c r="EMP35" s="5"/>
      <c r="EMQ35" s="5"/>
      <c r="EMR35" s="5"/>
      <c r="EMS35" s="5"/>
      <c r="EMT35" s="5"/>
      <c r="EMU35" s="5"/>
      <c r="EMV35" s="5"/>
      <c r="EMW35" s="5"/>
      <c r="EMX35" s="5"/>
      <c r="EMY35" s="5"/>
      <c r="EMZ35" s="5"/>
      <c r="ENA35" s="5"/>
      <c r="ENB35" s="5"/>
      <c r="ENC35" s="5"/>
      <c r="END35" s="5"/>
      <c r="ENE35" s="5"/>
      <c r="ENF35" s="5"/>
      <c r="ENG35" s="5"/>
      <c r="ENH35" s="5"/>
      <c r="ENI35" s="5"/>
      <c r="ENJ35" s="5"/>
      <c r="ENK35" s="5"/>
      <c r="ENL35" s="5"/>
      <c r="ENM35" s="5"/>
      <c r="ENN35" s="5"/>
      <c r="ENO35" s="5"/>
      <c r="ENP35" s="5"/>
      <c r="ENQ35" s="5"/>
      <c r="ENR35" s="5"/>
      <c r="ENS35" s="5"/>
      <c r="ENT35" s="5"/>
      <c r="ENU35" s="5"/>
      <c r="ENV35" s="5"/>
      <c r="ENW35" s="5"/>
      <c r="ENX35" s="5"/>
      <c r="ENY35" s="5"/>
      <c r="ENZ35" s="5"/>
      <c r="EOA35" s="5"/>
      <c r="EOB35" s="5"/>
      <c r="EOC35" s="5"/>
      <c r="EOD35" s="5"/>
      <c r="EOE35" s="5"/>
      <c r="EOF35" s="5"/>
      <c r="EOG35" s="5"/>
      <c r="EOH35" s="5"/>
      <c r="EOI35" s="5"/>
      <c r="EOJ35" s="5"/>
      <c r="EOK35" s="5"/>
      <c r="EOL35" s="5"/>
      <c r="EOM35" s="5"/>
      <c r="EON35" s="5"/>
      <c r="EOO35" s="5"/>
      <c r="EOP35" s="5"/>
      <c r="EOQ35" s="5"/>
      <c r="EOR35" s="5"/>
      <c r="EOS35" s="5"/>
      <c r="EOT35" s="5"/>
      <c r="EOU35" s="5"/>
      <c r="EOV35" s="5"/>
      <c r="EOW35" s="5"/>
      <c r="EOX35" s="5"/>
      <c r="EOY35" s="5"/>
      <c r="EOZ35" s="5"/>
      <c r="EPA35" s="5"/>
      <c r="EPB35" s="5"/>
      <c r="EPC35" s="5"/>
      <c r="EPD35" s="5"/>
      <c r="EPE35" s="5"/>
      <c r="EPF35" s="5"/>
      <c r="EPG35" s="5"/>
      <c r="EPH35" s="5"/>
      <c r="EPI35" s="5"/>
      <c r="EPJ35" s="5"/>
      <c r="EPK35" s="5"/>
      <c r="EPL35" s="5"/>
      <c r="EPM35" s="5"/>
      <c r="EPN35" s="5"/>
      <c r="EPO35" s="5"/>
      <c r="EPP35" s="5"/>
      <c r="EPQ35" s="5"/>
      <c r="EPR35" s="5"/>
      <c r="EPS35" s="5"/>
      <c r="EPT35" s="5"/>
      <c r="EPU35" s="5"/>
      <c r="EPV35" s="5"/>
      <c r="EPW35" s="5"/>
      <c r="EPX35" s="5"/>
      <c r="EPY35" s="5"/>
      <c r="EPZ35" s="5"/>
      <c r="EQA35" s="5"/>
      <c r="EQB35" s="5"/>
      <c r="EQC35" s="5"/>
      <c r="EQD35" s="5"/>
      <c r="EQE35" s="5"/>
      <c r="EQF35" s="5"/>
      <c r="EQG35" s="5"/>
      <c r="EQH35" s="5"/>
      <c r="EQI35" s="5"/>
      <c r="EQJ35" s="5"/>
      <c r="EQK35" s="5"/>
      <c r="EQL35" s="5"/>
      <c r="EQM35" s="5"/>
      <c r="EQN35" s="5"/>
      <c r="EQO35" s="5"/>
      <c r="EQP35" s="5"/>
      <c r="EQQ35" s="5"/>
      <c r="EQR35" s="5"/>
      <c r="EQS35" s="5"/>
      <c r="EQT35" s="5"/>
      <c r="EQU35" s="5"/>
      <c r="EQV35" s="5"/>
      <c r="EQW35" s="5"/>
      <c r="EQX35" s="5"/>
      <c r="EQY35" s="5"/>
      <c r="EQZ35" s="5"/>
      <c r="ERA35" s="5"/>
      <c r="ERB35" s="5"/>
      <c r="ERC35" s="5"/>
      <c r="ERD35" s="5"/>
      <c r="ERE35" s="5"/>
      <c r="ERF35" s="5"/>
      <c r="ERG35" s="5"/>
      <c r="ERH35" s="5"/>
      <c r="ERI35" s="5"/>
      <c r="ERJ35" s="5"/>
      <c r="ERK35" s="5"/>
      <c r="ERL35" s="5"/>
      <c r="ERM35" s="5"/>
      <c r="ERN35" s="5"/>
      <c r="ERO35" s="5"/>
      <c r="ERP35" s="5"/>
      <c r="ERQ35" s="5"/>
      <c r="ERR35" s="5"/>
      <c r="ERS35" s="5"/>
      <c r="ERT35" s="5"/>
      <c r="ERU35" s="5"/>
      <c r="ERV35" s="5"/>
      <c r="ERW35" s="5"/>
      <c r="ERX35" s="5"/>
      <c r="ERY35" s="5"/>
      <c r="ERZ35" s="5"/>
      <c r="ESA35" s="5"/>
      <c r="ESB35" s="5"/>
      <c r="ESC35" s="5"/>
      <c r="ESD35" s="5"/>
      <c r="ESE35" s="5"/>
      <c r="ESF35" s="5"/>
      <c r="ESG35" s="5"/>
      <c r="ESH35" s="5"/>
      <c r="ESI35" s="5"/>
      <c r="ESJ35" s="5"/>
      <c r="ESK35" s="5"/>
      <c r="ESL35" s="5"/>
      <c r="ESM35" s="5"/>
      <c r="ESN35" s="5"/>
      <c r="ESO35" s="5"/>
      <c r="ESP35" s="5"/>
      <c r="ESQ35" s="5"/>
      <c r="ESR35" s="5"/>
      <c r="ESS35" s="5"/>
      <c r="EST35" s="5"/>
      <c r="ESU35" s="5"/>
      <c r="ESV35" s="5"/>
      <c r="ESW35" s="5"/>
      <c r="ESX35" s="5"/>
      <c r="ESY35" s="5"/>
      <c r="ESZ35" s="5"/>
      <c r="ETA35" s="5"/>
      <c r="ETB35" s="5"/>
      <c r="ETC35" s="5"/>
      <c r="ETD35" s="5"/>
      <c r="ETE35" s="5"/>
      <c r="ETF35" s="5"/>
      <c r="ETG35" s="5"/>
      <c r="ETH35" s="5"/>
      <c r="ETI35" s="5"/>
      <c r="ETJ35" s="5"/>
      <c r="ETK35" s="5"/>
      <c r="ETL35" s="5"/>
      <c r="ETM35" s="5"/>
      <c r="ETN35" s="5"/>
      <c r="ETO35" s="5"/>
      <c r="ETP35" s="5"/>
      <c r="ETQ35" s="5"/>
      <c r="ETR35" s="5"/>
      <c r="ETS35" s="5"/>
      <c r="ETT35" s="5"/>
      <c r="ETU35" s="5"/>
      <c r="ETV35" s="5"/>
      <c r="ETW35" s="5"/>
      <c r="ETX35" s="5"/>
      <c r="ETY35" s="5"/>
      <c r="ETZ35" s="5"/>
      <c r="EUA35" s="5"/>
      <c r="EUB35" s="5"/>
      <c r="EUC35" s="5"/>
      <c r="EUD35" s="5"/>
      <c r="EUE35" s="5"/>
      <c r="EUF35" s="5"/>
      <c r="EUG35" s="5"/>
      <c r="EUH35" s="5"/>
      <c r="EUI35" s="5"/>
      <c r="EUJ35" s="5"/>
      <c r="EUK35" s="5"/>
      <c r="EUL35" s="5"/>
      <c r="EUM35" s="5"/>
      <c r="EUN35" s="5"/>
      <c r="EUO35" s="5"/>
      <c r="EUP35" s="5"/>
      <c r="EUQ35" s="5"/>
      <c r="EUR35" s="5"/>
      <c r="EUS35" s="5"/>
      <c r="EUT35" s="5"/>
      <c r="EUU35" s="5"/>
      <c r="EUV35" s="5"/>
      <c r="EUW35" s="5"/>
      <c r="EUX35" s="5"/>
      <c r="EUY35" s="5"/>
      <c r="EUZ35" s="5"/>
      <c r="EVA35" s="5"/>
      <c r="EVB35" s="5"/>
      <c r="EVC35" s="5"/>
      <c r="EVD35" s="5"/>
      <c r="EVE35" s="5"/>
      <c r="EVF35" s="5"/>
      <c r="EVG35" s="5"/>
      <c r="EVH35" s="5"/>
      <c r="EVI35" s="5"/>
      <c r="EVJ35" s="5"/>
      <c r="EVK35" s="5"/>
      <c r="EVL35" s="5"/>
      <c r="EVM35" s="5"/>
      <c r="EVN35" s="5"/>
      <c r="EVO35" s="5"/>
      <c r="EVP35" s="5"/>
      <c r="EVQ35" s="5"/>
      <c r="EVR35" s="5"/>
      <c r="EVS35" s="5"/>
      <c r="EVT35" s="5"/>
      <c r="EVU35" s="5"/>
      <c r="EVV35" s="5"/>
      <c r="EVW35" s="5"/>
      <c r="EVX35" s="5"/>
      <c r="EVY35" s="5"/>
      <c r="EVZ35" s="5"/>
      <c r="EWA35" s="5"/>
      <c r="EWB35" s="5"/>
      <c r="EWC35" s="5"/>
      <c r="EWD35" s="5"/>
      <c r="EWE35" s="5"/>
      <c r="EWF35" s="5"/>
      <c r="EWG35" s="5"/>
      <c r="EWH35" s="5"/>
      <c r="EWI35" s="5"/>
      <c r="EWJ35" s="5"/>
      <c r="EWK35" s="5"/>
      <c r="EWL35" s="5"/>
      <c r="EWM35" s="5"/>
      <c r="EWN35" s="5"/>
      <c r="EWO35" s="5"/>
      <c r="EWP35" s="5"/>
      <c r="EWQ35" s="5"/>
      <c r="EWR35" s="5"/>
      <c r="EWS35" s="5"/>
      <c r="EWT35" s="5"/>
      <c r="EWU35" s="5"/>
      <c r="EWV35" s="5"/>
      <c r="EWW35" s="5"/>
      <c r="EWX35" s="5"/>
      <c r="EWY35" s="5"/>
    </row>
    <row r="36" spans="2:4003" x14ac:dyDescent="0.2">
      <c r="C36" s="79" t="s">
        <v>557</v>
      </c>
      <c r="D36" s="5">
        <v>0</v>
      </c>
      <c r="E36" s="5">
        <v>0</v>
      </c>
      <c r="F36" s="5">
        <v>-1</v>
      </c>
      <c r="G36" s="5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</row>
    <row r="37" spans="2:4003" x14ac:dyDescent="0.2">
      <c r="C37" s="79" t="s">
        <v>558</v>
      </c>
      <c r="D37" s="5">
        <v>1</v>
      </c>
      <c r="E37" s="5">
        <v>0</v>
      </c>
      <c r="F37" s="5">
        <v>0</v>
      </c>
      <c r="G37" s="5">
        <v>-1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</row>
    <row r="38" spans="2:4003" x14ac:dyDescent="0.2">
      <c r="C38" s="79" t="s">
        <v>559</v>
      </c>
      <c r="D38" s="5">
        <v>0</v>
      </c>
      <c r="E38" s="5">
        <v>0</v>
      </c>
      <c r="F38" s="5">
        <v>0</v>
      </c>
      <c r="G38" s="5">
        <v>0</v>
      </c>
      <c r="H38">
        <v>-1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</row>
    <row r="39" spans="2:4003" x14ac:dyDescent="0.2">
      <c r="C39" s="79" t="s">
        <v>560</v>
      </c>
      <c r="D39" s="5">
        <v>0</v>
      </c>
      <c r="E39" s="5">
        <v>0</v>
      </c>
      <c r="F39" s="5">
        <v>0</v>
      </c>
      <c r="G39" s="5">
        <v>0</v>
      </c>
      <c r="H39">
        <v>0</v>
      </c>
      <c r="I39">
        <v>-1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</row>
    <row r="40" spans="2:4003" x14ac:dyDescent="0.2">
      <c r="C40" s="79" t="s">
        <v>561</v>
      </c>
      <c r="D40" s="5">
        <v>0</v>
      </c>
      <c r="E40" s="5">
        <v>0</v>
      </c>
      <c r="F40" s="5">
        <v>0</v>
      </c>
      <c r="G40" s="5">
        <v>0</v>
      </c>
      <c r="H40">
        <v>0</v>
      </c>
      <c r="I40">
        <v>0</v>
      </c>
      <c r="J40">
        <v>-1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</row>
    <row r="41" spans="2:4003" x14ac:dyDescent="0.2">
      <c r="C41" s="79" t="s">
        <v>562</v>
      </c>
      <c r="D41" s="5">
        <v>0</v>
      </c>
      <c r="E41" s="5">
        <v>1</v>
      </c>
      <c r="F41" s="5">
        <v>0</v>
      </c>
      <c r="G41" s="5">
        <v>0</v>
      </c>
      <c r="H41">
        <v>0</v>
      </c>
      <c r="I41">
        <v>0</v>
      </c>
      <c r="J41">
        <v>0</v>
      </c>
      <c r="K41">
        <v>-1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</row>
    <row r="42" spans="2:4003" x14ac:dyDescent="0.2">
      <c r="C42" s="79" t="s">
        <v>563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-1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</row>
    <row r="43" spans="2:4003" x14ac:dyDescent="0.2">
      <c r="C43" s="79" t="s">
        <v>589</v>
      </c>
      <c r="D43">
        <v>0</v>
      </c>
      <c r="E43">
        <v>0</v>
      </c>
      <c r="F43">
        <v>-1.799919041287755</v>
      </c>
      <c r="G43">
        <v>0</v>
      </c>
      <c r="H43">
        <v>9</v>
      </c>
      <c r="I43">
        <v>0</v>
      </c>
      <c r="J43">
        <v>0</v>
      </c>
      <c r="K43">
        <v>0</v>
      </c>
      <c r="L43">
        <v>0.80000410278826484</v>
      </c>
      <c r="M43">
        <v>0</v>
      </c>
      <c r="N43">
        <v>0</v>
      </c>
      <c r="O43">
        <v>-0.80000410278826484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</row>
    <row r="44" spans="2:4003" x14ac:dyDescent="0.2">
      <c r="C44" s="79" t="s">
        <v>590</v>
      </c>
      <c r="D44">
        <v>0</v>
      </c>
      <c r="E44">
        <v>0</v>
      </c>
      <c r="F44">
        <v>-1.7998952122643948</v>
      </c>
      <c r="G44">
        <v>0</v>
      </c>
      <c r="H44">
        <v>0</v>
      </c>
      <c r="I44">
        <v>9</v>
      </c>
      <c r="J44">
        <v>0</v>
      </c>
      <c r="K44">
        <v>0</v>
      </c>
      <c r="L44">
        <v>0</v>
      </c>
      <c r="M44">
        <v>0</v>
      </c>
      <c r="N44">
        <v>0</v>
      </c>
      <c r="O44">
        <v>0.80000410278826484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-0.80000410278826484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</row>
    <row r="45" spans="2:4003" x14ac:dyDescent="0.2">
      <c r="C45" s="79" t="s">
        <v>591</v>
      </c>
      <c r="D45">
        <v>0</v>
      </c>
      <c r="E45">
        <v>0</v>
      </c>
      <c r="F45">
        <v>-1.7999245580932017</v>
      </c>
      <c r="G45">
        <v>0</v>
      </c>
      <c r="H45">
        <v>0</v>
      </c>
      <c r="I45">
        <v>0</v>
      </c>
      <c r="J45">
        <v>9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0.80000410278826484</v>
      </c>
      <c r="W45">
        <v>0</v>
      </c>
      <c r="X45">
        <v>0</v>
      </c>
      <c r="Y45">
        <v>0</v>
      </c>
      <c r="Z45">
        <v>0</v>
      </c>
      <c r="AA45">
        <v>0</v>
      </c>
      <c r="AB45">
        <v>-0.80000410278826484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</row>
    <row r="46" spans="2:4003" x14ac:dyDescent="0.2">
      <c r="C46" s="79" t="s">
        <v>595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-0.2775659090864725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-1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</row>
    <row r="47" spans="2:4003" x14ac:dyDescent="0.2">
      <c r="C47" s="79" t="s">
        <v>596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-1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</row>
    <row r="48" spans="2:4003" x14ac:dyDescent="0.2">
      <c r="C48" s="79" t="s">
        <v>597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-0.27754091293060429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-1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</row>
    <row r="49" spans="3:94" x14ac:dyDescent="0.2">
      <c r="C49" s="79" t="s">
        <v>598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-5.5292814933886533E-2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-1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</row>
    <row r="50" spans="3:94" x14ac:dyDescent="0.2">
      <c r="C50" s="79" t="s">
        <v>599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-1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</row>
    <row r="51" spans="3:94" x14ac:dyDescent="0.2">
      <c r="C51" s="79" t="s">
        <v>1761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-1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</row>
    <row r="52" spans="3:94" x14ac:dyDescent="0.2">
      <c r="C52" s="79" t="s">
        <v>600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-1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</row>
    <row r="53" spans="3:94" x14ac:dyDescent="0.2">
      <c r="C53" s="79" t="s">
        <v>601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-1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</row>
    <row r="54" spans="3:94" x14ac:dyDescent="0.2">
      <c r="C54" s="79" t="s">
        <v>602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-0.12934800915297454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-1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</row>
    <row r="55" spans="3:94" x14ac:dyDescent="0.2">
      <c r="C55" s="79" t="s">
        <v>1762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-1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</row>
    <row r="56" spans="3:94" x14ac:dyDescent="0.2">
      <c r="C56" s="79" t="s">
        <v>603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1.5795746402230386E-4</v>
      </c>
      <c r="M56">
        <v>-1</v>
      </c>
      <c r="N56">
        <v>0</v>
      </c>
      <c r="O56">
        <v>1.506908231841052E-4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</row>
    <row r="57" spans="3:94" x14ac:dyDescent="0.2">
      <c r="C57" s="79" t="s">
        <v>604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1.383577183175165E-4</v>
      </c>
      <c r="P57">
        <v>0</v>
      </c>
      <c r="Q57">
        <v>0</v>
      </c>
      <c r="R57">
        <v>0</v>
      </c>
      <c r="S57">
        <v>0</v>
      </c>
      <c r="T57">
        <v>-1</v>
      </c>
      <c r="U57">
        <v>0</v>
      </c>
      <c r="V57">
        <v>1.3308664302536224E-4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</row>
    <row r="58" spans="3:94" x14ac:dyDescent="0.2">
      <c r="C58" s="79" t="s">
        <v>605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1.2389401088029782E-4</v>
      </c>
      <c r="W58">
        <v>0</v>
      </c>
      <c r="X58">
        <v>0</v>
      </c>
      <c r="Y58">
        <v>0</v>
      </c>
      <c r="Z58">
        <v>-1</v>
      </c>
      <c r="AA58">
        <v>0</v>
      </c>
      <c r="AB58">
        <v>1.1986567308672791E-4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</row>
    <row r="59" spans="3:94" x14ac:dyDescent="0.2">
      <c r="C59" s="79" t="s">
        <v>606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4.7253989867321905E-2</v>
      </c>
      <c r="M59">
        <v>0</v>
      </c>
      <c r="N59">
        <v>0</v>
      </c>
      <c r="O59">
        <v>5.0648850098417686E-2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-1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</row>
    <row r="60" spans="3:94" x14ac:dyDescent="0.2">
      <c r="C60" s="79" t="s">
        <v>607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-1.2449460979849961E-2</v>
      </c>
      <c r="P60">
        <v>0</v>
      </c>
      <c r="Q60">
        <v>0</v>
      </c>
      <c r="R60">
        <v>0</v>
      </c>
      <c r="S60">
        <v>-1</v>
      </c>
      <c r="T60">
        <v>0</v>
      </c>
      <c r="U60">
        <v>0</v>
      </c>
      <c r="V60">
        <v>-1.062768849059699E-2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</row>
    <row r="61" spans="3:94" x14ac:dyDescent="0.2">
      <c r="C61" s="79" t="s">
        <v>608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-5.9111771815612106E-2</v>
      </c>
      <c r="W61">
        <v>0</v>
      </c>
      <c r="X61">
        <v>0</v>
      </c>
      <c r="Y61">
        <v>-1</v>
      </c>
      <c r="Z61">
        <v>0</v>
      </c>
      <c r="AA61">
        <v>0</v>
      </c>
      <c r="AB61">
        <v>-5.8049812319813043E-2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</row>
    <row r="62" spans="3:94" x14ac:dyDescent="0.2">
      <c r="C62" s="79" t="s">
        <v>609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0.47813832385471838</v>
      </c>
      <c r="M62">
        <v>0</v>
      </c>
      <c r="N62">
        <v>0</v>
      </c>
      <c r="O62">
        <v>0.12361528351987809</v>
      </c>
      <c r="P62">
        <v>0</v>
      </c>
      <c r="Q62">
        <v>-1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</row>
    <row r="63" spans="3:94" x14ac:dyDescent="0.2">
      <c r="C63" s="79" t="s">
        <v>610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0.43162030908057664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0.15999781325516541</v>
      </c>
      <c r="W63">
        <v>0</v>
      </c>
      <c r="X63">
        <v>-1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</row>
    <row r="64" spans="3:94" x14ac:dyDescent="0.2">
      <c r="C64" s="79" t="s">
        <v>611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0.39777596010503297</v>
      </c>
      <c r="W64">
        <v>0</v>
      </c>
      <c r="X64">
        <v>0</v>
      </c>
      <c r="Y64">
        <v>0</v>
      </c>
      <c r="Z64">
        <v>0</v>
      </c>
      <c r="AA64">
        <v>0</v>
      </c>
      <c r="AB64">
        <v>0.18722200909421971</v>
      </c>
      <c r="AC64">
        <v>0</v>
      </c>
      <c r="AD64">
        <v>-1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</row>
    <row r="65" spans="3:94" x14ac:dyDescent="0.2">
      <c r="C65" s="79" t="s">
        <v>612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4.0780910625517235</v>
      </c>
      <c r="M65">
        <v>0</v>
      </c>
      <c r="N65">
        <v>-1</v>
      </c>
      <c r="O65">
        <v>4.5269370709666585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</row>
    <row r="66" spans="3:94" x14ac:dyDescent="0.2">
      <c r="C66" s="79" t="s">
        <v>613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4.1639608577345104</v>
      </c>
      <c r="P66">
        <v>0</v>
      </c>
      <c r="Q66">
        <v>0</v>
      </c>
      <c r="R66">
        <v>0</v>
      </c>
      <c r="S66">
        <v>0</v>
      </c>
      <c r="T66">
        <v>0</v>
      </c>
      <c r="U66">
        <v>-1</v>
      </c>
      <c r="V66">
        <v>4.4689285951941331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</row>
    <row r="67" spans="3:94" x14ac:dyDescent="0.2">
      <c r="C67" s="79" t="s">
        <v>614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4.205931337800199</v>
      </c>
      <c r="W67">
        <v>0</v>
      </c>
      <c r="X67">
        <v>0</v>
      </c>
      <c r="Y67">
        <v>0</v>
      </c>
      <c r="Z67">
        <v>0</v>
      </c>
      <c r="AA67">
        <v>-1</v>
      </c>
      <c r="AB67">
        <v>4.4371730613998333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</row>
    <row r="68" spans="3:94" x14ac:dyDescent="0.2">
      <c r="C68" s="79" t="s">
        <v>615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0.49977937035505809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-40.003444904189337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-1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</row>
    <row r="69" spans="3:94" x14ac:dyDescent="0.2">
      <c r="C69" s="79" t="s">
        <v>616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0.99999255944237619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-55.552328747859747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-1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</row>
    <row r="70" spans="3:94" x14ac:dyDescent="0.2">
      <c r="C70" s="79" t="s">
        <v>617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0.10630318428863625</v>
      </c>
      <c r="M70">
        <v>0</v>
      </c>
      <c r="N70">
        <v>0</v>
      </c>
      <c r="O70">
        <v>0.25690268201613892</v>
      </c>
      <c r="P70">
        <v>-1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</row>
    <row r="71" spans="3:94" x14ac:dyDescent="0.2">
      <c r="C71" s="79" t="s">
        <v>618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0.10630397291407567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0.25690189339069958</v>
      </c>
      <c r="W71">
        <v>-1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</row>
    <row r="72" spans="3:94" x14ac:dyDescent="0.2">
      <c r="C72" s="79" t="s">
        <v>619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0.10630300170999332</v>
      </c>
      <c r="W72">
        <v>0</v>
      </c>
      <c r="X72">
        <v>0</v>
      </c>
      <c r="Y72">
        <v>0</v>
      </c>
      <c r="Z72">
        <v>0</v>
      </c>
      <c r="AA72">
        <v>0</v>
      </c>
      <c r="AB72">
        <v>0.25690286459478201</v>
      </c>
      <c r="AC72">
        <v>-1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</row>
    <row r="73" spans="3:94" x14ac:dyDescent="0.2">
      <c r="C73" s="79" t="s">
        <v>620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7.2849310205956239E-2</v>
      </c>
      <c r="M73">
        <v>0</v>
      </c>
      <c r="N73">
        <v>0</v>
      </c>
      <c r="O73">
        <v>0.11794333473573225</v>
      </c>
      <c r="P73">
        <v>0</v>
      </c>
      <c r="Q73">
        <v>0</v>
      </c>
      <c r="R73">
        <v>-1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</row>
    <row r="74" spans="3:94" x14ac:dyDescent="0.2">
      <c r="C74" s="79" t="s">
        <v>621</v>
      </c>
      <c r="D74">
        <v>0</v>
      </c>
      <c r="E74">
        <v>0</v>
      </c>
      <c r="F74">
        <v>0.19999896641903545</v>
      </c>
      <c r="G74">
        <v>-1</v>
      </c>
      <c r="H74">
        <v>0</v>
      </c>
      <c r="I74">
        <v>0</v>
      </c>
      <c r="J74">
        <v>0</v>
      </c>
      <c r="K74">
        <v>0</v>
      </c>
      <c r="L74">
        <v>8.8889344754251642E-2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</row>
    <row r="75" spans="3:94" x14ac:dyDescent="0.2">
      <c r="C75" s="79" t="s">
        <v>622</v>
      </c>
      <c r="D75">
        <v>0</v>
      </c>
      <c r="E75">
        <v>0</v>
      </c>
      <c r="F75">
        <v>1</v>
      </c>
      <c r="G75">
        <v>-1</v>
      </c>
      <c r="H75">
        <v>-1</v>
      </c>
      <c r="I75">
        <v>-1</v>
      </c>
      <c r="J75">
        <v>-1</v>
      </c>
      <c r="K75">
        <v>-1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</row>
    <row r="76" spans="3:94" x14ac:dyDescent="0.2">
      <c r="C76" s="79" t="s">
        <v>556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-1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</row>
    <row r="77" spans="3:94" x14ac:dyDescent="0.2">
      <c r="C77" s="79" t="s">
        <v>658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1</v>
      </c>
      <c r="AT77">
        <v>0</v>
      </c>
      <c r="AU77">
        <v>0</v>
      </c>
      <c r="AV77">
        <v>0</v>
      </c>
      <c r="AW77">
        <v>0</v>
      </c>
      <c r="AX77">
        <v>-1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</row>
    <row r="78" spans="3:94" x14ac:dyDescent="0.2">
      <c r="C78" s="79" t="s">
        <v>659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</row>
    <row r="79" spans="3:94" x14ac:dyDescent="0.2">
      <c r="C79" s="79" t="s">
        <v>660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1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</row>
    <row r="80" spans="3:94" x14ac:dyDescent="0.2">
      <c r="C80" s="79" t="s">
        <v>661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</row>
    <row r="81" spans="3:94" x14ac:dyDescent="0.2">
      <c r="C81" s="79" t="s">
        <v>1511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</row>
    <row r="82" spans="3:94" x14ac:dyDescent="0.2">
      <c r="C82" s="79" t="s">
        <v>672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8.0035591446908754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16.000233683146245</v>
      </c>
      <c r="U82">
        <v>0</v>
      </c>
      <c r="V82">
        <v>0</v>
      </c>
      <c r="W82">
        <v>0</v>
      </c>
      <c r="X82">
        <v>0</v>
      </c>
      <c r="Y82">
        <v>0</v>
      </c>
      <c r="Z82">
        <v>15.99969795276707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-0.83331594270501674</v>
      </c>
      <c r="AT82">
        <v>0.78687581313163468</v>
      </c>
      <c r="AU82">
        <v>0.83890188080922612</v>
      </c>
      <c r="AV82">
        <v>0.88515606924740575</v>
      </c>
      <c r="AW82">
        <v>0.79911882830025649</v>
      </c>
      <c r="AX82">
        <v>0</v>
      </c>
      <c r="AY82">
        <v>0</v>
      </c>
      <c r="AZ82">
        <v>-56.003414836948608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</row>
    <row r="83" spans="3:94" x14ac:dyDescent="0.2">
      <c r="C83" s="79" t="s">
        <v>673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19596.984974915471</v>
      </c>
      <c r="N83">
        <v>6.2978071099257633</v>
      </c>
      <c r="O83">
        <v>0</v>
      </c>
      <c r="P83">
        <v>0</v>
      </c>
      <c r="Q83">
        <v>0</v>
      </c>
      <c r="R83">
        <v>0</v>
      </c>
      <c r="S83">
        <v>0</v>
      </c>
      <c r="T83">
        <v>64006.446659789523</v>
      </c>
      <c r="U83">
        <v>13.422626130178516</v>
      </c>
      <c r="V83">
        <v>0</v>
      </c>
      <c r="W83">
        <v>0</v>
      </c>
      <c r="X83">
        <v>0</v>
      </c>
      <c r="Y83">
        <v>0</v>
      </c>
      <c r="Z83">
        <v>88882.048053857477</v>
      </c>
      <c r="AA83">
        <v>14.162229749017065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-4921.9991589709061</v>
      </c>
      <c r="AT83">
        <v>1926.6920139265901</v>
      </c>
      <c r="AU83">
        <v>3355.8965168972686</v>
      </c>
      <c r="AV83">
        <v>4917.2480951995194</v>
      </c>
      <c r="AW83">
        <v>7991.1882871591861</v>
      </c>
      <c r="AX83">
        <v>0</v>
      </c>
      <c r="AY83">
        <v>0</v>
      </c>
      <c r="AZ83">
        <v>-330785.41595181741</v>
      </c>
      <c r="BA83">
        <v>-46.668538429551951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</row>
    <row r="84" spans="3:94" x14ac:dyDescent="0.2">
      <c r="C84" s="79" t="s">
        <v>674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31989.101516733459</v>
      </c>
      <c r="U84">
        <v>0</v>
      </c>
      <c r="V84">
        <v>0</v>
      </c>
      <c r="W84">
        <v>0</v>
      </c>
      <c r="X84">
        <v>0</v>
      </c>
      <c r="Y84">
        <v>0</v>
      </c>
      <c r="Z84">
        <v>88881.386508263313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13.422626130178516</v>
      </c>
      <c r="AQ84">
        <v>14.162229749017065</v>
      </c>
      <c r="AR84">
        <v>0</v>
      </c>
      <c r="AS84">
        <v>-4167.0382181775813</v>
      </c>
      <c r="AT84">
        <v>0</v>
      </c>
      <c r="AU84">
        <v>1677.2078432862027</v>
      </c>
      <c r="AV84">
        <v>4917.211496314997</v>
      </c>
      <c r="AW84">
        <v>7991.1882474780232</v>
      </c>
      <c r="AX84">
        <v>0</v>
      </c>
      <c r="AY84">
        <v>0</v>
      </c>
      <c r="AZ84">
        <v>-280047.88821930374</v>
      </c>
      <c r="BA84">
        <v>0</v>
      </c>
      <c r="BB84">
        <v>0</v>
      </c>
      <c r="BC84">
        <v>0</v>
      </c>
      <c r="BD84">
        <v>0</v>
      </c>
      <c r="BE84">
        <v>12.785875440391054</v>
      </c>
      <c r="BF84">
        <v>-46.668538429551951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</row>
    <row r="85" spans="3:94" x14ac:dyDescent="0.2">
      <c r="C85" s="79" t="s">
        <v>675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16.000233683146245</v>
      </c>
      <c r="AH85">
        <v>0</v>
      </c>
      <c r="AI85">
        <v>0</v>
      </c>
      <c r="AJ85">
        <v>0</v>
      </c>
      <c r="AK85">
        <v>15.99969795276707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-28.58276640168453</v>
      </c>
      <c r="AT85">
        <v>100</v>
      </c>
      <c r="AU85">
        <v>50.022062964494189</v>
      </c>
      <c r="AV85">
        <v>7.4405576238017459E-4</v>
      </c>
      <c r="AW85">
        <v>4.9678841386194608E-7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15.999967698905174</v>
      </c>
      <c r="BH85">
        <v>0</v>
      </c>
      <c r="BI85">
        <v>0</v>
      </c>
      <c r="BJ85">
        <v>0</v>
      </c>
      <c r="BK85">
        <v>-56.003414836948608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</row>
    <row r="86" spans="3:94" x14ac:dyDescent="0.2">
      <c r="C86" s="79" t="s">
        <v>676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16.000233683146245</v>
      </c>
      <c r="AI86">
        <v>0</v>
      </c>
      <c r="AJ86">
        <v>0</v>
      </c>
      <c r="AK86">
        <v>0</v>
      </c>
      <c r="AL86">
        <v>15.99969795276707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-59.052195931401414</v>
      </c>
      <c r="AT86">
        <v>100</v>
      </c>
      <c r="AU86">
        <v>90.005194140529923</v>
      </c>
      <c r="AV86">
        <v>1.479916125936105E-6</v>
      </c>
      <c r="AW86">
        <v>66.666668874843523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15.999967698905174</v>
      </c>
      <c r="BI86">
        <v>0</v>
      </c>
      <c r="BJ86">
        <v>0</v>
      </c>
      <c r="BK86">
        <v>0</v>
      </c>
      <c r="BL86">
        <v>-56.003414836948608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</row>
    <row r="87" spans="3:94" x14ac:dyDescent="0.2">
      <c r="C87" s="79" t="s">
        <v>677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16.000233683146245</v>
      </c>
      <c r="AJ87">
        <v>0</v>
      </c>
      <c r="AK87">
        <v>0</v>
      </c>
      <c r="AL87">
        <v>0</v>
      </c>
      <c r="AM87">
        <v>15.99969795276707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-93.337572112724359</v>
      </c>
      <c r="AT87">
        <v>100</v>
      </c>
      <c r="AU87">
        <v>100.00000125411314</v>
      </c>
      <c r="AV87">
        <v>76.679360734422431</v>
      </c>
      <c r="AW87">
        <v>100.00000542877765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15.999967698905174</v>
      </c>
      <c r="BJ87">
        <v>0</v>
      </c>
      <c r="BK87">
        <v>0</v>
      </c>
      <c r="BL87">
        <v>0</v>
      </c>
      <c r="BM87">
        <v>-56.003414836948608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</row>
    <row r="88" spans="3:94" x14ac:dyDescent="0.2">
      <c r="C88" s="79" t="s">
        <v>1767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16.000233683146245</v>
      </c>
      <c r="AK88">
        <v>0</v>
      </c>
      <c r="AL88">
        <v>0</v>
      </c>
      <c r="AM88">
        <v>0</v>
      </c>
      <c r="AN88">
        <v>15.99969795276707</v>
      </c>
      <c r="AO88">
        <v>0</v>
      </c>
      <c r="AP88">
        <v>0</v>
      </c>
      <c r="AQ88">
        <v>0</v>
      </c>
      <c r="AR88">
        <v>0</v>
      </c>
      <c r="AS88">
        <v>-100.00007889564095</v>
      </c>
      <c r="AT88">
        <v>100</v>
      </c>
      <c r="AU88">
        <v>99.999999955051038</v>
      </c>
      <c r="AV88">
        <v>100.00000171626303</v>
      </c>
      <c r="AW88">
        <v>100.00000170762857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15.999967698905174</v>
      </c>
      <c r="BK88">
        <v>0</v>
      </c>
      <c r="BL88">
        <v>0</v>
      </c>
      <c r="BM88">
        <v>0</v>
      </c>
      <c r="BN88">
        <v>-56.003414836948608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</row>
    <row r="89" spans="3:94" x14ac:dyDescent="0.2">
      <c r="C89" s="79" t="s">
        <v>678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-1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-6.7585382977414605</v>
      </c>
      <c r="BN89">
        <v>-2.2470810516971986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</row>
    <row r="90" spans="3:94" x14ac:dyDescent="0.2">
      <c r="C90" s="79" t="s">
        <v>679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1.4862028291130322E-3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4.8621199464844035E-2</v>
      </c>
      <c r="X90">
        <v>0</v>
      </c>
      <c r="Y90">
        <v>0</v>
      </c>
      <c r="Z90">
        <v>0</v>
      </c>
      <c r="AA90">
        <v>0</v>
      </c>
      <c r="AB90">
        <v>0</v>
      </c>
      <c r="AC90">
        <v>0.79565506728390356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-0.41762555107334093</v>
      </c>
      <c r="AT90">
        <v>4.3430666668068029E-3</v>
      </c>
      <c r="AU90">
        <v>7.1072388983687868E-2</v>
      </c>
      <c r="AV90">
        <v>1.1630934764910159</v>
      </c>
      <c r="AW90">
        <v>0.22546157050871923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-1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</row>
    <row r="91" spans="3:94" x14ac:dyDescent="0.2">
      <c r="C91" s="79" t="s">
        <v>680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0.90012299088141412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2.8587715953883059E-2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1.7127268615980888E-3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0.50992813176805973</v>
      </c>
      <c r="AT91">
        <v>-2.7072888937438897</v>
      </c>
      <c r="AU91">
        <v>-6.4485249937552558E-2</v>
      </c>
      <c r="AV91">
        <v>-5.3423742638820677E-3</v>
      </c>
      <c r="AW91">
        <v>-0.36078288303658296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-1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</row>
    <row r="92" spans="3:94" x14ac:dyDescent="0.2">
      <c r="C92" s="79" t="s">
        <v>681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16.000233683146245</v>
      </c>
      <c r="T92">
        <v>0</v>
      </c>
      <c r="U92">
        <v>0</v>
      </c>
      <c r="V92">
        <v>0</v>
      </c>
      <c r="W92">
        <v>0</v>
      </c>
      <c r="X92">
        <v>0</v>
      </c>
      <c r="Y92">
        <v>15.99969795276707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8.0035591446908754</v>
      </c>
      <c r="AP92">
        <v>0</v>
      </c>
      <c r="AQ92">
        <v>0</v>
      </c>
      <c r="AR92">
        <v>0</v>
      </c>
      <c r="AS92">
        <v>-48.707373976246025</v>
      </c>
      <c r="AT92">
        <v>50.47204447563751</v>
      </c>
      <c r="AU92">
        <v>56.542030832912552</v>
      </c>
      <c r="AV92">
        <v>43.697013528744932</v>
      </c>
      <c r="AW92">
        <v>45.000000417205491</v>
      </c>
      <c r="AX92">
        <v>0</v>
      </c>
      <c r="AY92">
        <v>-56.003414836948608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</row>
    <row r="93" spans="3:94" x14ac:dyDescent="0.2">
      <c r="C93" s="79" t="s">
        <v>682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-1</v>
      </c>
      <c r="AU93">
        <v>-1</v>
      </c>
      <c r="AV93">
        <v>-1</v>
      </c>
      <c r="AW93">
        <v>-1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</row>
    <row r="94" spans="3:94" x14ac:dyDescent="0.2">
      <c r="C94" s="79" t="s">
        <v>1520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-1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</row>
    <row r="95" spans="3:94" x14ac:dyDescent="0.2">
      <c r="C95" s="79" t="s">
        <v>1521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-1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</row>
    <row r="96" spans="3:94" x14ac:dyDescent="0.2">
      <c r="C96" s="79" t="s">
        <v>1522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-1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</row>
    <row r="97" spans="3:94" x14ac:dyDescent="0.2">
      <c r="C97" s="79" t="s">
        <v>1768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-1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</row>
    <row r="98" spans="3:94" x14ac:dyDescent="0.2">
      <c r="C98" s="79" t="s">
        <v>1523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-1</v>
      </c>
      <c r="BF98">
        <v>0</v>
      </c>
      <c r="BG98">
        <v>-100.00000005201505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</row>
    <row r="99" spans="3:94" x14ac:dyDescent="0.2">
      <c r="C99" s="79" t="s">
        <v>1301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1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</row>
    <row r="100" spans="3:94" x14ac:dyDescent="0.2">
      <c r="C100" s="79" t="s">
        <v>1302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1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</row>
    <row r="101" spans="3:94" x14ac:dyDescent="0.2">
      <c r="C101" s="79" t="s">
        <v>1303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1</v>
      </c>
      <c r="BT101">
        <v>0</v>
      </c>
      <c r="BU101">
        <v>-1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</row>
    <row r="102" spans="3:94" x14ac:dyDescent="0.2">
      <c r="C102" s="79" t="s">
        <v>1304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1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</row>
    <row r="103" spans="3:94" x14ac:dyDescent="0.2">
      <c r="C103" s="79" t="s">
        <v>1305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-1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</row>
    <row r="104" spans="3:94" x14ac:dyDescent="0.2">
      <c r="C104" s="79" t="s">
        <v>1310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0.68786562672801599</v>
      </c>
      <c r="BP104">
        <v>-0.13024944718295481</v>
      </c>
      <c r="BQ104">
        <v>-9.6689396062803242E-3</v>
      </c>
      <c r="BR104">
        <v>-9.9999999532076903E-2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</row>
    <row r="105" spans="3:94" x14ac:dyDescent="0.2">
      <c r="C105" s="79" t="s">
        <v>1311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-1</v>
      </c>
      <c r="BP105">
        <v>0</v>
      </c>
      <c r="BQ105">
        <v>0</v>
      </c>
      <c r="BR105">
        <v>0</v>
      </c>
      <c r="BS105">
        <v>1</v>
      </c>
      <c r="BT105">
        <v>1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</row>
    <row r="106" spans="3:94" x14ac:dyDescent="0.2">
      <c r="C106" s="79" t="s">
        <v>1312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-7.9967068106407488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-0.78687581313163468</v>
      </c>
      <c r="BP106">
        <v>0</v>
      </c>
      <c r="BQ106">
        <v>0</v>
      </c>
      <c r="BR106">
        <v>0</v>
      </c>
      <c r="BS106">
        <v>0.77013014533310575</v>
      </c>
      <c r="BT106">
        <v>0.75</v>
      </c>
      <c r="BU106">
        <v>0</v>
      </c>
      <c r="BV106">
        <v>7.1967253945194827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</row>
    <row r="107" spans="3:94" x14ac:dyDescent="0.2">
      <c r="C107" s="79" t="s">
        <v>1313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-8.1967068106407481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-49.519486299712824</v>
      </c>
      <c r="BP107">
        <v>0</v>
      </c>
      <c r="BQ107">
        <v>0</v>
      </c>
      <c r="BR107">
        <v>0</v>
      </c>
      <c r="BS107">
        <v>42.504985743809236</v>
      </c>
      <c r="BT107">
        <v>100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7.1967253945194827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</row>
    <row r="108" spans="3:94" x14ac:dyDescent="0.2">
      <c r="C108" s="79" t="s">
        <v>1314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-8.1967068106407481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-99.500000004285482</v>
      </c>
      <c r="BP108">
        <v>0</v>
      </c>
      <c r="BQ108">
        <v>0</v>
      </c>
      <c r="BR108">
        <v>0</v>
      </c>
      <c r="BS108">
        <v>99.430267028671494</v>
      </c>
      <c r="BT108">
        <v>100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7.1967253945194827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</row>
    <row r="109" spans="3:94" x14ac:dyDescent="0.2">
      <c r="C109" s="79" t="s">
        <v>1315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1.1523026763566013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3.2879767692417943</v>
      </c>
      <c r="BP109">
        <v>0</v>
      </c>
      <c r="BQ109">
        <v>0</v>
      </c>
      <c r="BR109">
        <v>0</v>
      </c>
      <c r="BS109">
        <v>-3.2498748668499391</v>
      </c>
      <c r="BT109">
        <v>-3.5621245944031967</v>
      </c>
      <c r="BU109">
        <v>0</v>
      </c>
      <c r="BV109">
        <v>0</v>
      </c>
      <c r="BW109">
        <v>-1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</row>
    <row r="110" spans="3:94" x14ac:dyDescent="0.2">
      <c r="C110" s="79" t="s">
        <v>1316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1.1659699043669154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3.326974793910042</v>
      </c>
      <c r="BP110">
        <v>0</v>
      </c>
      <c r="BQ110">
        <v>0</v>
      </c>
      <c r="BR110">
        <v>0</v>
      </c>
      <c r="BS110">
        <v>-3.2498748668499715</v>
      </c>
      <c r="BT110">
        <v>-3.8817799688029666</v>
      </c>
      <c r="BU110">
        <v>0</v>
      </c>
      <c r="BV110">
        <v>0</v>
      </c>
      <c r="BW110">
        <v>0</v>
      </c>
      <c r="BX110">
        <v>0</v>
      </c>
      <c r="BY110">
        <v>-1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</row>
    <row r="111" spans="3:94" x14ac:dyDescent="0.2">
      <c r="C111" s="79" t="s">
        <v>1317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2.0557413989814224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-6.049639217223314</v>
      </c>
      <c r="BP111">
        <v>0</v>
      </c>
      <c r="BQ111">
        <v>0</v>
      </c>
      <c r="BR111">
        <v>0</v>
      </c>
      <c r="BS111">
        <v>3.5357248252691185</v>
      </c>
      <c r="BT111">
        <v>24.141478335686468</v>
      </c>
      <c r="BU111">
        <v>0</v>
      </c>
      <c r="BV111">
        <v>0</v>
      </c>
      <c r="BW111">
        <v>0</v>
      </c>
      <c r="BX111">
        <v>-1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</row>
    <row r="112" spans="3:94" x14ac:dyDescent="0.2">
      <c r="C112" s="79" t="s">
        <v>1528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1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</row>
    <row r="113" spans="3:94" x14ac:dyDescent="0.2">
      <c r="C113" s="79" t="s">
        <v>1529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1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</row>
    <row r="114" spans="3:94" x14ac:dyDescent="0.2">
      <c r="C114" s="79" t="s">
        <v>1530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1</v>
      </c>
      <c r="CG114">
        <v>0</v>
      </c>
      <c r="CH114">
        <v>-1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3:94" x14ac:dyDescent="0.2">
      <c r="C115" s="79" t="s">
        <v>1531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1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</row>
    <row r="116" spans="3:94" x14ac:dyDescent="0.2">
      <c r="C116" s="79" t="s">
        <v>1532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-1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1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</row>
    <row r="117" spans="3:94" x14ac:dyDescent="0.2">
      <c r="C117" s="79" t="s">
        <v>1537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1.9997799373903041E-4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9.682751235792221E-2</v>
      </c>
      <c r="CC117">
        <v>-0.12840281995686983</v>
      </c>
      <c r="CD117">
        <v>-9.5318570490970887E-3</v>
      </c>
      <c r="CE117">
        <v>-4.5291778156851516E-2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</row>
    <row r="118" spans="3:94" x14ac:dyDescent="0.2">
      <c r="C118" s="79" t="s">
        <v>1538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-1</v>
      </c>
      <c r="CC118">
        <v>0</v>
      </c>
      <c r="CD118">
        <v>0</v>
      </c>
      <c r="CE118">
        <v>0</v>
      </c>
      <c r="CF118">
        <v>1</v>
      </c>
      <c r="CG118">
        <v>1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</row>
    <row r="119" spans="3:94" x14ac:dyDescent="0.2">
      <c r="C119" s="79" t="s">
        <v>1539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-56.003436865952423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-0.83331594270501674</v>
      </c>
      <c r="CC119">
        <v>0</v>
      </c>
      <c r="CD119">
        <v>0</v>
      </c>
      <c r="CE119">
        <v>0</v>
      </c>
      <c r="CF119">
        <v>0.81555716306833048</v>
      </c>
      <c r="CG119">
        <v>0.7519012375854035</v>
      </c>
      <c r="CH119">
        <v>0</v>
      </c>
      <c r="CI119">
        <v>0</v>
      </c>
      <c r="CJ119">
        <v>48.003433951255225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</row>
    <row r="120" spans="3:94" x14ac:dyDescent="0.2">
      <c r="C120" s="79" t="s">
        <v>1540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-58.003436865952423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-48.207373976246025</v>
      </c>
      <c r="CC120">
        <v>0</v>
      </c>
      <c r="CD120">
        <v>0</v>
      </c>
      <c r="CE120">
        <v>0</v>
      </c>
      <c r="CF120">
        <v>49.916783465344778</v>
      </c>
      <c r="CG120">
        <v>40.00163547808414</v>
      </c>
      <c r="CH120">
        <v>0</v>
      </c>
      <c r="CI120">
        <v>48.003433951255225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</row>
    <row r="121" spans="3:94" x14ac:dyDescent="0.2">
      <c r="C121" s="79" t="s">
        <v>1541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-58.003436865952423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-28.08276640168453</v>
      </c>
      <c r="CC121">
        <v>0</v>
      </c>
      <c r="CD121">
        <v>0</v>
      </c>
      <c r="CE121">
        <v>0</v>
      </c>
      <c r="CF121">
        <v>13.101082908604115</v>
      </c>
      <c r="CG121">
        <v>100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48.003433951255225</v>
      </c>
      <c r="CN121">
        <v>0</v>
      </c>
      <c r="CO121">
        <v>0</v>
      </c>
      <c r="CP121">
        <v>0</v>
      </c>
    </row>
    <row r="122" spans="3:94" x14ac:dyDescent="0.2">
      <c r="C122" s="79" t="s">
        <v>1542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-58.003436865952423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-58.552195931401414</v>
      </c>
      <c r="CC122">
        <v>0</v>
      </c>
      <c r="CD122">
        <v>0</v>
      </c>
      <c r="CE122">
        <v>0</v>
      </c>
      <c r="CF122">
        <v>49.917858013253664</v>
      </c>
      <c r="CG122">
        <v>100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48.003433951255225</v>
      </c>
      <c r="CO122">
        <v>0</v>
      </c>
      <c r="CP122">
        <v>0</v>
      </c>
    </row>
    <row r="123" spans="3:94" x14ac:dyDescent="0.2">
      <c r="C123" s="79" t="s">
        <v>1543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-58.003436865952423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-92.837572112724359</v>
      </c>
      <c r="CC123">
        <v>0</v>
      </c>
      <c r="CD123">
        <v>0</v>
      </c>
      <c r="CE123">
        <v>0</v>
      </c>
      <c r="CF123">
        <v>91.3455120167622</v>
      </c>
      <c r="CG123">
        <v>100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48.003433951255225</v>
      </c>
      <c r="CP123">
        <v>0</v>
      </c>
    </row>
    <row r="124" spans="3:94" x14ac:dyDescent="0.2">
      <c r="C124" s="79" t="s">
        <v>1771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-58.003436865952423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-99.500078895640954</v>
      </c>
      <c r="CC124">
        <v>0</v>
      </c>
      <c r="CD124">
        <v>0</v>
      </c>
      <c r="CE124">
        <v>0</v>
      </c>
      <c r="CF124">
        <v>99.395942157508301</v>
      </c>
      <c r="CG124">
        <v>100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48.003433951255225</v>
      </c>
    </row>
    <row r="125" spans="3:94" x14ac:dyDescent="0.2">
      <c r="C125" s="79" t="s">
        <v>1544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1.0019462746056746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0.40401015197286694</v>
      </c>
      <c r="CC125">
        <v>0</v>
      </c>
      <c r="CD125">
        <v>0</v>
      </c>
      <c r="CE125">
        <v>0</v>
      </c>
      <c r="CF125">
        <v>-0.48722466411505555</v>
      </c>
      <c r="CG125">
        <v>-4.5520359892453465E-3</v>
      </c>
      <c r="CH125">
        <v>0</v>
      </c>
      <c r="CI125">
        <v>0</v>
      </c>
      <c r="CJ125">
        <v>0</v>
      </c>
      <c r="CK125">
        <v>-1</v>
      </c>
      <c r="CL125">
        <v>0</v>
      </c>
      <c r="CM125">
        <v>0</v>
      </c>
      <c r="CN125">
        <v>0</v>
      </c>
      <c r="CO125">
        <v>0</v>
      </c>
      <c r="CP125">
        <v>0</v>
      </c>
    </row>
    <row r="126" spans="3:94" x14ac:dyDescent="0.2">
      <c r="C126" s="79" t="s">
        <v>1545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2.2331131332740566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-1.1015204305177766</v>
      </c>
      <c r="CC126">
        <v>0</v>
      </c>
      <c r="CD126">
        <v>0</v>
      </c>
      <c r="CE126">
        <v>0</v>
      </c>
      <c r="CF126">
        <v>0.63297321050558419</v>
      </c>
      <c r="CG126">
        <v>3.3507083044675818</v>
      </c>
      <c r="CH126">
        <v>0</v>
      </c>
      <c r="CI126">
        <v>0</v>
      </c>
      <c r="CJ126">
        <v>0</v>
      </c>
      <c r="CK126">
        <v>0</v>
      </c>
      <c r="CL126">
        <v>-1</v>
      </c>
      <c r="CM126">
        <v>0</v>
      </c>
      <c r="CN126">
        <v>0</v>
      </c>
      <c r="CO126">
        <v>0</v>
      </c>
      <c r="CP126">
        <v>0</v>
      </c>
    </row>
    <row r="127" spans="3:94" x14ac:dyDescent="0.2">
      <c r="C127" s="5"/>
    </row>
    <row r="128" spans="3:94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  <row r="171" spans="3:3" x14ac:dyDescent="0.2">
      <c r="C171" s="5"/>
    </row>
    <row r="172" spans="3:3" x14ac:dyDescent="0.2">
      <c r="C172" s="5"/>
    </row>
    <row r="173" spans="3:3" x14ac:dyDescent="0.2">
      <c r="C173" s="5"/>
    </row>
    <row r="174" spans="3:3" x14ac:dyDescent="0.2">
      <c r="C174" s="5"/>
    </row>
    <row r="175" spans="3:3" x14ac:dyDescent="0.2">
      <c r="C175" s="5"/>
    </row>
    <row r="176" spans="3:3" x14ac:dyDescent="0.2">
      <c r="C176" s="5"/>
    </row>
    <row r="177" spans="3:3" x14ac:dyDescent="0.2">
      <c r="C177" s="5"/>
    </row>
    <row r="178" spans="3:3" x14ac:dyDescent="0.2">
      <c r="C178" s="5"/>
    </row>
    <row r="179" spans="3:3" x14ac:dyDescent="0.2">
      <c r="C179" s="5"/>
    </row>
    <row r="180" spans="3:3" x14ac:dyDescent="0.2">
      <c r="C180" s="5"/>
    </row>
    <row r="181" spans="3:3" x14ac:dyDescent="0.2">
      <c r="C181" s="5"/>
    </row>
    <row r="182" spans="3:3" x14ac:dyDescent="0.2">
      <c r="C182" s="5"/>
    </row>
    <row r="183" spans="3:3" x14ac:dyDescent="0.2">
      <c r="C183" s="5"/>
    </row>
    <row r="184" spans="3:3" x14ac:dyDescent="0.2">
      <c r="C184" s="5"/>
    </row>
    <row r="185" spans="3:3" x14ac:dyDescent="0.2">
      <c r="C185" s="5"/>
    </row>
    <row r="186" spans="3:3" x14ac:dyDescent="0.2">
      <c r="C186" s="5"/>
    </row>
    <row r="187" spans="3:3" x14ac:dyDescent="0.2">
      <c r="C187" s="5"/>
    </row>
    <row r="188" spans="3:3" x14ac:dyDescent="0.2">
      <c r="C188" s="5"/>
    </row>
    <row r="189" spans="3:3" x14ac:dyDescent="0.2">
      <c r="C189" s="5"/>
    </row>
    <row r="190" spans="3:3" x14ac:dyDescent="0.2">
      <c r="C190" s="5"/>
    </row>
    <row r="191" spans="3:3" x14ac:dyDescent="0.2">
      <c r="C191" s="5"/>
    </row>
    <row r="192" spans="3:3" x14ac:dyDescent="0.2">
      <c r="C192" s="5"/>
    </row>
    <row r="193" spans="3:3" x14ac:dyDescent="0.2">
      <c r="C193" s="5"/>
    </row>
    <row r="194" spans="3:3" x14ac:dyDescent="0.2">
      <c r="C194" s="5"/>
    </row>
    <row r="195" spans="3:3" x14ac:dyDescent="0.2">
      <c r="C195" s="5"/>
    </row>
    <row r="196" spans="3:3" x14ac:dyDescent="0.2">
      <c r="C196" s="5"/>
    </row>
    <row r="197" spans="3:3" x14ac:dyDescent="0.2">
      <c r="C197" s="5"/>
    </row>
    <row r="198" spans="3:3" x14ac:dyDescent="0.2">
      <c r="C198" s="5"/>
    </row>
    <row r="199" spans="3:3" x14ac:dyDescent="0.2">
      <c r="C199" s="5"/>
    </row>
    <row r="200" spans="3:3" x14ac:dyDescent="0.2">
      <c r="C200" s="5"/>
    </row>
    <row r="201" spans="3:3" x14ac:dyDescent="0.2">
      <c r="C201" s="5"/>
    </row>
    <row r="202" spans="3:3" x14ac:dyDescent="0.2">
      <c r="C202" s="5"/>
    </row>
    <row r="203" spans="3:3" x14ac:dyDescent="0.2">
      <c r="C203" s="5"/>
    </row>
    <row r="204" spans="3:3" x14ac:dyDescent="0.2">
      <c r="C204" s="5"/>
    </row>
    <row r="205" spans="3:3" x14ac:dyDescent="0.2">
      <c r="C205" s="5"/>
    </row>
    <row r="206" spans="3:3" x14ac:dyDescent="0.2">
      <c r="C206" s="5"/>
    </row>
    <row r="207" spans="3:3" x14ac:dyDescent="0.2">
      <c r="C207" s="5"/>
    </row>
    <row r="208" spans="3:3" x14ac:dyDescent="0.2">
      <c r="C208" s="5"/>
    </row>
    <row r="209" spans="3:3" x14ac:dyDescent="0.2">
      <c r="C209" s="5"/>
    </row>
    <row r="210" spans="3:3" x14ac:dyDescent="0.2">
      <c r="C210" s="5"/>
    </row>
    <row r="211" spans="3:3" x14ac:dyDescent="0.2">
      <c r="C211" s="5"/>
    </row>
    <row r="212" spans="3:3" x14ac:dyDescent="0.2">
      <c r="C212" s="5"/>
    </row>
    <row r="213" spans="3:3" x14ac:dyDescent="0.2">
      <c r="C213" s="5"/>
    </row>
    <row r="214" spans="3:3" x14ac:dyDescent="0.2">
      <c r="C214" s="5"/>
    </row>
    <row r="215" spans="3:3" x14ac:dyDescent="0.2">
      <c r="C215" s="5"/>
    </row>
    <row r="216" spans="3:3" x14ac:dyDescent="0.2">
      <c r="C216" s="5"/>
    </row>
    <row r="217" spans="3:3" x14ac:dyDescent="0.2">
      <c r="C217" s="5"/>
    </row>
    <row r="218" spans="3:3" x14ac:dyDescent="0.2">
      <c r="C218" s="5"/>
    </row>
    <row r="219" spans="3:3" x14ac:dyDescent="0.2">
      <c r="C219" s="5"/>
    </row>
    <row r="220" spans="3:3" x14ac:dyDescent="0.2">
      <c r="C220" s="5"/>
    </row>
    <row r="221" spans="3:3" x14ac:dyDescent="0.2">
      <c r="C221" s="5"/>
    </row>
    <row r="222" spans="3:3" x14ac:dyDescent="0.2">
      <c r="C222" s="5"/>
    </row>
    <row r="223" spans="3:3" x14ac:dyDescent="0.2">
      <c r="C223" s="5"/>
    </row>
    <row r="224" spans="3:3" x14ac:dyDescent="0.2">
      <c r="C224" s="5"/>
    </row>
    <row r="225" spans="3:3" x14ac:dyDescent="0.2">
      <c r="C225" s="5"/>
    </row>
    <row r="226" spans="3:3" x14ac:dyDescent="0.2">
      <c r="C226" s="5"/>
    </row>
    <row r="227" spans="3:3" x14ac:dyDescent="0.2">
      <c r="C227" s="5"/>
    </row>
    <row r="228" spans="3:3" x14ac:dyDescent="0.2">
      <c r="C228" s="5"/>
    </row>
    <row r="229" spans="3:3" x14ac:dyDescent="0.2">
      <c r="C229" s="5"/>
    </row>
    <row r="230" spans="3:3" x14ac:dyDescent="0.2">
      <c r="C230" s="5"/>
    </row>
    <row r="231" spans="3:3" x14ac:dyDescent="0.2">
      <c r="C231" s="5"/>
    </row>
    <row r="232" spans="3:3" x14ac:dyDescent="0.2">
      <c r="C232" s="5"/>
    </row>
    <row r="233" spans="3:3" x14ac:dyDescent="0.2">
      <c r="C233" s="5"/>
    </row>
    <row r="234" spans="3:3" x14ac:dyDescent="0.2">
      <c r="C234" s="5"/>
    </row>
    <row r="235" spans="3:3" x14ac:dyDescent="0.2">
      <c r="C235" s="5"/>
    </row>
    <row r="236" spans="3:3" x14ac:dyDescent="0.2">
      <c r="C236" s="5"/>
    </row>
    <row r="237" spans="3:3" x14ac:dyDescent="0.2">
      <c r="C237" s="5"/>
    </row>
    <row r="238" spans="3:3" x14ac:dyDescent="0.2">
      <c r="C238" s="5"/>
    </row>
    <row r="239" spans="3:3" x14ac:dyDescent="0.2">
      <c r="C239" s="5"/>
    </row>
    <row r="240" spans="3:3" x14ac:dyDescent="0.2">
      <c r="C240" s="5"/>
    </row>
    <row r="241" spans="3:3" x14ac:dyDescent="0.2">
      <c r="C241" s="5"/>
    </row>
    <row r="242" spans="3:3" x14ac:dyDescent="0.2">
      <c r="C242" s="5"/>
    </row>
    <row r="243" spans="3:3" x14ac:dyDescent="0.2">
      <c r="C243" s="5"/>
    </row>
    <row r="244" spans="3:3" x14ac:dyDescent="0.2">
      <c r="C244" s="5"/>
    </row>
    <row r="245" spans="3:3" x14ac:dyDescent="0.2">
      <c r="C245" s="5"/>
    </row>
    <row r="246" spans="3:3" x14ac:dyDescent="0.2">
      <c r="C246" s="5"/>
    </row>
    <row r="247" spans="3:3" x14ac:dyDescent="0.2">
      <c r="C247" s="5"/>
    </row>
    <row r="248" spans="3:3" x14ac:dyDescent="0.2">
      <c r="C248" s="5"/>
    </row>
    <row r="249" spans="3:3" x14ac:dyDescent="0.2">
      <c r="C249" s="5"/>
    </row>
    <row r="250" spans="3:3" x14ac:dyDescent="0.2">
      <c r="C250" s="5"/>
    </row>
    <row r="251" spans="3:3" x14ac:dyDescent="0.2">
      <c r="C251" s="5"/>
    </row>
    <row r="252" spans="3:3" x14ac:dyDescent="0.2">
      <c r="C252" s="5"/>
    </row>
    <row r="253" spans="3:3" x14ac:dyDescent="0.2">
      <c r="C253" s="5"/>
    </row>
    <row r="254" spans="3:3" x14ac:dyDescent="0.2">
      <c r="C254" s="5"/>
    </row>
    <row r="255" spans="3:3" x14ac:dyDescent="0.2">
      <c r="C255" s="5"/>
    </row>
    <row r="256" spans="3:3" x14ac:dyDescent="0.2">
      <c r="C256" s="5"/>
    </row>
    <row r="257" spans="3:3" x14ac:dyDescent="0.2">
      <c r="C257" s="5"/>
    </row>
    <row r="258" spans="3:3" x14ac:dyDescent="0.2">
      <c r="C258" s="5"/>
    </row>
    <row r="259" spans="3:3" x14ac:dyDescent="0.2">
      <c r="C259" s="5"/>
    </row>
    <row r="260" spans="3:3" x14ac:dyDescent="0.2">
      <c r="C260" s="5"/>
    </row>
    <row r="261" spans="3:3" x14ac:dyDescent="0.2">
      <c r="C261" s="5"/>
    </row>
    <row r="262" spans="3:3" x14ac:dyDescent="0.2">
      <c r="C262" s="5"/>
    </row>
    <row r="263" spans="3:3" x14ac:dyDescent="0.2">
      <c r="C263" s="5"/>
    </row>
    <row r="264" spans="3:3" x14ac:dyDescent="0.2">
      <c r="C264" s="5"/>
    </row>
    <row r="265" spans="3:3" x14ac:dyDescent="0.2">
      <c r="C265" s="5"/>
    </row>
    <row r="266" spans="3:3" x14ac:dyDescent="0.2">
      <c r="C266" s="5"/>
    </row>
    <row r="267" spans="3:3" x14ac:dyDescent="0.2">
      <c r="C267" s="5"/>
    </row>
    <row r="268" spans="3:3" x14ac:dyDescent="0.2">
      <c r="C268" s="5"/>
    </row>
    <row r="269" spans="3:3" x14ac:dyDescent="0.2">
      <c r="C269" s="5"/>
    </row>
    <row r="270" spans="3:3" x14ac:dyDescent="0.2">
      <c r="C270" s="5"/>
    </row>
    <row r="271" spans="3:3" x14ac:dyDescent="0.2">
      <c r="C271" s="5"/>
    </row>
    <row r="272" spans="3:3" x14ac:dyDescent="0.2">
      <c r="C272" s="5"/>
    </row>
    <row r="273" spans="3:3" x14ac:dyDescent="0.2">
      <c r="C273" s="5"/>
    </row>
    <row r="274" spans="3:3" x14ac:dyDescent="0.2">
      <c r="C274" s="5"/>
    </row>
    <row r="275" spans="3:3" x14ac:dyDescent="0.2">
      <c r="C275" s="5"/>
    </row>
    <row r="276" spans="3:3" x14ac:dyDescent="0.2">
      <c r="C276" s="5"/>
    </row>
    <row r="277" spans="3:3" x14ac:dyDescent="0.2">
      <c r="C277" s="5"/>
    </row>
    <row r="278" spans="3:3" x14ac:dyDescent="0.2">
      <c r="C278" s="5"/>
    </row>
    <row r="279" spans="3:3" x14ac:dyDescent="0.2">
      <c r="C279" s="5"/>
    </row>
    <row r="280" spans="3:3" x14ac:dyDescent="0.2">
      <c r="C280" s="5"/>
    </row>
    <row r="281" spans="3:3" x14ac:dyDescent="0.2">
      <c r="C281" s="5"/>
    </row>
    <row r="282" spans="3:3" x14ac:dyDescent="0.2">
      <c r="C282" s="5"/>
    </row>
    <row r="283" spans="3:3" x14ac:dyDescent="0.2">
      <c r="C283" s="5"/>
    </row>
    <row r="284" spans="3:3" x14ac:dyDescent="0.2">
      <c r="C284" s="5"/>
    </row>
    <row r="285" spans="3:3" x14ac:dyDescent="0.2">
      <c r="C285" s="5"/>
    </row>
    <row r="286" spans="3:3" x14ac:dyDescent="0.2">
      <c r="C286" s="5"/>
    </row>
    <row r="287" spans="3:3" x14ac:dyDescent="0.2">
      <c r="C287" s="5"/>
    </row>
    <row r="288" spans="3:3" x14ac:dyDescent="0.2">
      <c r="C288" s="5"/>
    </row>
    <row r="289" spans="3:3" x14ac:dyDescent="0.2">
      <c r="C289" s="5"/>
    </row>
    <row r="290" spans="3:3" x14ac:dyDescent="0.2">
      <c r="C290" s="5"/>
    </row>
    <row r="291" spans="3:3" x14ac:dyDescent="0.2">
      <c r="C291" s="5"/>
    </row>
    <row r="292" spans="3:3" x14ac:dyDescent="0.2">
      <c r="C292" s="5"/>
    </row>
    <row r="293" spans="3:3" x14ac:dyDescent="0.2">
      <c r="C293" s="5"/>
    </row>
    <row r="294" spans="3:3" x14ac:dyDescent="0.2">
      <c r="C294" s="5"/>
    </row>
    <row r="295" spans="3:3" x14ac:dyDescent="0.2">
      <c r="C295" s="5"/>
    </row>
    <row r="296" spans="3:3" x14ac:dyDescent="0.2">
      <c r="C296" s="5"/>
    </row>
    <row r="297" spans="3:3" x14ac:dyDescent="0.2">
      <c r="C297" s="5"/>
    </row>
    <row r="298" spans="3:3" x14ac:dyDescent="0.2">
      <c r="C298" s="5"/>
    </row>
    <row r="299" spans="3:3" x14ac:dyDescent="0.2">
      <c r="C299" s="5"/>
    </row>
    <row r="300" spans="3:3" x14ac:dyDescent="0.2">
      <c r="C300" s="5"/>
    </row>
    <row r="301" spans="3:3" x14ac:dyDescent="0.2">
      <c r="C301" s="5"/>
    </row>
    <row r="302" spans="3:3" x14ac:dyDescent="0.2">
      <c r="C302" s="5"/>
    </row>
    <row r="303" spans="3:3" x14ac:dyDescent="0.2">
      <c r="C303" s="5"/>
    </row>
    <row r="304" spans="3:3" x14ac:dyDescent="0.2">
      <c r="C304" s="5"/>
    </row>
    <row r="305" spans="3:3" x14ac:dyDescent="0.2">
      <c r="C305" s="5"/>
    </row>
    <row r="306" spans="3:3" x14ac:dyDescent="0.2">
      <c r="C306" s="5"/>
    </row>
    <row r="307" spans="3:3" x14ac:dyDescent="0.2">
      <c r="C307" s="5"/>
    </row>
    <row r="308" spans="3:3" x14ac:dyDescent="0.2">
      <c r="C308" s="5"/>
    </row>
    <row r="309" spans="3:3" x14ac:dyDescent="0.2">
      <c r="C309" s="5"/>
    </row>
    <row r="310" spans="3:3" x14ac:dyDescent="0.2">
      <c r="C310" s="5"/>
    </row>
    <row r="311" spans="3:3" x14ac:dyDescent="0.2">
      <c r="C311" s="5"/>
    </row>
    <row r="312" spans="3:3" x14ac:dyDescent="0.2">
      <c r="C312" s="5"/>
    </row>
    <row r="313" spans="3:3" x14ac:dyDescent="0.2">
      <c r="C313" s="5"/>
    </row>
    <row r="314" spans="3:3" x14ac:dyDescent="0.2">
      <c r="C314" s="5"/>
    </row>
    <row r="315" spans="3:3" x14ac:dyDescent="0.2">
      <c r="C315" s="5"/>
    </row>
    <row r="316" spans="3:3" x14ac:dyDescent="0.2">
      <c r="C316" s="5"/>
    </row>
    <row r="317" spans="3:3" x14ac:dyDescent="0.2">
      <c r="C317" s="5"/>
    </row>
    <row r="318" spans="3:3" x14ac:dyDescent="0.2">
      <c r="C318" s="5"/>
    </row>
    <row r="319" spans="3:3" x14ac:dyDescent="0.2">
      <c r="C319" s="5"/>
    </row>
    <row r="320" spans="3:3" x14ac:dyDescent="0.2">
      <c r="C320" s="5"/>
    </row>
    <row r="321" spans="3:3" x14ac:dyDescent="0.2">
      <c r="C321" s="5"/>
    </row>
    <row r="322" spans="3:3" x14ac:dyDescent="0.2">
      <c r="C322" s="5"/>
    </row>
    <row r="323" spans="3:3" x14ac:dyDescent="0.2">
      <c r="C323" s="5"/>
    </row>
    <row r="324" spans="3:3" x14ac:dyDescent="0.2">
      <c r="C324" s="5"/>
    </row>
    <row r="325" spans="3:3" x14ac:dyDescent="0.2">
      <c r="C325" s="5"/>
    </row>
    <row r="326" spans="3:3" x14ac:dyDescent="0.2">
      <c r="C326" s="5"/>
    </row>
    <row r="327" spans="3:3" x14ac:dyDescent="0.2">
      <c r="C327" s="5"/>
    </row>
    <row r="328" spans="3:3" x14ac:dyDescent="0.2">
      <c r="C328" s="5"/>
    </row>
    <row r="329" spans="3:3" x14ac:dyDescent="0.2">
      <c r="C329" s="5"/>
    </row>
    <row r="330" spans="3:3" x14ac:dyDescent="0.2">
      <c r="C330" s="5"/>
    </row>
    <row r="331" spans="3:3" x14ac:dyDescent="0.2">
      <c r="C331" s="5"/>
    </row>
    <row r="332" spans="3:3" x14ac:dyDescent="0.2">
      <c r="C332" s="5"/>
    </row>
    <row r="333" spans="3:3" x14ac:dyDescent="0.2">
      <c r="C333" s="5"/>
    </row>
    <row r="334" spans="3:3" x14ac:dyDescent="0.2">
      <c r="C334" s="5"/>
    </row>
    <row r="335" spans="3:3" x14ac:dyDescent="0.2">
      <c r="C335" s="5"/>
    </row>
    <row r="336" spans="3:3" x14ac:dyDescent="0.2">
      <c r="C336" s="5"/>
    </row>
    <row r="337" spans="3:3" x14ac:dyDescent="0.2">
      <c r="C337" s="5"/>
    </row>
    <row r="338" spans="3:3" x14ac:dyDescent="0.2">
      <c r="C338" s="5"/>
    </row>
    <row r="339" spans="3:3" x14ac:dyDescent="0.2">
      <c r="C339" s="5"/>
    </row>
    <row r="340" spans="3:3" x14ac:dyDescent="0.2">
      <c r="C340" s="5"/>
    </row>
    <row r="341" spans="3:3" x14ac:dyDescent="0.2">
      <c r="C341" s="5"/>
    </row>
    <row r="342" spans="3:3" x14ac:dyDescent="0.2">
      <c r="C342" s="5"/>
    </row>
    <row r="343" spans="3:3" x14ac:dyDescent="0.2">
      <c r="C343" s="5"/>
    </row>
    <row r="344" spans="3:3" x14ac:dyDescent="0.2">
      <c r="C344" s="5"/>
    </row>
    <row r="345" spans="3:3" x14ac:dyDescent="0.2">
      <c r="C345" s="5"/>
    </row>
    <row r="346" spans="3:3" x14ac:dyDescent="0.2">
      <c r="C346" s="5"/>
    </row>
    <row r="347" spans="3:3" x14ac:dyDescent="0.2">
      <c r="C347" s="5"/>
    </row>
    <row r="348" spans="3:3" x14ac:dyDescent="0.2">
      <c r="C348" s="5"/>
    </row>
    <row r="349" spans="3:3" x14ac:dyDescent="0.2">
      <c r="C349" s="5"/>
    </row>
    <row r="350" spans="3:3" x14ac:dyDescent="0.2">
      <c r="C350" s="5"/>
    </row>
    <row r="351" spans="3:3" x14ac:dyDescent="0.2">
      <c r="C351" s="5"/>
    </row>
    <row r="352" spans="3:3" x14ac:dyDescent="0.2">
      <c r="C352" s="5"/>
    </row>
    <row r="353" spans="3:3" x14ac:dyDescent="0.2">
      <c r="C353" s="5"/>
    </row>
    <row r="354" spans="3:3" x14ac:dyDescent="0.2">
      <c r="C354" s="5"/>
    </row>
    <row r="355" spans="3:3" x14ac:dyDescent="0.2">
      <c r="C355" s="5"/>
    </row>
    <row r="356" spans="3:3" x14ac:dyDescent="0.2">
      <c r="C356" s="5"/>
    </row>
    <row r="357" spans="3:3" x14ac:dyDescent="0.2">
      <c r="C357" s="5"/>
    </row>
    <row r="358" spans="3:3" x14ac:dyDescent="0.2">
      <c r="C358" s="5"/>
    </row>
    <row r="359" spans="3:3" x14ac:dyDescent="0.2">
      <c r="C359" s="5"/>
    </row>
    <row r="360" spans="3:3" x14ac:dyDescent="0.2">
      <c r="C360" s="5"/>
    </row>
    <row r="361" spans="3:3" x14ac:dyDescent="0.2">
      <c r="C361" s="5"/>
    </row>
    <row r="362" spans="3:3" x14ac:dyDescent="0.2">
      <c r="C362" s="5"/>
    </row>
    <row r="363" spans="3:3" x14ac:dyDescent="0.2">
      <c r="C363" s="5"/>
    </row>
    <row r="364" spans="3:3" x14ac:dyDescent="0.2">
      <c r="C364" s="5"/>
    </row>
    <row r="365" spans="3:3" x14ac:dyDescent="0.2">
      <c r="C365" s="5"/>
    </row>
    <row r="366" spans="3:3" x14ac:dyDescent="0.2">
      <c r="C366" s="5"/>
    </row>
    <row r="367" spans="3:3" x14ac:dyDescent="0.2">
      <c r="C367" s="5"/>
    </row>
    <row r="368" spans="3:3" x14ac:dyDescent="0.2">
      <c r="C368" s="5"/>
    </row>
    <row r="369" spans="3:3" x14ac:dyDescent="0.2">
      <c r="C369" s="5"/>
    </row>
    <row r="370" spans="3:3" x14ac:dyDescent="0.2">
      <c r="C370" s="5"/>
    </row>
    <row r="371" spans="3:3" x14ac:dyDescent="0.2">
      <c r="C371" s="5"/>
    </row>
    <row r="372" spans="3:3" x14ac:dyDescent="0.2">
      <c r="C372" s="5"/>
    </row>
    <row r="373" spans="3:3" x14ac:dyDescent="0.2">
      <c r="C373" s="5"/>
    </row>
    <row r="374" spans="3:3" x14ac:dyDescent="0.2">
      <c r="C374" s="5"/>
    </row>
    <row r="375" spans="3:3" x14ac:dyDescent="0.2">
      <c r="C375" s="5"/>
    </row>
    <row r="376" spans="3:3" x14ac:dyDescent="0.2">
      <c r="C376" s="5"/>
    </row>
    <row r="377" spans="3:3" x14ac:dyDescent="0.2">
      <c r="C377" s="5"/>
    </row>
    <row r="378" spans="3:3" x14ac:dyDescent="0.2">
      <c r="C378" s="5"/>
    </row>
    <row r="379" spans="3:3" x14ac:dyDescent="0.2">
      <c r="C379" s="5"/>
    </row>
    <row r="380" spans="3:3" x14ac:dyDescent="0.2">
      <c r="C380" s="5"/>
    </row>
    <row r="381" spans="3:3" x14ac:dyDescent="0.2">
      <c r="C381" s="5"/>
    </row>
    <row r="382" spans="3:3" x14ac:dyDescent="0.2">
      <c r="C382" s="5"/>
    </row>
    <row r="383" spans="3:3" x14ac:dyDescent="0.2">
      <c r="C383" s="5"/>
    </row>
    <row r="384" spans="3:3" x14ac:dyDescent="0.2">
      <c r="C384" s="5"/>
    </row>
    <row r="385" spans="3:3" x14ac:dyDescent="0.2">
      <c r="C385" s="5"/>
    </row>
    <row r="386" spans="3:3" x14ac:dyDescent="0.2">
      <c r="C386" s="5"/>
    </row>
    <row r="387" spans="3:3" x14ac:dyDescent="0.2">
      <c r="C387" s="5"/>
    </row>
    <row r="388" spans="3:3" x14ac:dyDescent="0.2">
      <c r="C388" s="5"/>
    </row>
    <row r="389" spans="3:3" x14ac:dyDescent="0.2">
      <c r="C389" s="5"/>
    </row>
    <row r="390" spans="3:3" x14ac:dyDescent="0.2">
      <c r="C390" s="5"/>
    </row>
    <row r="391" spans="3:3" x14ac:dyDescent="0.2">
      <c r="C391" s="5"/>
    </row>
    <row r="392" spans="3:3" x14ac:dyDescent="0.2">
      <c r="C392" s="5"/>
    </row>
    <row r="393" spans="3:3" x14ac:dyDescent="0.2">
      <c r="C393" s="5"/>
    </row>
    <row r="394" spans="3:3" x14ac:dyDescent="0.2">
      <c r="C394" s="5"/>
    </row>
    <row r="395" spans="3:3" x14ac:dyDescent="0.2">
      <c r="C395" s="5"/>
    </row>
    <row r="396" spans="3:3" x14ac:dyDescent="0.2">
      <c r="C396" s="5"/>
    </row>
    <row r="397" spans="3:3" x14ac:dyDescent="0.2">
      <c r="C397" s="5"/>
    </row>
    <row r="398" spans="3:3" x14ac:dyDescent="0.2">
      <c r="C398" s="5"/>
    </row>
    <row r="399" spans="3:3" x14ac:dyDescent="0.2">
      <c r="C399" s="5"/>
    </row>
    <row r="400" spans="3:3" x14ac:dyDescent="0.2">
      <c r="C400" s="5"/>
    </row>
    <row r="401" spans="3:3" x14ac:dyDescent="0.2">
      <c r="C401" s="5"/>
    </row>
    <row r="402" spans="3:3" x14ac:dyDescent="0.2">
      <c r="C402" s="5"/>
    </row>
    <row r="403" spans="3:3" x14ac:dyDescent="0.2">
      <c r="C403" s="5"/>
    </row>
    <row r="404" spans="3:3" x14ac:dyDescent="0.2">
      <c r="C404" s="5"/>
    </row>
    <row r="405" spans="3:3" x14ac:dyDescent="0.2">
      <c r="C405" s="5"/>
    </row>
    <row r="406" spans="3:3" x14ac:dyDescent="0.2">
      <c r="C406" s="5"/>
    </row>
    <row r="407" spans="3:3" x14ac:dyDescent="0.2">
      <c r="C407" s="5"/>
    </row>
    <row r="408" spans="3:3" x14ac:dyDescent="0.2">
      <c r="C408" s="5"/>
    </row>
    <row r="409" spans="3:3" x14ac:dyDescent="0.2">
      <c r="C409" s="5"/>
    </row>
    <row r="410" spans="3:3" x14ac:dyDescent="0.2">
      <c r="C410" s="5"/>
    </row>
    <row r="411" spans="3:3" x14ac:dyDescent="0.2">
      <c r="C411" s="5"/>
    </row>
    <row r="412" spans="3:3" x14ac:dyDescent="0.2">
      <c r="C412" s="5"/>
    </row>
    <row r="413" spans="3:3" x14ac:dyDescent="0.2">
      <c r="C413" s="5"/>
    </row>
    <row r="414" spans="3:3" x14ac:dyDescent="0.2">
      <c r="C414" s="5"/>
    </row>
    <row r="415" spans="3:3" x14ac:dyDescent="0.2">
      <c r="C415" s="5"/>
    </row>
    <row r="416" spans="3:3" x14ac:dyDescent="0.2">
      <c r="C416" s="5"/>
    </row>
    <row r="417" spans="3:3" x14ac:dyDescent="0.2">
      <c r="C417" s="5"/>
    </row>
    <row r="418" spans="3:3" x14ac:dyDescent="0.2">
      <c r="C418" s="5"/>
    </row>
    <row r="419" spans="3:3" x14ac:dyDescent="0.2">
      <c r="C419" s="5"/>
    </row>
    <row r="420" spans="3:3" x14ac:dyDescent="0.2">
      <c r="C420" s="5"/>
    </row>
    <row r="421" spans="3:3" x14ac:dyDescent="0.2">
      <c r="C421" s="5"/>
    </row>
    <row r="422" spans="3:3" x14ac:dyDescent="0.2">
      <c r="C422" s="5"/>
    </row>
    <row r="423" spans="3:3" x14ac:dyDescent="0.2">
      <c r="C423" s="5"/>
    </row>
    <row r="424" spans="3:3" x14ac:dyDescent="0.2">
      <c r="C424" s="5"/>
    </row>
    <row r="425" spans="3:3" x14ac:dyDescent="0.2">
      <c r="C425" s="5"/>
    </row>
    <row r="426" spans="3:3" x14ac:dyDescent="0.2">
      <c r="C426" s="5"/>
    </row>
    <row r="427" spans="3:3" x14ac:dyDescent="0.2">
      <c r="C427" s="5"/>
    </row>
    <row r="428" spans="3:3" x14ac:dyDescent="0.2">
      <c r="C428" s="5"/>
    </row>
    <row r="429" spans="3:3" x14ac:dyDescent="0.2">
      <c r="C429" s="5"/>
    </row>
    <row r="430" spans="3:3" x14ac:dyDescent="0.2">
      <c r="C430" s="5"/>
    </row>
    <row r="431" spans="3:3" x14ac:dyDescent="0.2">
      <c r="C431" s="5"/>
    </row>
    <row r="432" spans="3:3" x14ac:dyDescent="0.2">
      <c r="C432" s="5"/>
    </row>
    <row r="433" spans="3:3" x14ac:dyDescent="0.2">
      <c r="C433" s="5"/>
    </row>
    <row r="434" spans="3:3" x14ac:dyDescent="0.2">
      <c r="C434" s="5"/>
    </row>
    <row r="435" spans="3:3" x14ac:dyDescent="0.2">
      <c r="C435" s="5"/>
    </row>
    <row r="436" spans="3:3" x14ac:dyDescent="0.2">
      <c r="C436" s="5"/>
    </row>
    <row r="437" spans="3:3" x14ac:dyDescent="0.2">
      <c r="C437" s="5"/>
    </row>
    <row r="438" spans="3:3" x14ac:dyDescent="0.2">
      <c r="C438" s="5"/>
    </row>
    <row r="439" spans="3:3" x14ac:dyDescent="0.2">
      <c r="C439" s="5"/>
    </row>
    <row r="440" spans="3:3" x14ac:dyDescent="0.2">
      <c r="C440" s="5"/>
    </row>
    <row r="441" spans="3:3" x14ac:dyDescent="0.2">
      <c r="C441" s="5"/>
    </row>
    <row r="442" spans="3:3" x14ac:dyDescent="0.2">
      <c r="C442" s="5"/>
    </row>
    <row r="443" spans="3:3" x14ac:dyDescent="0.2">
      <c r="C443" s="5"/>
    </row>
    <row r="444" spans="3:3" x14ac:dyDescent="0.2">
      <c r="C444" s="5"/>
    </row>
    <row r="445" spans="3:3" x14ac:dyDescent="0.2">
      <c r="C445" s="5"/>
    </row>
    <row r="446" spans="3:3" x14ac:dyDescent="0.2">
      <c r="C446" s="5"/>
    </row>
    <row r="447" spans="3:3" x14ac:dyDescent="0.2">
      <c r="C447" s="5"/>
    </row>
    <row r="448" spans="3:3" x14ac:dyDescent="0.2">
      <c r="C448" s="5"/>
    </row>
    <row r="449" spans="3:3" x14ac:dyDescent="0.2">
      <c r="C449" s="5"/>
    </row>
    <row r="450" spans="3:3" x14ac:dyDescent="0.2">
      <c r="C450" s="5"/>
    </row>
    <row r="451" spans="3:3" x14ac:dyDescent="0.2">
      <c r="C451" s="5"/>
    </row>
    <row r="452" spans="3:3" x14ac:dyDescent="0.2">
      <c r="C452" s="5"/>
    </row>
    <row r="453" spans="3:3" x14ac:dyDescent="0.2">
      <c r="C453" s="5"/>
    </row>
    <row r="454" spans="3:3" x14ac:dyDescent="0.2">
      <c r="C454" s="5"/>
    </row>
    <row r="455" spans="3:3" x14ac:dyDescent="0.2">
      <c r="C455" s="5"/>
    </row>
    <row r="456" spans="3:3" x14ac:dyDescent="0.2">
      <c r="C456" s="5"/>
    </row>
    <row r="457" spans="3:3" x14ac:dyDescent="0.2">
      <c r="C457" s="5"/>
    </row>
    <row r="458" spans="3:3" x14ac:dyDescent="0.2">
      <c r="C458" s="5"/>
    </row>
    <row r="459" spans="3:3" x14ac:dyDescent="0.2">
      <c r="C459" s="5"/>
    </row>
    <row r="460" spans="3:3" x14ac:dyDescent="0.2">
      <c r="C460" s="5"/>
    </row>
    <row r="461" spans="3:3" x14ac:dyDescent="0.2">
      <c r="C461" s="5"/>
    </row>
    <row r="462" spans="3:3" x14ac:dyDescent="0.2">
      <c r="C462" s="5"/>
    </row>
    <row r="463" spans="3:3" x14ac:dyDescent="0.2">
      <c r="C463" s="5"/>
    </row>
    <row r="464" spans="3:3" x14ac:dyDescent="0.2">
      <c r="C464" s="5"/>
    </row>
    <row r="465" spans="3:3" x14ac:dyDescent="0.2">
      <c r="C465" s="5"/>
    </row>
    <row r="466" spans="3:3" x14ac:dyDescent="0.2">
      <c r="C466" s="5"/>
    </row>
    <row r="467" spans="3:3" x14ac:dyDescent="0.2">
      <c r="C467" s="5"/>
    </row>
    <row r="468" spans="3:3" x14ac:dyDescent="0.2">
      <c r="C468" s="5"/>
    </row>
    <row r="469" spans="3:3" x14ac:dyDescent="0.2">
      <c r="C469" s="5"/>
    </row>
    <row r="470" spans="3:3" x14ac:dyDescent="0.2">
      <c r="C470" s="5"/>
    </row>
    <row r="471" spans="3:3" x14ac:dyDescent="0.2">
      <c r="C471" s="5"/>
    </row>
    <row r="472" spans="3:3" x14ac:dyDescent="0.2">
      <c r="C472" s="5"/>
    </row>
    <row r="473" spans="3:3" x14ac:dyDescent="0.2">
      <c r="C473" s="5"/>
    </row>
    <row r="474" spans="3:3" x14ac:dyDescent="0.2">
      <c r="C474" s="5"/>
    </row>
    <row r="475" spans="3:3" x14ac:dyDescent="0.2">
      <c r="C475" s="5"/>
    </row>
    <row r="476" spans="3:3" x14ac:dyDescent="0.2">
      <c r="C476" s="5"/>
    </row>
    <row r="477" spans="3:3" x14ac:dyDescent="0.2">
      <c r="C477" s="5"/>
    </row>
    <row r="478" spans="3:3" x14ac:dyDescent="0.2">
      <c r="C478" s="5"/>
    </row>
    <row r="479" spans="3:3" x14ac:dyDescent="0.2">
      <c r="C479" s="5"/>
    </row>
    <row r="480" spans="3:3" x14ac:dyDescent="0.2">
      <c r="C480" s="5"/>
    </row>
    <row r="481" spans="3:3" x14ac:dyDescent="0.2">
      <c r="C481" s="5"/>
    </row>
    <row r="482" spans="3:3" x14ac:dyDescent="0.2">
      <c r="C482" s="5"/>
    </row>
    <row r="483" spans="3:3" x14ac:dyDescent="0.2">
      <c r="C483" s="5"/>
    </row>
    <row r="484" spans="3:3" x14ac:dyDescent="0.2">
      <c r="C484" s="5"/>
    </row>
    <row r="485" spans="3:3" x14ac:dyDescent="0.2">
      <c r="C485" s="5"/>
    </row>
    <row r="486" spans="3:3" x14ac:dyDescent="0.2">
      <c r="C486" s="5"/>
    </row>
    <row r="487" spans="3:3" x14ac:dyDescent="0.2">
      <c r="C487" s="5"/>
    </row>
    <row r="488" spans="3:3" x14ac:dyDescent="0.2">
      <c r="C488" s="5"/>
    </row>
    <row r="489" spans="3:3" x14ac:dyDescent="0.2">
      <c r="C489" s="5"/>
    </row>
    <row r="490" spans="3:3" x14ac:dyDescent="0.2">
      <c r="C490" s="5"/>
    </row>
    <row r="491" spans="3:3" x14ac:dyDescent="0.2">
      <c r="C491" s="5"/>
    </row>
    <row r="492" spans="3:3" x14ac:dyDescent="0.2">
      <c r="C492" s="5"/>
    </row>
    <row r="493" spans="3:3" x14ac:dyDescent="0.2">
      <c r="C493" s="5"/>
    </row>
    <row r="494" spans="3:3" x14ac:dyDescent="0.2">
      <c r="C494" s="5"/>
    </row>
    <row r="495" spans="3:3" x14ac:dyDescent="0.2">
      <c r="C495" s="5"/>
    </row>
    <row r="496" spans="3:3" x14ac:dyDescent="0.2">
      <c r="C496" s="5"/>
    </row>
    <row r="497" spans="3:3" x14ac:dyDescent="0.2">
      <c r="C497" s="5"/>
    </row>
    <row r="498" spans="3:3" x14ac:dyDescent="0.2">
      <c r="C498" s="5"/>
    </row>
    <row r="499" spans="3:3" x14ac:dyDescent="0.2">
      <c r="C499" s="5"/>
    </row>
    <row r="500" spans="3:3" x14ac:dyDescent="0.2">
      <c r="C500" s="5"/>
    </row>
    <row r="501" spans="3:3" x14ac:dyDescent="0.2">
      <c r="C501" s="5"/>
    </row>
    <row r="502" spans="3:3" x14ac:dyDescent="0.2">
      <c r="C502" s="5"/>
    </row>
    <row r="503" spans="3:3" x14ac:dyDescent="0.2">
      <c r="C503" s="5"/>
    </row>
    <row r="504" spans="3:3" x14ac:dyDescent="0.2">
      <c r="C504" s="5"/>
    </row>
    <row r="505" spans="3:3" x14ac:dyDescent="0.2">
      <c r="C505" s="5"/>
    </row>
    <row r="506" spans="3:3" x14ac:dyDescent="0.2">
      <c r="C506" s="5"/>
    </row>
    <row r="507" spans="3:3" x14ac:dyDescent="0.2">
      <c r="C507" s="5"/>
    </row>
    <row r="508" spans="3:3" x14ac:dyDescent="0.2">
      <c r="C508" s="5"/>
    </row>
    <row r="509" spans="3:3" x14ac:dyDescent="0.2">
      <c r="C509" s="5"/>
    </row>
    <row r="510" spans="3:3" x14ac:dyDescent="0.2">
      <c r="C510" s="5"/>
    </row>
    <row r="511" spans="3:3" x14ac:dyDescent="0.2">
      <c r="C511" s="5"/>
    </row>
    <row r="512" spans="3:3" x14ac:dyDescent="0.2">
      <c r="C512" s="5"/>
    </row>
    <row r="513" spans="3:3" x14ac:dyDescent="0.2">
      <c r="C513" s="5"/>
    </row>
    <row r="514" spans="3:3" x14ac:dyDescent="0.2">
      <c r="C514" s="5"/>
    </row>
    <row r="515" spans="3:3" x14ac:dyDescent="0.2">
      <c r="C515" s="5"/>
    </row>
    <row r="516" spans="3:3" x14ac:dyDescent="0.2">
      <c r="C516" s="5"/>
    </row>
    <row r="517" spans="3:3" x14ac:dyDescent="0.2">
      <c r="C517" s="5"/>
    </row>
    <row r="518" spans="3:3" x14ac:dyDescent="0.2">
      <c r="C518" s="5"/>
    </row>
    <row r="519" spans="3:3" x14ac:dyDescent="0.2">
      <c r="C519" s="5"/>
    </row>
    <row r="520" spans="3:3" x14ac:dyDescent="0.2">
      <c r="C520" s="5"/>
    </row>
    <row r="521" spans="3:3" x14ac:dyDescent="0.2">
      <c r="C521" s="5"/>
    </row>
    <row r="522" spans="3:3" x14ac:dyDescent="0.2">
      <c r="C522" s="5"/>
    </row>
    <row r="523" spans="3:3" x14ac:dyDescent="0.2">
      <c r="C523" s="5"/>
    </row>
    <row r="524" spans="3:3" x14ac:dyDescent="0.2">
      <c r="C524" s="5"/>
    </row>
    <row r="525" spans="3:3" x14ac:dyDescent="0.2">
      <c r="C525" s="5"/>
    </row>
    <row r="526" spans="3:3" x14ac:dyDescent="0.2">
      <c r="C526" s="5"/>
    </row>
    <row r="527" spans="3:3" x14ac:dyDescent="0.2">
      <c r="C527" s="5"/>
    </row>
    <row r="528" spans="3:3" x14ac:dyDescent="0.2">
      <c r="C528" s="5"/>
    </row>
    <row r="529" spans="3:3" x14ac:dyDescent="0.2">
      <c r="C529" s="5"/>
    </row>
    <row r="530" spans="3:3" x14ac:dyDescent="0.2">
      <c r="C530" s="5"/>
    </row>
    <row r="531" spans="3:3" x14ac:dyDescent="0.2">
      <c r="C531" s="5"/>
    </row>
    <row r="532" spans="3:3" x14ac:dyDescent="0.2">
      <c r="C532" s="5"/>
    </row>
    <row r="533" spans="3:3" x14ac:dyDescent="0.2">
      <c r="C533" s="5"/>
    </row>
    <row r="534" spans="3:3" x14ac:dyDescent="0.2">
      <c r="C534" s="5"/>
    </row>
    <row r="535" spans="3:3" x14ac:dyDescent="0.2">
      <c r="C535" s="5"/>
    </row>
    <row r="536" spans="3:3" x14ac:dyDescent="0.2">
      <c r="C536" s="5"/>
    </row>
    <row r="537" spans="3:3" x14ac:dyDescent="0.2">
      <c r="C537" s="5"/>
    </row>
    <row r="538" spans="3:3" x14ac:dyDescent="0.2">
      <c r="C538" s="5"/>
    </row>
    <row r="539" spans="3:3" x14ac:dyDescent="0.2">
      <c r="C539" s="5"/>
    </row>
    <row r="540" spans="3:3" x14ac:dyDescent="0.2">
      <c r="C540" s="5"/>
    </row>
    <row r="541" spans="3:3" x14ac:dyDescent="0.2">
      <c r="C541" s="5"/>
    </row>
    <row r="542" spans="3:3" x14ac:dyDescent="0.2">
      <c r="C542" s="5"/>
    </row>
    <row r="543" spans="3:3" x14ac:dyDescent="0.2">
      <c r="C543" s="5"/>
    </row>
    <row r="544" spans="3:3" x14ac:dyDescent="0.2">
      <c r="C544" s="5"/>
    </row>
    <row r="545" spans="3:3" x14ac:dyDescent="0.2">
      <c r="C545" s="5"/>
    </row>
    <row r="546" spans="3:3" x14ac:dyDescent="0.2">
      <c r="C546" s="5"/>
    </row>
    <row r="547" spans="3:3" x14ac:dyDescent="0.2">
      <c r="C547" s="5"/>
    </row>
    <row r="548" spans="3:3" x14ac:dyDescent="0.2">
      <c r="C548" s="5"/>
    </row>
    <row r="549" spans="3:3" x14ac:dyDescent="0.2">
      <c r="C549" s="5"/>
    </row>
    <row r="550" spans="3:3" x14ac:dyDescent="0.2">
      <c r="C550" s="5"/>
    </row>
    <row r="551" spans="3:3" x14ac:dyDescent="0.2">
      <c r="C551" s="5"/>
    </row>
    <row r="552" spans="3:3" x14ac:dyDescent="0.2">
      <c r="C552" s="5"/>
    </row>
    <row r="553" spans="3:3" x14ac:dyDescent="0.2">
      <c r="C553" s="5"/>
    </row>
    <row r="554" spans="3:3" x14ac:dyDescent="0.2">
      <c r="C554" s="5"/>
    </row>
    <row r="555" spans="3:3" x14ac:dyDescent="0.2">
      <c r="C555" s="5"/>
    </row>
    <row r="556" spans="3:3" x14ac:dyDescent="0.2">
      <c r="C556" s="5"/>
    </row>
    <row r="557" spans="3:3" x14ac:dyDescent="0.2">
      <c r="C557" s="5"/>
    </row>
    <row r="558" spans="3:3" x14ac:dyDescent="0.2">
      <c r="C558" s="5"/>
    </row>
    <row r="559" spans="3:3" x14ac:dyDescent="0.2">
      <c r="C559" s="5"/>
    </row>
    <row r="560" spans="3:3" x14ac:dyDescent="0.2">
      <c r="C560" s="5"/>
    </row>
    <row r="561" spans="3:3" x14ac:dyDescent="0.2">
      <c r="C561" s="5"/>
    </row>
    <row r="562" spans="3:3" x14ac:dyDescent="0.2">
      <c r="C562" s="5"/>
    </row>
    <row r="563" spans="3:3" x14ac:dyDescent="0.2">
      <c r="C563" s="5"/>
    </row>
    <row r="564" spans="3:3" x14ac:dyDescent="0.2">
      <c r="C564" s="5"/>
    </row>
    <row r="565" spans="3:3" x14ac:dyDescent="0.2">
      <c r="C565" s="5"/>
    </row>
    <row r="566" spans="3:3" x14ac:dyDescent="0.2">
      <c r="C566" s="5"/>
    </row>
    <row r="567" spans="3:3" x14ac:dyDescent="0.2">
      <c r="C567" s="5"/>
    </row>
    <row r="568" spans="3:3" x14ac:dyDescent="0.2">
      <c r="C568" s="5"/>
    </row>
    <row r="569" spans="3:3" x14ac:dyDescent="0.2">
      <c r="C569" s="5"/>
    </row>
    <row r="570" spans="3:3" x14ac:dyDescent="0.2">
      <c r="C570" s="5"/>
    </row>
    <row r="571" spans="3:3" x14ac:dyDescent="0.2">
      <c r="C571" s="5"/>
    </row>
    <row r="572" spans="3:3" x14ac:dyDescent="0.2">
      <c r="C572" s="5"/>
    </row>
    <row r="573" spans="3:3" x14ac:dyDescent="0.2">
      <c r="C573" s="5"/>
    </row>
    <row r="574" spans="3:3" x14ac:dyDescent="0.2">
      <c r="C574" s="5"/>
    </row>
    <row r="575" spans="3:3" x14ac:dyDescent="0.2">
      <c r="C575" s="5"/>
    </row>
    <row r="576" spans="3:3" x14ac:dyDescent="0.2">
      <c r="C576" s="5"/>
    </row>
    <row r="577" spans="3:3" x14ac:dyDescent="0.2">
      <c r="C577" s="5"/>
    </row>
    <row r="578" spans="3:3" x14ac:dyDescent="0.2">
      <c r="C578" s="5"/>
    </row>
    <row r="579" spans="3:3" x14ac:dyDescent="0.2">
      <c r="C579" s="5"/>
    </row>
    <row r="580" spans="3:3" x14ac:dyDescent="0.2">
      <c r="C580" s="5"/>
    </row>
    <row r="581" spans="3:3" x14ac:dyDescent="0.2">
      <c r="C581" s="5"/>
    </row>
    <row r="582" spans="3:3" x14ac:dyDescent="0.2">
      <c r="C582" s="5"/>
    </row>
    <row r="583" spans="3:3" x14ac:dyDescent="0.2">
      <c r="C583" s="5"/>
    </row>
    <row r="584" spans="3:3" x14ac:dyDescent="0.2">
      <c r="C584" s="5"/>
    </row>
    <row r="585" spans="3:3" x14ac:dyDescent="0.2">
      <c r="C585" s="5"/>
    </row>
    <row r="586" spans="3:3" x14ac:dyDescent="0.2">
      <c r="C586" s="5"/>
    </row>
    <row r="587" spans="3:3" x14ac:dyDescent="0.2">
      <c r="C587" s="5"/>
    </row>
    <row r="588" spans="3:3" x14ac:dyDescent="0.2">
      <c r="C588" s="5"/>
    </row>
    <row r="589" spans="3:3" x14ac:dyDescent="0.2">
      <c r="C589" s="5"/>
    </row>
    <row r="590" spans="3:3" x14ac:dyDescent="0.2">
      <c r="C590" s="5"/>
    </row>
    <row r="591" spans="3:3" x14ac:dyDescent="0.2">
      <c r="C591" s="5"/>
    </row>
    <row r="592" spans="3:3" x14ac:dyDescent="0.2">
      <c r="C592" s="5"/>
    </row>
    <row r="593" spans="3:3" x14ac:dyDescent="0.2">
      <c r="C593" s="5"/>
    </row>
    <row r="594" spans="3:3" x14ac:dyDescent="0.2">
      <c r="C594" s="5"/>
    </row>
    <row r="595" spans="3:3" x14ac:dyDescent="0.2">
      <c r="C595" s="5"/>
    </row>
    <row r="596" spans="3:3" x14ac:dyDescent="0.2">
      <c r="C596" s="5"/>
    </row>
    <row r="597" spans="3:3" x14ac:dyDescent="0.2">
      <c r="C597" s="5"/>
    </row>
    <row r="598" spans="3:3" x14ac:dyDescent="0.2">
      <c r="C598" s="5"/>
    </row>
    <row r="599" spans="3:3" x14ac:dyDescent="0.2">
      <c r="C599" s="5"/>
    </row>
    <row r="600" spans="3:3" x14ac:dyDescent="0.2">
      <c r="C600" s="5"/>
    </row>
    <row r="601" spans="3:3" x14ac:dyDescent="0.2">
      <c r="C601" s="5"/>
    </row>
    <row r="602" spans="3:3" x14ac:dyDescent="0.2">
      <c r="C602" s="5"/>
    </row>
    <row r="603" spans="3:3" x14ac:dyDescent="0.2">
      <c r="C603" s="5"/>
    </row>
    <row r="604" spans="3:3" x14ac:dyDescent="0.2">
      <c r="C604" s="5"/>
    </row>
    <row r="605" spans="3:3" x14ac:dyDescent="0.2">
      <c r="C605" s="5"/>
    </row>
    <row r="606" spans="3:3" x14ac:dyDescent="0.2">
      <c r="C606" s="5"/>
    </row>
    <row r="607" spans="3:3" x14ac:dyDescent="0.2">
      <c r="C607" s="5"/>
    </row>
    <row r="608" spans="3:3" x14ac:dyDescent="0.2">
      <c r="C608" s="5"/>
    </row>
    <row r="609" spans="3:3" x14ac:dyDescent="0.2">
      <c r="C609" s="5"/>
    </row>
    <row r="610" spans="3:3" x14ac:dyDescent="0.2">
      <c r="C610" s="5"/>
    </row>
    <row r="611" spans="3:3" x14ac:dyDescent="0.2">
      <c r="C611" s="5"/>
    </row>
    <row r="612" spans="3:3" x14ac:dyDescent="0.2">
      <c r="C612" s="5"/>
    </row>
    <row r="613" spans="3:3" x14ac:dyDescent="0.2">
      <c r="C613" s="5"/>
    </row>
    <row r="614" spans="3:3" x14ac:dyDescent="0.2">
      <c r="C614" s="5"/>
    </row>
    <row r="615" spans="3:3" x14ac:dyDescent="0.2">
      <c r="C615" s="5"/>
    </row>
    <row r="616" spans="3:3" x14ac:dyDescent="0.2">
      <c r="C616" s="5"/>
    </row>
    <row r="617" spans="3:3" x14ac:dyDescent="0.2">
      <c r="C617" s="5"/>
    </row>
    <row r="618" spans="3:3" x14ac:dyDescent="0.2">
      <c r="C618" s="5"/>
    </row>
    <row r="619" spans="3:3" x14ac:dyDescent="0.2">
      <c r="C619" s="5"/>
    </row>
    <row r="620" spans="3:3" x14ac:dyDescent="0.2">
      <c r="C620" s="5"/>
    </row>
    <row r="621" spans="3:3" x14ac:dyDescent="0.2">
      <c r="C621" s="5"/>
    </row>
    <row r="622" spans="3:3" x14ac:dyDescent="0.2">
      <c r="C622" s="5"/>
    </row>
    <row r="623" spans="3:3" x14ac:dyDescent="0.2">
      <c r="C623" s="5"/>
    </row>
    <row r="624" spans="3:3" x14ac:dyDescent="0.2">
      <c r="C624" s="5"/>
    </row>
    <row r="625" spans="3:3" x14ac:dyDescent="0.2">
      <c r="C625" s="5"/>
    </row>
    <row r="626" spans="3:3" x14ac:dyDescent="0.2">
      <c r="C626" s="5"/>
    </row>
    <row r="627" spans="3:3" x14ac:dyDescent="0.2">
      <c r="C627" s="5"/>
    </row>
    <row r="628" spans="3:3" x14ac:dyDescent="0.2">
      <c r="C628" s="5"/>
    </row>
    <row r="629" spans="3:3" x14ac:dyDescent="0.2">
      <c r="C629" s="5"/>
    </row>
    <row r="630" spans="3:3" x14ac:dyDescent="0.2">
      <c r="C630" s="5"/>
    </row>
    <row r="631" spans="3:3" x14ac:dyDescent="0.2">
      <c r="C631" s="5"/>
    </row>
    <row r="632" spans="3:3" x14ac:dyDescent="0.2">
      <c r="C632" s="5"/>
    </row>
    <row r="633" spans="3:3" x14ac:dyDescent="0.2">
      <c r="C633" s="5"/>
    </row>
    <row r="634" spans="3:3" x14ac:dyDescent="0.2">
      <c r="C634" s="5"/>
    </row>
    <row r="635" spans="3:3" x14ac:dyDescent="0.2">
      <c r="C635" s="5"/>
    </row>
    <row r="636" spans="3:3" x14ac:dyDescent="0.2">
      <c r="C636" s="5"/>
    </row>
    <row r="637" spans="3:3" x14ac:dyDescent="0.2">
      <c r="C637" s="5"/>
    </row>
    <row r="638" spans="3:3" x14ac:dyDescent="0.2">
      <c r="C638" s="5"/>
    </row>
    <row r="639" spans="3:3" x14ac:dyDescent="0.2">
      <c r="C639" s="5"/>
    </row>
    <row r="640" spans="3:3" x14ac:dyDescent="0.2">
      <c r="C640" s="5"/>
    </row>
    <row r="641" spans="3:3" x14ac:dyDescent="0.2">
      <c r="C641" s="5"/>
    </row>
    <row r="642" spans="3:3" x14ac:dyDescent="0.2">
      <c r="C642" s="5"/>
    </row>
    <row r="643" spans="3:3" x14ac:dyDescent="0.2">
      <c r="C643" s="5"/>
    </row>
    <row r="644" spans="3:3" x14ac:dyDescent="0.2">
      <c r="C644" s="5"/>
    </row>
    <row r="645" spans="3:3" x14ac:dyDescent="0.2">
      <c r="C645" s="5"/>
    </row>
    <row r="646" spans="3:3" x14ac:dyDescent="0.2">
      <c r="C646" s="5"/>
    </row>
    <row r="647" spans="3:3" x14ac:dyDescent="0.2">
      <c r="C647" s="5"/>
    </row>
    <row r="648" spans="3:3" x14ac:dyDescent="0.2">
      <c r="C648" s="5"/>
    </row>
    <row r="649" spans="3:3" x14ac:dyDescent="0.2">
      <c r="C649" s="5"/>
    </row>
    <row r="650" spans="3:3" x14ac:dyDescent="0.2">
      <c r="C650" s="5"/>
    </row>
    <row r="651" spans="3:3" x14ac:dyDescent="0.2">
      <c r="C651" s="5"/>
    </row>
    <row r="652" spans="3:3" x14ac:dyDescent="0.2">
      <c r="C652" s="5"/>
    </row>
    <row r="653" spans="3:3" x14ac:dyDescent="0.2">
      <c r="C653" s="5"/>
    </row>
    <row r="654" spans="3:3" x14ac:dyDescent="0.2">
      <c r="C654" s="5"/>
    </row>
    <row r="655" spans="3:3" x14ac:dyDescent="0.2">
      <c r="C655" s="5"/>
    </row>
    <row r="656" spans="3:3" x14ac:dyDescent="0.2">
      <c r="C656" s="5"/>
    </row>
    <row r="657" spans="3:3" x14ac:dyDescent="0.2">
      <c r="C657" s="5"/>
    </row>
    <row r="658" spans="3:3" x14ac:dyDescent="0.2">
      <c r="C658" s="5"/>
    </row>
    <row r="659" spans="3:3" x14ac:dyDescent="0.2">
      <c r="C659" s="5"/>
    </row>
    <row r="660" spans="3:3" x14ac:dyDescent="0.2">
      <c r="C660" s="5"/>
    </row>
    <row r="661" spans="3:3" x14ac:dyDescent="0.2">
      <c r="C661" s="5"/>
    </row>
    <row r="662" spans="3:3" x14ac:dyDescent="0.2">
      <c r="C662" s="5"/>
    </row>
    <row r="663" spans="3:3" x14ac:dyDescent="0.2">
      <c r="C663" s="5"/>
    </row>
    <row r="664" spans="3:3" x14ac:dyDescent="0.2">
      <c r="C664" s="5"/>
    </row>
    <row r="665" spans="3:3" x14ac:dyDescent="0.2">
      <c r="C665" s="5"/>
    </row>
    <row r="666" spans="3:3" x14ac:dyDescent="0.2">
      <c r="C666" s="5"/>
    </row>
    <row r="667" spans="3:3" x14ac:dyDescent="0.2">
      <c r="C667" s="5"/>
    </row>
    <row r="668" spans="3:3" x14ac:dyDescent="0.2">
      <c r="C668" s="5"/>
    </row>
    <row r="669" spans="3:3" x14ac:dyDescent="0.2">
      <c r="C669" s="5"/>
    </row>
    <row r="670" spans="3:3" x14ac:dyDescent="0.2">
      <c r="C670" s="5"/>
    </row>
    <row r="671" spans="3:3" x14ac:dyDescent="0.2">
      <c r="C671" s="5"/>
    </row>
    <row r="672" spans="3:3" x14ac:dyDescent="0.2">
      <c r="C672" s="5"/>
    </row>
    <row r="673" spans="3:3" x14ac:dyDescent="0.2">
      <c r="C673" s="5"/>
    </row>
    <row r="674" spans="3:3" x14ac:dyDescent="0.2">
      <c r="C674" s="5"/>
    </row>
    <row r="675" spans="3:3" x14ac:dyDescent="0.2">
      <c r="C675" s="5"/>
    </row>
    <row r="676" spans="3:3" x14ac:dyDescent="0.2">
      <c r="C676" s="5"/>
    </row>
    <row r="677" spans="3:3" x14ac:dyDescent="0.2">
      <c r="C677" s="5"/>
    </row>
    <row r="678" spans="3:3" x14ac:dyDescent="0.2">
      <c r="C678" s="5"/>
    </row>
    <row r="679" spans="3:3" x14ac:dyDescent="0.2">
      <c r="C679" s="5"/>
    </row>
    <row r="680" spans="3:3" x14ac:dyDescent="0.2">
      <c r="C680" s="5"/>
    </row>
    <row r="681" spans="3:3" x14ac:dyDescent="0.2">
      <c r="C681" s="5"/>
    </row>
    <row r="682" spans="3:3" x14ac:dyDescent="0.2">
      <c r="C682" s="5"/>
    </row>
    <row r="683" spans="3:3" x14ac:dyDescent="0.2">
      <c r="C683" s="5"/>
    </row>
    <row r="684" spans="3:3" x14ac:dyDescent="0.2">
      <c r="C684" s="5"/>
    </row>
    <row r="685" spans="3:3" x14ac:dyDescent="0.2">
      <c r="C685" s="5"/>
    </row>
    <row r="686" spans="3:3" x14ac:dyDescent="0.2">
      <c r="C686" s="5"/>
    </row>
    <row r="687" spans="3:3" x14ac:dyDescent="0.2">
      <c r="C687" s="5"/>
    </row>
    <row r="688" spans="3:3" x14ac:dyDescent="0.2">
      <c r="C688" s="5"/>
    </row>
    <row r="689" spans="3:3" x14ac:dyDescent="0.2">
      <c r="C689" s="5"/>
    </row>
    <row r="690" spans="3:3" x14ac:dyDescent="0.2">
      <c r="C690" s="5"/>
    </row>
    <row r="691" spans="3:3" x14ac:dyDescent="0.2">
      <c r="C691" s="5"/>
    </row>
    <row r="692" spans="3:3" x14ac:dyDescent="0.2">
      <c r="C692" s="5"/>
    </row>
    <row r="693" spans="3:3" x14ac:dyDescent="0.2">
      <c r="C693" s="5"/>
    </row>
    <row r="694" spans="3:3" x14ac:dyDescent="0.2">
      <c r="C694" s="5"/>
    </row>
    <row r="695" spans="3:3" x14ac:dyDescent="0.2">
      <c r="C695" s="5"/>
    </row>
    <row r="696" spans="3:3" x14ac:dyDescent="0.2">
      <c r="C696" s="5"/>
    </row>
    <row r="697" spans="3:3" x14ac:dyDescent="0.2">
      <c r="C697" s="5"/>
    </row>
    <row r="698" spans="3:3" x14ac:dyDescent="0.2">
      <c r="C698" s="5"/>
    </row>
    <row r="699" spans="3:3" x14ac:dyDescent="0.2">
      <c r="C699" s="5"/>
    </row>
    <row r="700" spans="3:3" x14ac:dyDescent="0.2">
      <c r="C700" s="5"/>
    </row>
    <row r="701" spans="3:3" x14ac:dyDescent="0.2">
      <c r="C701" s="5"/>
    </row>
    <row r="702" spans="3:3" x14ac:dyDescent="0.2">
      <c r="C702" s="5"/>
    </row>
    <row r="703" spans="3:3" x14ac:dyDescent="0.2">
      <c r="C703" s="5"/>
    </row>
    <row r="704" spans="3:3" x14ac:dyDescent="0.2">
      <c r="C704" s="5"/>
    </row>
    <row r="705" spans="3:3" x14ac:dyDescent="0.2">
      <c r="C705" s="5"/>
    </row>
    <row r="706" spans="3:3" x14ac:dyDescent="0.2">
      <c r="C706" s="5"/>
    </row>
    <row r="707" spans="3:3" x14ac:dyDescent="0.2">
      <c r="C707" s="5"/>
    </row>
    <row r="708" spans="3:3" x14ac:dyDescent="0.2">
      <c r="C708" s="5"/>
    </row>
    <row r="709" spans="3:3" x14ac:dyDescent="0.2">
      <c r="C709" s="5"/>
    </row>
    <row r="710" spans="3:3" x14ac:dyDescent="0.2">
      <c r="C710" s="5"/>
    </row>
    <row r="711" spans="3:3" x14ac:dyDescent="0.2">
      <c r="C711" s="5"/>
    </row>
    <row r="712" spans="3:3" x14ac:dyDescent="0.2">
      <c r="C712" s="5"/>
    </row>
    <row r="713" spans="3:3" x14ac:dyDescent="0.2">
      <c r="C713" s="5"/>
    </row>
    <row r="714" spans="3:3" x14ac:dyDescent="0.2">
      <c r="C714" s="5"/>
    </row>
    <row r="715" spans="3:3" x14ac:dyDescent="0.2">
      <c r="C715" s="5"/>
    </row>
    <row r="716" spans="3:3" x14ac:dyDescent="0.2">
      <c r="C716" s="5"/>
    </row>
    <row r="717" spans="3:3" x14ac:dyDescent="0.2">
      <c r="C717" s="5"/>
    </row>
    <row r="718" spans="3:3" x14ac:dyDescent="0.2">
      <c r="C718" s="5"/>
    </row>
    <row r="719" spans="3:3" x14ac:dyDescent="0.2">
      <c r="C719" s="5"/>
    </row>
    <row r="720" spans="3:3" x14ac:dyDescent="0.2">
      <c r="C720" s="5"/>
    </row>
    <row r="721" spans="3:3" x14ac:dyDescent="0.2">
      <c r="C721" s="5"/>
    </row>
    <row r="722" spans="3:3" x14ac:dyDescent="0.2">
      <c r="C722" s="5"/>
    </row>
    <row r="723" spans="3:3" x14ac:dyDescent="0.2">
      <c r="C723" s="5"/>
    </row>
    <row r="724" spans="3:3" x14ac:dyDescent="0.2">
      <c r="C724" s="5"/>
    </row>
    <row r="725" spans="3:3" x14ac:dyDescent="0.2">
      <c r="C725" s="5"/>
    </row>
    <row r="726" spans="3:3" x14ac:dyDescent="0.2">
      <c r="C726" s="5"/>
    </row>
    <row r="727" spans="3:3" x14ac:dyDescent="0.2">
      <c r="C727" s="5"/>
    </row>
    <row r="728" spans="3:3" x14ac:dyDescent="0.2">
      <c r="C728" s="5"/>
    </row>
    <row r="729" spans="3:3" x14ac:dyDescent="0.2">
      <c r="C729" s="5"/>
    </row>
    <row r="730" spans="3:3" x14ac:dyDescent="0.2">
      <c r="C730" s="5"/>
    </row>
    <row r="731" spans="3:3" x14ac:dyDescent="0.2">
      <c r="C731" s="5"/>
    </row>
    <row r="732" spans="3:3" x14ac:dyDescent="0.2">
      <c r="C732" s="5"/>
    </row>
    <row r="733" spans="3:3" x14ac:dyDescent="0.2">
      <c r="C733" s="5"/>
    </row>
    <row r="734" spans="3:3" x14ac:dyDescent="0.2">
      <c r="C734" s="5"/>
    </row>
    <row r="735" spans="3:3" x14ac:dyDescent="0.2">
      <c r="C735" s="5"/>
    </row>
    <row r="736" spans="3:3" x14ac:dyDescent="0.2">
      <c r="C736" s="5"/>
    </row>
    <row r="737" spans="3:3" x14ac:dyDescent="0.2">
      <c r="C737" s="5"/>
    </row>
    <row r="738" spans="3:3" x14ac:dyDescent="0.2">
      <c r="C738" s="5"/>
    </row>
    <row r="739" spans="3:3" x14ac:dyDescent="0.2">
      <c r="C739" s="5"/>
    </row>
    <row r="740" spans="3:3" x14ac:dyDescent="0.2">
      <c r="C740" s="5"/>
    </row>
    <row r="741" spans="3:3" x14ac:dyDescent="0.2">
      <c r="C741" s="5"/>
    </row>
    <row r="742" spans="3:3" x14ac:dyDescent="0.2">
      <c r="C742" s="5"/>
    </row>
    <row r="743" spans="3:3" x14ac:dyDescent="0.2">
      <c r="C743" s="5"/>
    </row>
    <row r="744" spans="3:3" x14ac:dyDescent="0.2">
      <c r="C744" s="5"/>
    </row>
    <row r="745" spans="3:3" x14ac:dyDescent="0.2">
      <c r="C745" s="5"/>
    </row>
    <row r="746" spans="3:3" x14ac:dyDescent="0.2">
      <c r="C746" s="5"/>
    </row>
    <row r="747" spans="3:3" x14ac:dyDescent="0.2">
      <c r="C747" s="5"/>
    </row>
    <row r="748" spans="3:3" x14ac:dyDescent="0.2">
      <c r="C748" s="5"/>
    </row>
    <row r="749" spans="3:3" x14ac:dyDescent="0.2">
      <c r="C749" s="5"/>
    </row>
    <row r="750" spans="3:3" x14ac:dyDescent="0.2">
      <c r="C750" s="5"/>
    </row>
    <row r="751" spans="3:3" x14ac:dyDescent="0.2">
      <c r="C751" s="5"/>
    </row>
    <row r="752" spans="3:3" x14ac:dyDescent="0.2">
      <c r="C752" s="5"/>
    </row>
    <row r="753" spans="3:3" x14ac:dyDescent="0.2">
      <c r="C753" s="5"/>
    </row>
    <row r="754" spans="3:3" x14ac:dyDescent="0.2">
      <c r="C754" s="5"/>
    </row>
    <row r="755" spans="3:3" x14ac:dyDescent="0.2">
      <c r="C755" s="5"/>
    </row>
    <row r="756" spans="3:3" x14ac:dyDescent="0.2">
      <c r="C756" s="5"/>
    </row>
    <row r="757" spans="3:3" x14ac:dyDescent="0.2">
      <c r="C757" s="5"/>
    </row>
    <row r="758" spans="3:3" x14ac:dyDescent="0.2">
      <c r="C758" s="5"/>
    </row>
    <row r="759" spans="3:3" x14ac:dyDescent="0.2">
      <c r="C759" s="5"/>
    </row>
    <row r="760" spans="3:3" x14ac:dyDescent="0.2">
      <c r="C760" s="5"/>
    </row>
    <row r="761" spans="3:3" x14ac:dyDescent="0.2">
      <c r="C761" s="5"/>
    </row>
    <row r="762" spans="3:3" x14ac:dyDescent="0.2">
      <c r="C762" s="5"/>
    </row>
    <row r="763" spans="3:3" x14ac:dyDescent="0.2">
      <c r="C763" s="5"/>
    </row>
    <row r="764" spans="3:3" x14ac:dyDescent="0.2">
      <c r="C764" s="5"/>
    </row>
    <row r="765" spans="3:3" x14ac:dyDescent="0.2">
      <c r="C765" s="5"/>
    </row>
    <row r="766" spans="3:3" x14ac:dyDescent="0.2">
      <c r="C766" s="5"/>
    </row>
    <row r="767" spans="3:3" x14ac:dyDescent="0.2">
      <c r="C767" s="5"/>
    </row>
    <row r="768" spans="3:3" x14ac:dyDescent="0.2">
      <c r="C768" s="5"/>
    </row>
    <row r="769" spans="3:3" x14ac:dyDescent="0.2">
      <c r="C769" s="5"/>
    </row>
    <row r="770" spans="3:3" x14ac:dyDescent="0.2">
      <c r="C770" s="5"/>
    </row>
    <row r="771" spans="3:3" x14ac:dyDescent="0.2">
      <c r="C771" s="5"/>
    </row>
    <row r="772" spans="3:3" x14ac:dyDescent="0.2">
      <c r="C772" s="5"/>
    </row>
    <row r="773" spans="3:3" x14ac:dyDescent="0.2">
      <c r="C773" s="5"/>
    </row>
    <row r="774" spans="3:3" x14ac:dyDescent="0.2">
      <c r="C774" s="5"/>
    </row>
    <row r="775" spans="3:3" x14ac:dyDescent="0.2">
      <c r="C775" s="5"/>
    </row>
    <row r="776" spans="3:3" x14ac:dyDescent="0.2">
      <c r="C776" s="5"/>
    </row>
    <row r="777" spans="3:3" x14ac:dyDescent="0.2">
      <c r="C777" s="5"/>
    </row>
    <row r="778" spans="3:3" x14ac:dyDescent="0.2">
      <c r="C778" s="5"/>
    </row>
    <row r="779" spans="3:3" x14ac:dyDescent="0.2">
      <c r="C779" s="5"/>
    </row>
    <row r="780" spans="3:3" x14ac:dyDescent="0.2">
      <c r="C780" s="5"/>
    </row>
    <row r="781" spans="3:3" x14ac:dyDescent="0.2">
      <c r="C781" s="5"/>
    </row>
    <row r="782" spans="3:3" x14ac:dyDescent="0.2">
      <c r="C782" s="5"/>
    </row>
    <row r="783" spans="3:3" x14ac:dyDescent="0.2">
      <c r="C783" s="5"/>
    </row>
    <row r="784" spans="3:3" x14ac:dyDescent="0.2">
      <c r="C784" s="5"/>
    </row>
    <row r="785" spans="3:3" x14ac:dyDescent="0.2">
      <c r="C785" s="5"/>
    </row>
    <row r="786" spans="3:3" x14ac:dyDescent="0.2">
      <c r="C786" s="5"/>
    </row>
    <row r="787" spans="3:3" x14ac:dyDescent="0.2">
      <c r="C787" s="5"/>
    </row>
    <row r="788" spans="3:3" x14ac:dyDescent="0.2">
      <c r="C788" s="5"/>
    </row>
    <row r="789" spans="3:3" x14ac:dyDescent="0.2">
      <c r="C789" s="5"/>
    </row>
    <row r="790" spans="3:3" x14ac:dyDescent="0.2">
      <c r="C790" s="5"/>
    </row>
    <row r="791" spans="3:3" x14ac:dyDescent="0.2">
      <c r="C791" s="5"/>
    </row>
    <row r="792" spans="3:3" x14ac:dyDescent="0.2">
      <c r="C792" s="5"/>
    </row>
    <row r="793" spans="3:3" x14ac:dyDescent="0.2">
      <c r="C793" s="5"/>
    </row>
    <row r="794" spans="3:3" x14ac:dyDescent="0.2">
      <c r="C794" s="5"/>
    </row>
    <row r="795" spans="3:3" x14ac:dyDescent="0.2">
      <c r="C795" s="5"/>
    </row>
    <row r="796" spans="3:3" x14ac:dyDescent="0.2">
      <c r="C796" s="5"/>
    </row>
    <row r="797" spans="3:3" x14ac:dyDescent="0.2">
      <c r="C797" s="5"/>
    </row>
    <row r="798" spans="3:3" x14ac:dyDescent="0.2">
      <c r="C798" s="5"/>
    </row>
    <row r="799" spans="3:3" x14ac:dyDescent="0.2">
      <c r="C799" s="5"/>
    </row>
    <row r="800" spans="3:3" x14ac:dyDescent="0.2">
      <c r="C800" s="5"/>
    </row>
    <row r="801" spans="3:3" x14ac:dyDescent="0.2">
      <c r="C801" s="5"/>
    </row>
    <row r="802" spans="3:3" x14ac:dyDescent="0.2">
      <c r="C802" s="5"/>
    </row>
    <row r="803" spans="3:3" x14ac:dyDescent="0.2">
      <c r="C803" s="5"/>
    </row>
    <row r="804" spans="3:3" x14ac:dyDescent="0.2">
      <c r="C804" s="5"/>
    </row>
    <row r="805" spans="3:3" x14ac:dyDescent="0.2">
      <c r="C805" s="5"/>
    </row>
    <row r="806" spans="3:3" x14ac:dyDescent="0.2">
      <c r="C806" s="5"/>
    </row>
    <row r="807" spans="3:3" x14ac:dyDescent="0.2">
      <c r="C807" s="5"/>
    </row>
    <row r="808" spans="3:3" x14ac:dyDescent="0.2">
      <c r="C808" s="5"/>
    </row>
    <row r="809" spans="3:3" x14ac:dyDescent="0.2">
      <c r="C809" s="5"/>
    </row>
    <row r="810" spans="3:3" x14ac:dyDescent="0.2">
      <c r="C810" s="5"/>
    </row>
    <row r="811" spans="3:3" x14ac:dyDescent="0.2">
      <c r="C811" s="5"/>
    </row>
    <row r="812" spans="3:3" x14ac:dyDescent="0.2">
      <c r="C812" s="5"/>
    </row>
    <row r="813" spans="3:3" x14ac:dyDescent="0.2">
      <c r="C813" s="5"/>
    </row>
    <row r="814" spans="3:3" x14ac:dyDescent="0.2">
      <c r="C814" s="5"/>
    </row>
    <row r="815" spans="3:3" x14ac:dyDescent="0.2">
      <c r="C815" s="5"/>
    </row>
    <row r="816" spans="3:3" x14ac:dyDescent="0.2">
      <c r="C816" s="5"/>
    </row>
    <row r="817" spans="3:3" x14ac:dyDescent="0.2">
      <c r="C817" s="5"/>
    </row>
    <row r="818" spans="3:3" x14ac:dyDescent="0.2">
      <c r="C818" s="5"/>
    </row>
    <row r="819" spans="3:3" x14ac:dyDescent="0.2">
      <c r="C819" s="5"/>
    </row>
    <row r="820" spans="3:3" x14ac:dyDescent="0.2">
      <c r="C820" s="5"/>
    </row>
    <row r="821" spans="3:3" x14ac:dyDescent="0.2">
      <c r="C821" s="5"/>
    </row>
    <row r="822" spans="3:3" x14ac:dyDescent="0.2">
      <c r="C822" s="5"/>
    </row>
    <row r="823" spans="3:3" x14ac:dyDescent="0.2">
      <c r="C823" s="5"/>
    </row>
    <row r="824" spans="3:3" x14ac:dyDescent="0.2">
      <c r="C824" s="5"/>
    </row>
    <row r="825" spans="3:3" x14ac:dyDescent="0.2">
      <c r="C825" s="5"/>
    </row>
    <row r="826" spans="3:3" x14ac:dyDescent="0.2">
      <c r="C826" s="5"/>
    </row>
    <row r="827" spans="3:3" x14ac:dyDescent="0.2">
      <c r="C827" s="5"/>
    </row>
    <row r="828" spans="3:3" x14ac:dyDescent="0.2">
      <c r="C828" s="5"/>
    </row>
    <row r="829" spans="3:3" x14ac:dyDescent="0.2">
      <c r="C829" s="5"/>
    </row>
    <row r="830" spans="3:3" x14ac:dyDescent="0.2">
      <c r="C830" s="5"/>
    </row>
    <row r="831" spans="3:3" x14ac:dyDescent="0.2">
      <c r="C831" s="5"/>
    </row>
    <row r="832" spans="3:3" x14ac:dyDescent="0.2">
      <c r="C832" s="5"/>
    </row>
    <row r="833" spans="3:3" x14ac:dyDescent="0.2">
      <c r="C833" s="5"/>
    </row>
    <row r="834" spans="3:3" x14ac:dyDescent="0.2">
      <c r="C834" s="5"/>
    </row>
    <row r="835" spans="3:3" x14ac:dyDescent="0.2">
      <c r="C835" s="5"/>
    </row>
    <row r="836" spans="3:3" x14ac:dyDescent="0.2">
      <c r="C836" s="5"/>
    </row>
    <row r="837" spans="3:3" x14ac:dyDescent="0.2">
      <c r="C837" s="5"/>
    </row>
    <row r="838" spans="3:3" x14ac:dyDescent="0.2">
      <c r="C838" s="5"/>
    </row>
    <row r="839" spans="3:3" x14ac:dyDescent="0.2">
      <c r="C839" s="5"/>
    </row>
    <row r="840" spans="3:3" x14ac:dyDescent="0.2">
      <c r="C840" s="5"/>
    </row>
    <row r="841" spans="3:3" x14ac:dyDescent="0.2">
      <c r="C841" s="5"/>
    </row>
    <row r="842" spans="3:3" x14ac:dyDescent="0.2">
      <c r="C842" s="5"/>
    </row>
    <row r="843" spans="3:3" x14ac:dyDescent="0.2">
      <c r="C843" s="5"/>
    </row>
    <row r="844" spans="3:3" x14ac:dyDescent="0.2">
      <c r="C844" s="5"/>
    </row>
    <row r="845" spans="3:3" x14ac:dyDescent="0.2">
      <c r="C845" s="5"/>
    </row>
    <row r="846" spans="3:3" x14ac:dyDescent="0.2">
      <c r="C846" s="5"/>
    </row>
    <row r="847" spans="3:3" x14ac:dyDescent="0.2">
      <c r="C847" s="5"/>
    </row>
    <row r="848" spans="3:3" x14ac:dyDescent="0.2">
      <c r="C848" s="5"/>
    </row>
    <row r="849" spans="3:3" x14ac:dyDescent="0.2">
      <c r="C849" s="5"/>
    </row>
    <row r="850" spans="3:3" x14ac:dyDescent="0.2">
      <c r="C850" s="5"/>
    </row>
    <row r="851" spans="3:3" x14ac:dyDescent="0.2">
      <c r="C851" s="5"/>
    </row>
    <row r="852" spans="3:3" x14ac:dyDescent="0.2">
      <c r="C852" s="5"/>
    </row>
    <row r="853" spans="3:3" x14ac:dyDescent="0.2">
      <c r="C853" s="5"/>
    </row>
    <row r="854" spans="3:3" x14ac:dyDescent="0.2">
      <c r="C854" s="5"/>
    </row>
    <row r="855" spans="3:3" x14ac:dyDescent="0.2">
      <c r="C855" s="5"/>
    </row>
    <row r="856" spans="3:3" x14ac:dyDescent="0.2">
      <c r="C856" s="5"/>
    </row>
    <row r="857" spans="3:3" x14ac:dyDescent="0.2">
      <c r="C857" s="5"/>
    </row>
    <row r="858" spans="3:3" x14ac:dyDescent="0.2">
      <c r="C858" s="5"/>
    </row>
    <row r="859" spans="3:3" x14ac:dyDescent="0.2">
      <c r="C859" s="5"/>
    </row>
    <row r="860" spans="3:3" x14ac:dyDescent="0.2">
      <c r="C860" s="5"/>
    </row>
    <row r="861" spans="3:3" x14ac:dyDescent="0.2">
      <c r="C861" s="5"/>
    </row>
    <row r="862" spans="3:3" x14ac:dyDescent="0.2">
      <c r="C862" s="5"/>
    </row>
    <row r="863" spans="3:3" x14ac:dyDescent="0.2">
      <c r="C863" s="5"/>
    </row>
    <row r="864" spans="3:3" x14ac:dyDescent="0.2">
      <c r="C864" s="5"/>
    </row>
    <row r="865" spans="3:3" x14ac:dyDescent="0.2">
      <c r="C865" s="5"/>
    </row>
    <row r="866" spans="3:3" x14ac:dyDescent="0.2">
      <c r="C866" s="5"/>
    </row>
    <row r="867" spans="3:3" x14ac:dyDescent="0.2">
      <c r="C867" s="5"/>
    </row>
    <row r="868" spans="3:3" x14ac:dyDescent="0.2">
      <c r="C868" s="5"/>
    </row>
    <row r="869" spans="3:3" x14ac:dyDescent="0.2">
      <c r="C869" s="5"/>
    </row>
    <row r="870" spans="3:3" x14ac:dyDescent="0.2">
      <c r="C870" s="5"/>
    </row>
    <row r="871" spans="3:3" x14ac:dyDescent="0.2">
      <c r="C871" s="5"/>
    </row>
    <row r="872" spans="3:3" x14ac:dyDescent="0.2">
      <c r="C872" s="5"/>
    </row>
    <row r="873" spans="3:3" x14ac:dyDescent="0.2">
      <c r="C873" s="5"/>
    </row>
    <row r="874" spans="3:3" x14ac:dyDescent="0.2">
      <c r="C874" s="5"/>
    </row>
    <row r="875" spans="3:3" x14ac:dyDescent="0.2">
      <c r="C875" s="5"/>
    </row>
    <row r="876" spans="3:3" x14ac:dyDescent="0.2">
      <c r="C876" s="5"/>
    </row>
    <row r="877" spans="3:3" x14ac:dyDescent="0.2">
      <c r="C877" s="5"/>
    </row>
    <row r="878" spans="3:3" x14ac:dyDescent="0.2">
      <c r="C878" s="5"/>
    </row>
    <row r="879" spans="3:3" x14ac:dyDescent="0.2">
      <c r="C879" s="5"/>
    </row>
    <row r="880" spans="3:3" x14ac:dyDescent="0.2">
      <c r="C880" s="5"/>
    </row>
    <row r="881" spans="3:3" x14ac:dyDescent="0.2">
      <c r="C881" s="5"/>
    </row>
    <row r="882" spans="3:3" x14ac:dyDescent="0.2">
      <c r="C882" s="5"/>
    </row>
    <row r="883" spans="3:3" x14ac:dyDescent="0.2">
      <c r="C883" s="5"/>
    </row>
    <row r="884" spans="3:3" x14ac:dyDescent="0.2">
      <c r="C884" s="5"/>
    </row>
    <row r="885" spans="3:3" x14ac:dyDescent="0.2">
      <c r="C885" s="5"/>
    </row>
    <row r="886" spans="3:3" x14ac:dyDescent="0.2">
      <c r="C886" s="5"/>
    </row>
    <row r="887" spans="3:3" x14ac:dyDescent="0.2">
      <c r="C887" s="5"/>
    </row>
    <row r="888" spans="3:3" x14ac:dyDescent="0.2">
      <c r="C888" s="5"/>
    </row>
    <row r="889" spans="3:3" x14ac:dyDescent="0.2">
      <c r="C889" s="5"/>
    </row>
    <row r="890" spans="3:3" x14ac:dyDescent="0.2">
      <c r="C890" s="5"/>
    </row>
    <row r="891" spans="3:3" x14ac:dyDescent="0.2">
      <c r="C891" s="5"/>
    </row>
    <row r="892" spans="3:3" x14ac:dyDescent="0.2">
      <c r="C892" s="5"/>
    </row>
    <row r="893" spans="3:3" x14ac:dyDescent="0.2">
      <c r="C893" s="5"/>
    </row>
    <row r="894" spans="3:3" x14ac:dyDescent="0.2">
      <c r="C894" s="5"/>
    </row>
    <row r="895" spans="3:3" x14ac:dyDescent="0.2">
      <c r="C895" s="5"/>
    </row>
    <row r="896" spans="3:3" x14ac:dyDescent="0.2">
      <c r="C896" s="5"/>
    </row>
    <row r="897" spans="3:3" x14ac:dyDescent="0.2">
      <c r="C897" s="5"/>
    </row>
    <row r="898" spans="3:3" x14ac:dyDescent="0.2">
      <c r="C898" s="5"/>
    </row>
    <row r="899" spans="3:3" x14ac:dyDescent="0.2">
      <c r="C899" s="5"/>
    </row>
    <row r="900" spans="3:3" x14ac:dyDescent="0.2">
      <c r="C900" s="5"/>
    </row>
    <row r="901" spans="3:3" x14ac:dyDescent="0.2">
      <c r="C901" s="5"/>
    </row>
    <row r="902" spans="3:3" x14ac:dyDescent="0.2">
      <c r="C902" s="5"/>
    </row>
    <row r="903" spans="3:3" x14ac:dyDescent="0.2">
      <c r="C903" s="5"/>
    </row>
    <row r="904" spans="3:3" x14ac:dyDescent="0.2">
      <c r="C904" s="5"/>
    </row>
    <row r="905" spans="3:3" x14ac:dyDescent="0.2">
      <c r="C905" s="5"/>
    </row>
    <row r="906" spans="3:3" x14ac:dyDescent="0.2">
      <c r="C906" s="5"/>
    </row>
    <row r="907" spans="3:3" x14ac:dyDescent="0.2">
      <c r="C907" s="5"/>
    </row>
    <row r="908" spans="3:3" x14ac:dyDescent="0.2">
      <c r="C908" s="5"/>
    </row>
    <row r="909" spans="3:3" x14ac:dyDescent="0.2">
      <c r="C909" s="5"/>
    </row>
    <row r="910" spans="3:3" x14ac:dyDescent="0.2">
      <c r="C910" s="5"/>
    </row>
    <row r="911" spans="3:3" x14ac:dyDescent="0.2">
      <c r="C911" s="5"/>
    </row>
    <row r="912" spans="3:3" x14ac:dyDescent="0.2">
      <c r="C912" s="5"/>
    </row>
    <row r="913" spans="3:3" x14ac:dyDescent="0.2">
      <c r="C913" s="5"/>
    </row>
    <row r="914" spans="3:3" x14ac:dyDescent="0.2">
      <c r="C914" s="5"/>
    </row>
    <row r="915" spans="3:3" x14ac:dyDescent="0.2">
      <c r="C915" s="5"/>
    </row>
    <row r="916" spans="3:3" x14ac:dyDescent="0.2">
      <c r="C916" s="5"/>
    </row>
    <row r="917" spans="3:3" x14ac:dyDescent="0.2">
      <c r="C917" s="5"/>
    </row>
    <row r="918" spans="3:3" x14ac:dyDescent="0.2">
      <c r="C918" s="5"/>
    </row>
    <row r="919" spans="3:3" x14ac:dyDescent="0.2">
      <c r="C919" s="5"/>
    </row>
    <row r="920" spans="3:3" x14ac:dyDescent="0.2">
      <c r="C920" s="5"/>
    </row>
    <row r="921" spans="3:3" x14ac:dyDescent="0.2">
      <c r="C921" s="5"/>
    </row>
    <row r="922" spans="3:3" x14ac:dyDescent="0.2">
      <c r="C922" s="5"/>
    </row>
    <row r="923" spans="3:3" x14ac:dyDescent="0.2">
      <c r="C923" s="5"/>
    </row>
    <row r="924" spans="3:3" x14ac:dyDescent="0.2">
      <c r="C924" s="5"/>
    </row>
    <row r="925" spans="3:3" x14ac:dyDescent="0.2">
      <c r="C925" s="5"/>
    </row>
    <row r="926" spans="3:3" x14ac:dyDescent="0.2">
      <c r="C926" s="5"/>
    </row>
    <row r="927" spans="3:3" x14ac:dyDescent="0.2">
      <c r="C927" s="5"/>
    </row>
    <row r="928" spans="3:3" x14ac:dyDescent="0.2">
      <c r="C928" s="5"/>
    </row>
    <row r="929" spans="3:3" x14ac:dyDescent="0.2">
      <c r="C929" s="5"/>
    </row>
    <row r="930" spans="3:3" x14ac:dyDescent="0.2">
      <c r="C930" s="5"/>
    </row>
    <row r="931" spans="3:3" x14ac:dyDescent="0.2">
      <c r="C931" s="5"/>
    </row>
    <row r="932" spans="3:3" x14ac:dyDescent="0.2">
      <c r="C932" s="5"/>
    </row>
    <row r="933" spans="3:3" x14ac:dyDescent="0.2">
      <c r="C933" s="5"/>
    </row>
    <row r="934" spans="3:3" x14ac:dyDescent="0.2">
      <c r="C934" s="5"/>
    </row>
    <row r="935" spans="3:3" x14ac:dyDescent="0.2">
      <c r="C935" s="5"/>
    </row>
    <row r="936" spans="3:3" x14ac:dyDescent="0.2">
      <c r="C936" s="5"/>
    </row>
    <row r="937" spans="3:3" x14ac:dyDescent="0.2">
      <c r="C937" s="5"/>
    </row>
    <row r="938" spans="3:3" x14ac:dyDescent="0.2">
      <c r="C938" s="5"/>
    </row>
    <row r="939" spans="3:3" x14ac:dyDescent="0.2">
      <c r="C939" s="5"/>
    </row>
    <row r="940" spans="3:3" x14ac:dyDescent="0.2">
      <c r="C940" s="5"/>
    </row>
    <row r="941" spans="3:3" x14ac:dyDescent="0.2">
      <c r="C941" s="5"/>
    </row>
    <row r="942" spans="3:3" x14ac:dyDescent="0.2">
      <c r="C942" s="5"/>
    </row>
    <row r="943" spans="3:3" x14ac:dyDescent="0.2">
      <c r="C943" s="5"/>
    </row>
    <row r="944" spans="3:3" x14ac:dyDescent="0.2">
      <c r="C944" s="5"/>
    </row>
    <row r="945" spans="3:3" x14ac:dyDescent="0.2">
      <c r="C945" s="5"/>
    </row>
    <row r="946" spans="3:3" x14ac:dyDescent="0.2">
      <c r="C946" s="5"/>
    </row>
    <row r="947" spans="3:3" x14ac:dyDescent="0.2">
      <c r="C947" s="5"/>
    </row>
    <row r="948" spans="3:3" x14ac:dyDescent="0.2">
      <c r="C948" s="5"/>
    </row>
    <row r="949" spans="3:3" x14ac:dyDescent="0.2">
      <c r="C949" s="5"/>
    </row>
    <row r="950" spans="3:3" x14ac:dyDescent="0.2">
      <c r="C950" s="5"/>
    </row>
    <row r="951" spans="3:3" x14ac:dyDescent="0.2">
      <c r="C951" s="5"/>
    </row>
    <row r="952" spans="3:3" x14ac:dyDescent="0.2">
      <c r="C952" s="5"/>
    </row>
    <row r="953" spans="3:3" x14ac:dyDescent="0.2">
      <c r="C953" s="5"/>
    </row>
    <row r="954" spans="3:3" x14ac:dyDescent="0.2">
      <c r="C954" s="5"/>
    </row>
    <row r="955" spans="3:3" x14ac:dyDescent="0.2">
      <c r="C955" s="5"/>
    </row>
    <row r="956" spans="3:3" x14ac:dyDescent="0.2">
      <c r="C956" s="5"/>
    </row>
    <row r="957" spans="3:3" x14ac:dyDescent="0.2">
      <c r="C957" s="5"/>
    </row>
    <row r="958" spans="3:3" x14ac:dyDescent="0.2">
      <c r="C958" s="5"/>
    </row>
    <row r="959" spans="3:3" x14ac:dyDescent="0.2">
      <c r="C959" s="5"/>
    </row>
    <row r="960" spans="3:3" x14ac:dyDescent="0.2">
      <c r="C960" s="5"/>
    </row>
    <row r="961" spans="3:3" x14ac:dyDescent="0.2">
      <c r="C961" s="5"/>
    </row>
    <row r="962" spans="3:3" x14ac:dyDescent="0.2">
      <c r="C962" s="5"/>
    </row>
    <row r="963" spans="3:3" x14ac:dyDescent="0.2">
      <c r="C963" s="5"/>
    </row>
    <row r="964" spans="3:3" x14ac:dyDescent="0.2">
      <c r="C964" s="5"/>
    </row>
    <row r="965" spans="3:3" x14ac:dyDescent="0.2">
      <c r="C965" s="5"/>
    </row>
    <row r="966" spans="3:3" x14ac:dyDescent="0.2">
      <c r="C966" s="5"/>
    </row>
    <row r="967" spans="3:3" x14ac:dyDescent="0.2">
      <c r="C967" s="5"/>
    </row>
    <row r="968" spans="3:3" x14ac:dyDescent="0.2">
      <c r="C968" s="5"/>
    </row>
    <row r="969" spans="3:3" x14ac:dyDescent="0.2">
      <c r="C969" s="5"/>
    </row>
    <row r="970" spans="3:3" x14ac:dyDescent="0.2">
      <c r="C970" s="5"/>
    </row>
    <row r="971" spans="3:3" x14ac:dyDescent="0.2">
      <c r="C971" s="5"/>
    </row>
    <row r="972" spans="3:3" x14ac:dyDescent="0.2">
      <c r="C972" s="5"/>
    </row>
    <row r="973" spans="3:3" x14ac:dyDescent="0.2">
      <c r="C973" s="5"/>
    </row>
    <row r="974" spans="3:3" x14ac:dyDescent="0.2">
      <c r="C974" s="5"/>
    </row>
    <row r="975" spans="3:3" x14ac:dyDescent="0.2">
      <c r="C975" s="5"/>
    </row>
    <row r="976" spans="3:3" x14ac:dyDescent="0.2">
      <c r="C976" s="5"/>
    </row>
    <row r="977" spans="3:3" x14ac:dyDescent="0.2">
      <c r="C977" s="5"/>
    </row>
    <row r="978" spans="3:3" x14ac:dyDescent="0.2">
      <c r="C978" s="5"/>
    </row>
    <row r="979" spans="3:3" x14ac:dyDescent="0.2">
      <c r="C979" s="5"/>
    </row>
    <row r="980" spans="3:3" x14ac:dyDescent="0.2">
      <c r="C980" s="5"/>
    </row>
    <row r="981" spans="3:3" x14ac:dyDescent="0.2">
      <c r="C981" s="5"/>
    </row>
    <row r="982" spans="3:3" x14ac:dyDescent="0.2">
      <c r="C982" s="5"/>
    </row>
    <row r="983" spans="3:3" x14ac:dyDescent="0.2">
      <c r="C983" s="5"/>
    </row>
    <row r="984" spans="3:3" x14ac:dyDescent="0.2">
      <c r="C984" s="5"/>
    </row>
    <row r="985" spans="3:3" x14ac:dyDescent="0.2">
      <c r="C985" s="5"/>
    </row>
    <row r="986" spans="3:3" x14ac:dyDescent="0.2">
      <c r="C986" s="5"/>
    </row>
    <row r="987" spans="3:3" x14ac:dyDescent="0.2">
      <c r="C987" s="5"/>
    </row>
    <row r="988" spans="3:3" x14ac:dyDescent="0.2">
      <c r="C988" s="5"/>
    </row>
    <row r="989" spans="3:3" x14ac:dyDescent="0.2">
      <c r="C989" s="5"/>
    </row>
    <row r="990" spans="3:3" x14ac:dyDescent="0.2">
      <c r="C990" s="5"/>
    </row>
    <row r="991" spans="3:3" x14ac:dyDescent="0.2">
      <c r="C991" s="5"/>
    </row>
    <row r="992" spans="3:3" x14ac:dyDescent="0.2">
      <c r="C992" s="5"/>
    </row>
    <row r="993" spans="3:3" x14ac:dyDescent="0.2">
      <c r="C993" s="5"/>
    </row>
    <row r="994" spans="3:3" x14ac:dyDescent="0.2">
      <c r="C994" s="5"/>
    </row>
    <row r="995" spans="3:3" x14ac:dyDescent="0.2">
      <c r="C995" s="5"/>
    </row>
    <row r="996" spans="3:3" x14ac:dyDescent="0.2">
      <c r="C996" s="5"/>
    </row>
    <row r="997" spans="3:3" x14ac:dyDescent="0.2">
      <c r="C997" s="5"/>
    </row>
    <row r="998" spans="3:3" x14ac:dyDescent="0.2">
      <c r="C998" s="5"/>
    </row>
    <row r="999" spans="3:3" x14ac:dyDescent="0.2">
      <c r="C999" s="5"/>
    </row>
    <row r="1000" spans="3:3" x14ac:dyDescent="0.2">
      <c r="C1000" s="5"/>
    </row>
    <row r="1001" spans="3:3" x14ac:dyDescent="0.2">
      <c r="C1001" s="5"/>
    </row>
    <row r="1002" spans="3:3" x14ac:dyDescent="0.2">
      <c r="C1002" s="5"/>
    </row>
    <row r="1003" spans="3:3" x14ac:dyDescent="0.2">
      <c r="C1003" s="5"/>
    </row>
    <row r="1004" spans="3:3" x14ac:dyDescent="0.2">
      <c r="C1004" s="5"/>
    </row>
    <row r="1005" spans="3:3" x14ac:dyDescent="0.2">
      <c r="C1005" s="5"/>
    </row>
    <row r="1006" spans="3:3" x14ac:dyDescent="0.2">
      <c r="C1006" s="5"/>
    </row>
    <row r="1007" spans="3:3" x14ac:dyDescent="0.2">
      <c r="C1007" s="5"/>
    </row>
    <row r="1008" spans="3:3" x14ac:dyDescent="0.2">
      <c r="C1008" s="5"/>
    </row>
    <row r="1009" spans="3:3" x14ac:dyDescent="0.2">
      <c r="C1009" s="5"/>
    </row>
    <row r="1010" spans="3:3" x14ac:dyDescent="0.2">
      <c r="C1010" s="5"/>
    </row>
    <row r="1011" spans="3:3" x14ac:dyDescent="0.2">
      <c r="C1011" s="5"/>
    </row>
    <row r="1012" spans="3:3" x14ac:dyDescent="0.2">
      <c r="C1012" s="5"/>
    </row>
    <row r="1013" spans="3:3" x14ac:dyDescent="0.2">
      <c r="C1013" s="5"/>
    </row>
    <row r="1014" spans="3:3" x14ac:dyDescent="0.2">
      <c r="C1014" s="5"/>
    </row>
    <row r="1015" spans="3:3" x14ac:dyDescent="0.2">
      <c r="C1015" s="5"/>
    </row>
    <row r="1016" spans="3:3" x14ac:dyDescent="0.2">
      <c r="C1016" s="5"/>
    </row>
    <row r="1017" spans="3:3" x14ac:dyDescent="0.2">
      <c r="C1017" s="5"/>
    </row>
    <row r="1018" spans="3:3" x14ac:dyDescent="0.2">
      <c r="C1018" s="5"/>
    </row>
    <row r="1019" spans="3:3" x14ac:dyDescent="0.2">
      <c r="C1019" s="5"/>
    </row>
    <row r="1020" spans="3:3" x14ac:dyDescent="0.2">
      <c r="C1020" s="5"/>
    </row>
    <row r="1021" spans="3:3" x14ac:dyDescent="0.2">
      <c r="C1021" s="5"/>
    </row>
    <row r="1022" spans="3:3" x14ac:dyDescent="0.2">
      <c r="C1022" s="5"/>
    </row>
    <row r="1023" spans="3:3" x14ac:dyDescent="0.2">
      <c r="C1023" s="5"/>
    </row>
    <row r="1024" spans="3:3" x14ac:dyDescent="0.2">
      <c r="C1024" s="5"/>
    </row>
    <row r="1025" spans="3:3" x14ac:dyDescent="0.2">
      <c r="C1025" s="5"/>
    </row>
    <row r="1026" spans="3:3" x14ac:dyDescent="0.2">
      <c r="C1026" s="5"/>
    </row>
    <row r="1027" spans="3:3" x14ac:dyDescent="0.2">
      <c r="C1027" s="5"/>
    </row>
    <row r="1028" spans="3:3" x14ac:dyDescent="0.2">
      <c r="C1028" s="5"/>
    </row>
    <row r="1029" spans="3:3" x14ac:dyDescent="0.2">
      <c r="C1029" s="5"/>
    </row>
    <row r="1030" spans="3:3" x14ac:dyDescent="0.2">
      <c r="C1030" s="5"/>
    </row>
    <row r="1031" spans="3:3" x14ac:dyDescent="0.2">
      <c r="C1031" s="5"/>
    </row>
    <row r="1032" spans="3:3" x14ac:dyDescent="0.2">
      <c r="C1032" s="5"/>
    </row>
    <row r="1033" spans="3:3" x14ac:dyDescent="0.2">
      <c r="C1033" s="5"/>
    </row>
    <row r="1034" spans="3:3" x14ac:dyDescent="0.2">
      <c r="C1034" s="5"/>
    </row>
    <row r="1035" spans="3:3" x14ac:dyDescent="0.2">
      <c r="C1035" s="5"/>
    </row>
    <row r="1036" spans="3:3" x14ac:dyDescent="0.2">
      <c r="C1036" s="5"/>
    </row>
    <row r="1037" spans="3:3" x14ac:dyDescent="0.2">
      <c r="C1037" s="5"/>
    </row>
    <row r="1038" spans="3:3" x14ac:dyDescent="0.2">
      <c r="C1038" s="5"/>
    </row>
    <row r="1039" spans="3:3" x14ac:dyDescent="0.2">
      <c r="C1039" s="5"/>
    </row>
    <row r="1040" spans="3:3" x14ac:dyDescent="0.2">
      <c r="C1040" s="5"/>
    </row>
    <row r="1041" spans="3:3" x14ac:dyDescent="0.2">
      <c r="C1041" s="5"/>
    </row>
    <row r="1042" spans="3:3" x14ac:dyDescent="0.2">
      <c r="C1042" s="5"/>
    </row>
    <row r="1043" spans="3:3" x14ac:dyDescent="0.2">
      <c r="C1043" s="5"/>
    </row>
    <row r="1044" spans="3:3" x14ac:dyDescent="0.2">
      <c r="C1044" s="5"/>
    </row>
    <row r="1045" spans="3:3" x14ac:dyDescent="0.2">
      <c r="C1045" s="5"/>
    </row>
    <row r="1046" spans="3:3" x14ac:dyDescent="0.2">
      <c r="C1046" s="5"/>
    </row>
    <row r="1047" spans="3:3" x14ac:dyDescent="0.2">
      <c r="C1047" s="5"/>
    </row>
    <row r="1048" spans="3:3" x14ac:dyDescent="0.2">
      <c r="C1048" s="5"/>
    </row>
    <row r="1049" spans="3:3" x14ac:dyDescent="0.2">
      <c r="C1049" s="5"/>
    </row>
    <row r="1050" spans="3:3" x14ac:dyDescent="0.2">
      <c r="C1050" s="5"/>
    </row>
    <row r="1051" spans="3:3" x14ac:dyDescent="0.2">
      <c r="C1051" s="5"/>
    </row>
    <row r="1052" spans="3:3" x14ac:dyDescent="0.2">
      <c r="C1052" s="5"/>
    </row>
    <row r="1053" spans="3:3" x14ac:dyDescent="0.2">
      <c r="C1053" s="5"/>
    </row>
    <row r="1054" spans="3:3" x14ac:dyDescent="0.2">
      <c r="C1054" s="5"/>
    </row>
    <row r="1055" spans="3:3" x14ac:dyDescent="0.2">
      <c r="C1055" s="5"/>
    </row>
    <row r="1056" spans="3:3" x14ac:dyDescent="0.2">
      <c r="C1056" s="5"/>
    </row>
    <row r="1057" spans="3:3" x14ac:dyDescent="0.2">
      <c r="C1057" s="5"/>
    </row>
    <row r="1058" spans="3:3" x14ac:dyDescent="0.2">
      <c r="C1058" s="5"/>
    </row>
    <row r="1059" spans="3:3" x14ac:dyDescent="0.2">
      <c r="C1059" s="5"/>
    </row>
    <row r="1060" spans="3:3" x14ac:dyDescent="0.2">
      <c r="C1060" s="5"/>
    </row>
    <row r="1061" spans="3:3" x14ac:dyDescent="0.2">
      <c r="C1061" s="5"/>
    </row>
    <row r="1062" spans="3:3" x14ac:dyDescent="0.2">
      <c r="C1062" s="5"/>
    </row>
    <row r="1063" spans="3:3" x14ac:dyDescent="0.2">
      <c r="C1063" s="5"/>
    </row>
    <row r="1064" spans="3:3" x14ac:dyDescent="0.2">
      <c r="C1064" s="5"/>
    </row>
    <row r="1065" spans="3:3" x14ac:dyDescent="0.2">
      <c r="C1065" s="5"/>
    </row>
    <row r="1066" spans="3:3" x14ac:dyDescent="0.2">
      <c r="C1066" s="5"/>
    </row>
    <row r="1067" spans="3:3" x14ac:dyDescent="0.2">
      <c r="C1067" s="5"/>
    </row>
    <row r="1068" spans="3:3" x14ac:dyDescent="0.2">
      <c r="C1068" s="5"/>
    </row>
    <row r="1069" spans="3:3" x14ac:dyDescent="0.2">
      <c r="C1069" s="5"/>
    </row>
    <row r="1070" spans="3:3" x14ac:dyDescent="0.2">
      <c r="C1070" s="5"/>
    </row>
    <row r="1071" spans="3:3" x14ac:dyDescent="0.2">
      <c r="C1071" s="5"/>
    </row>
    <row r="1072" spans="3:3" x14ac:dyDescent="0.2">
      <c r="C1072" s="5"/>
    </row>
    <row r="1073" spans="3:3" x14ac:dyDescent="0.2">
      <c r="C1073" s="5"/>
    </row>
    <row r="1074" spans="3:3" x14ac:dyDescent="0.2">
      <c r="C1074" s="5"/>
    </row>
    <row r="1075" spans="3:3" x14ac:dyDescent="0.2">
      <c r="C1075" s="5"/>
    </row>
    <row r="1076" spans="3:3" x14ac:dyDescent="0.2">
      <c r="C1076" s="5"/>
    </row>
    <row r="1077" spans="3:3" x14ac:dyDescent="0.2">
      <c r="C1077" s="5"/>
    </row>
    <row r="1078" spans="3:3" x14ac:dyDescent="0.2">
      <c r="C1078" s="5"/>
    </row>
    <row r="1079" spans="3:3" x14ac:dyDescent="0.2">
      <c r="C1079" s="5"/>
    </row>
    <row r="1080" spans="3:3" x14ac:dyDescent="0.2">
      <c r="C1080" s="5"/>
    </row>
    <row r="1081" spans="3:3" x14ac:dyDescent="0.2">
      <c r="C1081" s="5"/>
    </row>
    <row r="1082" spans="3:3" x14ac:dyDescent="0.2">
      <c r="C1082" s="5"/>
    </row>
    <row r="1083" spans="3:3" x14ac:dyDescent="0.2">
      <c r="C1083" s="5"/>
    </row>
    <row r="1084" spans="3:3" x14ac:dyDescent="0.2">
      <c r="C1084" s="5"/>
    </row>
    <row r="1085" spans="3:3" x14ac:dyDescent="0.2">
      <c r="C1085" s="5"/>
    </row>
    <row r="1086" spans="3:3" x14ac:dyDescent="0.2">
      <c r="C1086" s="5"/>
    </row>
    <row r="1087" spans="3:3" x14ac:dyDescent="0.2">
      <c r="C1087" s="5"/>
    </row>
    <row r="1088" spans="3:3" x14ac:dyDescent="0.2">
      <c r="C1088" s="5"/>
    </row>
    <row r="1089" spans="3:3" x14ac:dyDescent="0.2">
      <c r="C1089" s="5"/>
    </row>
    <row r="1090" spans="3:3" x14ac:dyDescent="0.2">
      <c r="C1090" s="5"/>
    </row>
    <row r="1091" spans="3:3" x14ac:dyDescent="0.2">
      <c r="C1091" s="5"/>
    </row>
    <row r="1092" spans="3:3" x14ac:dyDescent="0.2">
      <c r="C1092" s="5"/>
    </row>
    <row r="1093" spans="3:3" x14ac:dyDescent="0.2">
      <c r="C1093" s="5"/>
    </row>
    <row r="1094" spans="3:3" x14ac:dyDescent="0.2">
      <c r="C1094" s="5"/>
    </row>
    <row r="1095" spans="3:3" x14ac:dyDescent="0.2">
      <c r="C1095" s="5"/>
    </row>
    <row r="1096" spans="3:3" x14ac:dyDescent="0.2">
      <c r="C1096" s="5"/>
    </row>
    <row r="1097" spans="3:3" x14ac:dyDescent="0.2">
      <c r="C1097" s="5"/>
    </row>
    <row r="1098" spans="3:3" x14ac:dyDescent="0.2">
      <c r="C1098" s="5"/>
    </row>
    <row r="1099" spans="3:3" x14ac:dyDescent="0.2">
      <c r="C1099" s="5"/>
    </row>
    <row r="1100" spans="3:3" x14ac:dyDescent="0.2">
      <c r="C1100" s="5"/>
    </row>
    <row r="1101" spans="3:3" x14ac:dyDescent="0.2">
      <c r="C1101" s="5"/>
    </row>
    <row r="1102" spans="3:3" x14ac:dyDescent="0.2">
      <c r="C1102" s="5"/>
    </row>
    <row r="1103" spans="3:3" x14ac:dyDescent="0.2">
      <c r="C1103" s="5"/>
    </row>
    <row r="1104" spans="3:3" x14ac:dyDescent="0.2">
      <c r="C1104" s="5"/>
    </row>
    <row r="1105" spans="3:3" x14ac:dyDescent="0.2">
      <c r="C1105" s="5"/>
    </row>
    <row r="1106" spans="3:3" x14ac:dyDescent="0.2">
      <c r="C1106" s="5"/>
    </row>
    <row r="1107" spans="3:3" x14ac:dyDescent="0.2">
      <c r="C1107" s="5"/>
    </row>
    <row r="1108" spans="3:3" x14ac:dyDescent="0.2">
      <c r="C1108" s="5"/>
    </row>
    <row r="1109" spans="3:3" x14ac:dyDescent="0.2">
      <c r="C1109" s="5"/>
    </row>
    <row r="1110" spans="3:3" x14ac:dyDescent="0.2">
      <c r="C1110" s="5"/>
    </row>
    <row r="1111" spans="3:3" x14ac:dyDescent="0.2">
      <c r="C1111" s="5"/>
    </row>
    <row r="1112" spans="3:3" x14ac:dyDescent="0.2">
      <c r="C1112" s="5"/>
    </row>
    <row r="1113" spans="3:3" x14ac:dyDescent="0.2">
      <c r="C1113" s="5"/>
    </row>
    <row r="1114" spans="3:3" x14ac:dyDescent="0.2">
      <c r="C1114" s="5"/>
    </row>
    <row r="1115" spans="3:3" x14ac:dyDescent="0.2">
      <c r="C1115" s="5"/>
    </row>
    <row r="1116" spans="3:3" x14ac:dyDescent="0.2">
      <c r="C1116" s="5"/>
    </row>
    <row r="1117" spans="3:3" x14ac:dyDescent="0.2">
      <c r="C1117" s="5"/>
    </row>
    <row r="1118" spans="3:3" x14ac:dyDescent="0.2">
      <c r="C1118" s="5"/>
    </row>
    <row r="1119" spans="3:3" x14ac:dyDescent="0.2">
      <c r="C1119" s="5"/>
    </row>
    <row r="1120" spans="3:3" x14ac:dyDescent="0.2">
      <c r="C1120" s="5"/>
    </row>
    <row r="1121" spans="3:3" x14ac:dyDescent="0.2">
      <c r="C1121" s="5"/>
    </row>
    <row r="1122" spans="3:3" x14ac:dyDescent="0.2">
      <c r="C1122" s="5"/>
    </row>
    <row r="1123" spans="3:3" x14ac:dyDescent="0.2">
      <c r="C1123" s="5"/>
    </row>
    <row r="1124" spans="3:3" x14ac:dyDescent="0.2">
      <c r="C1124" s="5"/>
    </row>
    <row r="1125" spans="3:3" x14ac:dyDescent="0.2">
      <c r="C1125" s="5"/>
    </row>
    <row r="1126" spans="3:3" x14ac:dyDescent="0.2">
      <c r="C1126" s="5"/>
    </row>
    <row r="1127" spans="3:3" x14ac:dyDescent="0.2">
      <c r="C1127" s="5"/>
    </row>
    <row r="1128" spans="3:3" x14ac:dyDescent="0.2">
      <c r="C1128" s="5"/>
    </row>
    <row r="1129" spans="3:3" x14ac:dyDescent="0.2">
      <c r="C1129" s="5"/>
    </row>
    <row r="1130" spans="3:3" x14ac:dyDescent="0.2">
      <c r="C1130" s="5"/>
    </row>
    <row r="1131" spans="3:3" x14ac:dyDescent="0.2">
      <c r="C1131" s="5"/>
    </row>
    <row r="1132" spans="3:3" x14ac:dyDescent="0.2">
      <c r="C1132" s="5"/>
    </row>
    <row r="1133" spans="3:3" x14ac:dyDescent="0.2">
      <c r="C1133" s="5"/>
    </row>
    <row r="1134" spans="3:3" x14ac:dyDescent="0.2">
      <c r="C1134" s="5"/>
    </row>
    <row r="1135" spans="3:3" x14ac:dyDescent="0.2">
      <c r="C1135" s="5"/>
    </row>
    <row r="1136" spans="3:3" x14ac:dyDescent="0.2">
      <c r="C1136" s="5"/>
    </row>
    <row r="1137" spans="3:3" x14ac:dyDescent="0.2">
      <c r="C1137" s="5"/>
    </row>
    <row r="1138" spans="3:3" x14ac:dyDescent="0.2">
      <c r="C1138" s="5"/>
    </row>
    <row r="1139" spans="3:3" x14ac:dyDescent="0.2">
      <c r="C1139" s="5"/>
    </row>
    <row r="1140" spans="3:3" x14ac:dyDescent="0.2">
      <c r="C1140" s="5"/>
    </row>
    <row r="1141" spans="3:3" x14ac:dyDescent="0.2">
      <c r="C1141" s="5"/>
    </row>
    <row r="1142" spans="3:3" x14ac:dyDescent="0.2">
      <c r="C1142" s="5"/>
    </row>
    <row r="1143" spans="3:3" x14ac:dyDescent="0.2">
      <c r="C1143" s="5"/>
    </row>
    <row r="1144" spans="3:3" x14ac:dyDescent="0.2">
      <c r="C1144" s="5"/>
    </row>
    <row r="1145" spans="3:3" x14ac:dyDescent="0.2">
      <c r="C1145" s="5"/>
    </row>
    <row r="1146" spans="3:3" x14ac:dyDescent="0.2">
      <c r="C1146" s="5"/>
    </row>
    <row r="1147" spans="3:3" x14ac:dyDescent="0.2">
      <c r="C1147" s="5"/>
    </row>
    <row r="1148" spans="3:3" x14ac:dyDescent="0.2">
      <c r="C1148" s="5"/>
    </row>
    <row r="1149" spans="3:3" x14ac:dyDescent="0.2">
      <c r="C1149" s="5"/>
    </row>
    <row r="1150" spans="3:3" x14ac:dyDescent="0.2">
      <c r="C1150" s="5"/>
    </row>
    <row r="1151" spans="3:3" x14ac:dyDescent="0.2">
      <c r="C1151" s="5"/>
    </row>
    <row r="1152" spans="3:3" x14ac:dyDescent="0.2">
      <c r="C1152" s="5"/>
    </row>
    <row r="1153" spans="3:3" x14ac:dyDescent="0.2">
      <c r="C1153" s="5"/>
    </row>
    <row r="1154" spans="3:3" x14ac:dyDescent="0.2">
      <c r="C1154" s="5"/>
    </row>
    <row r="1155" spans="3:3" x14ac:dyDescent="0.2">
      <c r="C1155" s="5"/>
    </row>
    <row r="1156" spans="3:3" x14ac:dyDescent="0.2">
      <c r="C1156" s="5"/>
    </row>
    <row r="1157" spans="3:3" x14ac:dyDescent="0.2">
      <c r="C1157" s="5"/>
    </row>
    <row r="1158" spans="3:3" x14ac:dyDescent="0.2">
      <c r="C1158" s="5"/>
    </row>
    <row r="1159" spans="3:3" x14ac:dyDescent="0.2">
      <c r="C1159" s="5"/>
    </row>
    <row r="1160" spans="3:3" x14ac:dyDescent="0.2">
      <c r="C1160" s="5"/>
    </row>
    <row r="1161" spans="3:3" x14ac:dyDescent="0.2">
      <c r="C1161" s="5"/>
    </row>
    <row r="1162" spans="3:3" x14ac:dyDescent="0.2">
      <c r="C1162" s="5"/>
    </row>
    <row r="1163" spans="3:3" x14ac:dyDescent="0.2">
      <c r="C1163" s="5"/>
    </row>
    <row r="1164" spans="3:3" x14ac:dyDescent="0.2">
      <c r="C1164" s="5"/>
    </row>
    <row r="1165" spans="3:3" x14ac:dyDescent="0.2">
      <c r="C1165" s="5"/>
    </row>
    <row r="1166" spans="3:3" x14ac:dyDescent="0.2">
      <c r="C1166" s="5"/>
    </row>
    <row r="1167" spans="3:3" x14ac:dyDescent="0.2">
      <c r="C1167" s="5"/>
    </row>
    <row r="1168" spans="3:3" x14ac:dyDescent="0.2">
      <c r="C1168" s="5"/>
    </row>
    <row r="1169" spans="3:3" x14ac:dyDescent="0.2">
      <c r="C1169" s="5"/>
    </row>
    <row r="1170" spans="3:3" x14ac:dyDescent="0.2">
      <c r="C1170" s="5"/>
    </row>
    <row r="1171" spans="3:3" x14ac:dyDescent="0.2">
      <c r="C1171" s="5"/>
    </row>
    <row r="1172" spans="3:3" x14ac:dyDescent="0.2">
      <c r="C1172" s="5"/>
    </row>
    <row r="1173" spans="3:3" x14ac:dyDescent="0.2">
      <c r="C1173" s="5"/>
    </row>
    <row r="1174" spans="3:3" x14ac:dyDescent="0.2">
      <c r="C1174" s="5"/>
    </row>
    <row r="1175" spans="3:3" x14ac:dyDescent="0.2">
      <c r="C1175" s="5"/>
    </row>
    <row r="1176" spans="3:3" x14ac:dyDescent="0.2">
      <c r="C1176" s="5"/>
    </row>
    <row r="1177" spans="3:3" x14ac:dyDescent="0.2">
      <c r="C1177" s="5"/>
    </row>
    <row r="1178" spans="3:3" x14ac:dyDescent="0.2">
      <c r="C1178" s="5"/>
    </row>
    <row r="1179" spans="3:3" x14ac:dyDescent="0.2">
      <c r="C1179" s="5"/>
    </row>
    <row r="1180" spans="3:3" x14ac:dyDescent="0.2">
      <c r="C1180" s="5"/>
    </row>
    <row r="1181" spans="3:3" x14ac:dyDescent="0.2">
      <c r="C1181" s="5"/>
    </row>
    <row r="1182" spans="3:3" x14ac:dyDescent="0.2">
      <c r="C1182" s="5"/>
    </row>
    <row r="1183" spans="3:3" x14ac:dyDescent="0.2">
      <c r="C1183" s="5"/>
    </row>
    <row r="1184" spans="3:3" x14ac:dyDescent="0.2">
      <c r="C1184" s="5"/>
    </row>
    <row r="1185" spans="3:3" x14ac:dyDescent="0.2">
      <c r="C1185" s="5"/>
    </row>
    <row r="1186" spans="3:3" x14ac:dyDescent="0.2">
      <c r="C1186" s="5"/>
    </row>
    <row r="1187" spans="3:3" x14ac:dyDescent="0.2">
      <c r="C1187" s="5"/>
    </row>
    <row r="1188" spans="3:3" x14ac:dyDescent="0.2">
      <c r="C1188" s="5"/>
    </row>
    <row r="1189" spans="3:3" x14ac:dyDescent="0.2">
      <c r="C1189" s="5"/>
    </row>
    <row r="1190" spans="3:3" x14ac:dyDescent="0.2">
      <c r="C1190" s="5"/>
    </row>
    <row r="1191" spans="3:3" x14ac:dyDescent="0.2">
      <c r="C1191" s="5"/>
    </row>
    <row r="1192" spans="3:3" x14ac:dyDescent="0.2">
      <c r="C1192" s="5"/>
    </row>
    <row r="1193" spans="3:3" x14ac:dyDescent="0.2">
      <c r="C1193" s="5"/>
    </row>
    <row r="1194" spans="3:3" x14ac:dyDescent="0.2">
      <c r="C1194" s="5"/>
    </row>
    <row r="1195" spans="3:3" x14ac:dyDescent="0.2">
      <c r="C1195" s="5"/>
    </row>
    <row r="1196" spans="3:3" x14ac:dyDescent="0.2">
      <c r="C1196" s="5"/>
    </row>
    <row r="1197" spans="3:3" x14ac:dyDescent="0.2">
      <c r="C1197" s="5"/>
    </row>
    <row r="1198" spans="3:3" x14ac:dyDescent="0.2">
      <c r="C1198" s="5"/>
    </row>
    <row r="1199" spans="3:3" x14ac:dyDescent="0.2">
      <c r="C1199" s="5"/>
    </row>
    <row r="1200" spans="3:3" x14ac:dyDescent="0.2">
      <c r="C1200" s="5"/>
    </row>
    <row r="1201" spans="3:3" x14ac:dyDescent="0.2">
      <c r="C1201" s="5"/>
    </row>
    <row r="1202" spans="3:3" x14ac:dyDescent="0.2">
      <c r="C1202" s="5"/>
    </row>
    <row r="1203" spans="3:3" x14ac:dyDescent="0.2">
      <c r="C1203" s="5"/>
    </row>
    <row r="1204" spans="3:3" x14ac:dyDescent="0.2">
      <c r="C1204" s="5"/>
    </row>
    <row r="1205" spans="3:3" x14ac:dyDescent="0.2">
      <c r="C1205" s="5"/>
    </row>
    <row r="1206" spans="3:3" x14ac:dyDescent="0.2">
      <c r="C1206" s="5"/>
    </row>
    <row r="1207" spans="3:3" x14ac:dyDescent="0.2">
      <c r="C1207" s="5"/>
    </row>
    <row r="1208" spans="3:3" x14ac:dyDescent="0.2">
      <c r="C1208" s="5"/>
    </row>
    <row r="1209" spans="3:3" x14ac:dyDescent="0.2">
      <c r="C1209" s="5"/>
    </row>
    <row r="1210" spans="3:3" x14ac:dyDescent="0.2">
      <c r="C1210" s="5"/>
    </row>
    <row r="1211" spans="3:3" x14ac:dyDescent="0.2">
      <c r="C1211" s="5"/>
    </row>
    <row r="1212" spans="3:3" x14ac:dyDescent="0.2">
      <c r="C1212" s="5"/>
    </row>
    <row r="1213" spans="3:3" x14ac:dyDescent="0.2">
      <c r="C1213" s="5"/>
    </row>
    <row r="1214" spans="3:3" x14ac:dyDescent="0.2">
      <c r="C1214" s="5"/>
    </row>
    <row r="1215" spans="3:3" x14ac:dyDescent="0.2">
      <c r="C1215" s="5"/>
    </row>
    <row r="1216" spans="3:3" x14ac:dyDescent="0.2">
      <c r="C1216" s="5"/>
    </row>
    <row r="1217" spans="3:3" x14ac:dyDescent="0.2">
      <c r="C1217" s="5"/>
    </row>
    <row r="1218" spans="3:3" x14ac:dyDescent="0.2">
      <c r="C1218" s="5"/>
    </row>
    <row r="1219" spans="3:3" x14ac:dyDescent="0.2">
      <c r="C1219" s="5"/>
    </row>
    <row r="1220" spans="3:3" x14ac:dyDescent="0.2">
      <c r="C1220" s="5"/>
    </row>
    <row r="1221" spans="3:3" x14ac:dyDescent="0.2">
      <c r="C1221" s="5"/>
    </row>
    <row r="1222" spans="3:3" x14ac:dyDescent="0.2">
      <c r="C1222" s="5"/>
    </row>
    <row r="1223" spans="3:3" x14ac:dyDescent="0.2">
      <c r="C1223" s="5"/>
    </row>
    <row r="1224" spans="3:3" x14ac:dyDescent="0.2">
      <c r="C1224" s="5"/>
    </row>
    <row r="1225" spans="3:3" x14ac:dyDescent="0.2">
      <c r="C1225" s="5"/>
    </row>
    <row r="1226" spans="3:3" x14ac:dyDescent="0.2">
      <c r="C1226" s="5"/>
    </row>
    <row r="1227" spans="3:3" x14ac:dyDescent="0.2">
      <c r="C1227" s="5"/>
    </row>
    <row r="1228" spans="3:3" x14ac:dyDescent="0.2">
      <c r="C1228" s="5"/>
    </row>
    <row r="1229" spans="3:3" x14ac:dyDescent="0.2">
      <c r="C1229" s="5"/>
    </row>
    <row r="1230" spans="3:3" x14ac:dyDescent="0.2">
      <c r="C1230" s="5"/>
    </row>
    <row r="1231" spans="3:3" x14ac:dyDescent="0.2">
      <c r="C1231" s="5"/>
    </row>
    <row r="1232" spans="3:3" x14ac:dyDescent="0.2">
      <c r="C1232" s="5"/>
    </row>
    <row r="1233" spans="3:3" x14ac:dyDescent="0.2">
      <c r="C1233" s="5"/>
    </row>
    <row r="1234" spans="3:3" x14ac:dyDescent="0.2">
      <c r="C1234" s="5"/>
    </row>
    <row r="1235" spans="3:3" x14ac:dyDescent="0.2">
      <c r="C1235" s="5"/>
    </row>
    <row r="1236" spans="3:3" x14ac:dyDescent="0.2">
      <c r="C1236" s="5"/>
    </row>
    <row r="1237" spans="3:3" x14ac:dyDescent="0.2">
      <c r="C1237" s="5"/>
    </row>
    <row r="1238" spans="3:3" x14ac:dyDescent="0.2">
      <c r="C1238" s="5"/>
    </row>
    <row r="1239" spans="3:3" x14ac:dyDescent="0.2">
      <c r="C1239" s="5"/>
    </row>
    <row r="1240" spans="3:3" x14ac:dyDescent="0.2">
      <c r="C1240" s="5"/>
    </row>
    <row r="1241" spans="3:3" x14ac:dyDescent="0.2">
      <c r="C1241" s="5"/>
    </row>
    <row r="1242" spans="3:3" x14ac:dyDescent="0.2">
      <c r="C1242" s="5"/>
    </row>
    <row r="1243" spans="3:3" x14ac:dyDescent="0.2">
      <c r="C1243" s="5"/>
    </row>
    <row r="1244" spans="3:3" x14ac:dyDescent="0.2">
      <c r="C1244" s="5"/>
    </row>
    <row r="1245" spans="3:3" x14ac:dyDescent="0.2">
      <c r="C1245" s="5"/>
    </row>
    <row r="1246" spans="3:3" x14ac:dyDescent="0.2">
      <c r="C1246" s="5"/>
    </row>
    <row r="1247" spans="3:3" x14ac:dyDescent="0.2">
      <c r="C1247" s="5"/>
    </row>
    <row r="1248" spans="3:3" x14ac:dyDescent="0.2">
      <c r="C1248" s="5"/>
    </row>
    <row r="1249" spans="3:3" x14ac:dyDescent="0.2">
      <c r="C1249" s="5"/>
    </row>
    <row r="1250" spans="3:3" x14ac:dyDescent="0.2">
      <c r="C1250" s="5"/>
    </row>
    <row r="1251" spans="3:3" x14ac:dyDescent="0.2">
      <c r="C1251" s="5"/>
    </row>
    <row r="1252" spans="3:3" x14ac:dyDescent="0.2">
      <c r="C1252" s="5"/>
    </row>
    <row r="1253" spans="3:3" x14ac:dyDescent="0.2">
      <c r="C1253" s="5"/>
    </row>
    <row r="1254" spans="3:3" x14ac:dyDescent="0.2">
      <c r="C1254" s="5"/>
    </row>
    <row r="1255" spans="3:3" x14ac:dyDescent="0.2">
      <c r="C1255" s="5"/>
    </row>
    <row r="1256" spans="3:3" x14ac:dyDescent="0.2">
      <c r="C1256" s="5"/>
    </row>
    <row r="1257" spans="3:3" x14ac:dyDescent="0.2">
      <c r="C1257" s="5"/>
    </row>
    <row r="1258" spans="3:3" x14ac:dyDescent="0.2">
      <c r="C1258" s="5"/>
    </row>
    <row r="1259" spans="3:3" x14ac:dyDescent="0.2">
      <c r="C1259" s="5"/>
    </row>
    <row r="1260" spans="3:3" x14ac:dyDescent="0.2">
      <c r="C1260" s="5"/>
    </row>
    <row r="1261" spans="3:3" x14ac:dyDescent="0.2">
      <c r="C1261" s="5"/>
    </row>
    <row r="1262" spans="3:3" x14ac:dyDescent="0.2">
      <c r="C1262" s="5"/>
    </row>
    <row r="1263" spans="3:3" x14ac:dyDescent="0.2">
      <c r="C1263" s="5"/>
    </row>
    <row r="1264" spans="3:3" x14ac:dyDescent="0.2">
      <c r="C1264" s="5"/>
    </row>
    <row r="1265" spans="3:3" x14ac:dyDescent="0.2">
      <c r="C1265" s="5"/>
    </row>
    <row r="1266" spans="3:3" x14ac:dyDescent="0.2">
      <c r="C1266" s="5"/>
    </row>
    <row r="1267" spans="3:3" x14ac:dyDescent="0.2">
      <c r="C1267" s="5"/>
    </row>
    <row r="1268" spans="3:3" x14ac:dyDescent="0.2">
      <c r="C1268" s="5"/>
    </row>
    <row r="1269" spans="3:3" x14ac:dyDescent="0.2">
      <c r="C1269" s="5"/>
    </row>
    <row r="1270" spans="3:3" x14ac:dyDescent="0.2">
      <c r="C1270" s="5"/>
    </row>
    <row r="1271" spans="3:3" x14ac:dyDescent="0.2">
      <c r="C1271" s="5"/>
    </row>
    <row r="1272" spans="3:3" x14ac:dyDescent="0.2">
      <c r="C1272" s="5"/>
    </row>
    <row r="1273" spans="3:3" x14ac:dyDescent="0.2">
      <c r="C1273" s="5"/>
    </row>
    <row r="1274" spans="3:3" x14ac:dyDescent="0.2">
      <c r="C1274" s="5"/>
    </row>
    <row r="1275" spans="3:3" x14ac:dyDescent="0.2">
      <c r="C1275" s="5"/>
    </row>
    <row r="1276" spans="3:3" x14ac:dyDescent="0.2">
      <c r="C1276" s="5"/>
    </row>
    <row r="1277" spans="3:3" x14ac:dyDescent="0.2">
      <c r="C1277" s="5"/>
    </row>
    <row r="1278" spans="3:3" x14ac:dyDescent="0.2">
      <c r="C1278" s="5"/>
    </row>
    <row r="1279" spans="3:3" x14ac:dyDescent="0.2">
      <c r="C1279" s="5"/>
    </row>
    <row r="1280" spans="3:3" x14ac:dyDescent="0.2">
      <c r="C1280" s="5"/>
    </row>
    <row r="1281" spans="3:3" x14ac:dyDescent="0.2">
      <c r="C1281" s="5"/>
    </row>
    <row r="1282" spans="3:3" x14ac:dyDescent="0.2">
      <c r="C1282" s="5"/>
    </row>
    <row r="1283" spans="3:3" x14ac:dyDescent="0.2">
      <c r="C1283" s="5"/>
    </row>
    <row r="1284" spans="3:3" x14ac:dyDescent="0.2">
      <c r="C1284" s="5"/>
    </row>
    <row r="1285" spans="3:3" x14ac:dyDescent="0.2">
      <c r="C1285" s="5"/>
    </row>
    <row r="1286" spans="3:3" x14ac:dyDescent="0.2">
      <c r="C1286" s="5"/>
    </row>
    <row r="1287" spans="3:3" x14ac:dyDescent="0.2">
      <c r="C1287" s="5"/>
    </row>
    <row r="1288" spans="3:3" x14ac:dyDescent="0.2">
      <c r="C1288" s="5"/>
    </row>
    <row r="1289" spans="3:3" x14ac:dyDescent="0.2">
      <c r="C1289" s="5"/>
    </row>
    <row r="1290" spans="3:3" x14ac:dyDescent="0.2">
      <c r="C1290" s="5"/>
    </row>
    <row r="1291" spans="3:3" x14ac:dyDescent="0.2">
      <c r="C1291" s="5"/>
    </row>
    <row r="1292" spans="3:3" x14ac:dyDescent="0.2">
      <c r="C1292" s="5"/>
    </row>
    <row r="1293" spans="3:3" x14ac:dyDescent="0.2">
      <c r="C1293" s="5"/>
    </row>
    <row r="1294" spans="3:3" x14ac:dyDescent="0.2">
      <c r="C1294" s="5"/>
    </row>
    <row r="1295" spans="3:3" x14ac:dyDescent="0.2">
      <c r="C1295" s="5"/>
    </row>
    <row r="1296" spans="3:3" x14ac:dyDescent="0.2">
      <c r="C1296" s="5"/>
    </row>
    <row r="1297" spans="3:3" x14ac:dyDescent="0.2">
      <c r="C1297" s="5"/>
    </row>
    <row r="1298" spans="3:3" x14ac:dyDescent="0.2">
      <c r="C1298" s="5"/>
    </row>
    <row r="1299" spans="3:3" x14ac:dyDescent="0.2">
      <c r="C1299" s="5"/>
    </row>
    <row r="1300" spans="3:3" x14ac:dyDescent="0.2">
      <c r="C1300" s="5"/>
    </row>
    <row r="1301" spans="3:3" x14ac:dyDescent="0.2">
      <c r="C1301" s="5"/>
    </row>
    <row r="1302" spans="3:3" x14ac:dyDescent="0.2">
      <c r="C1302" s="5"/>
    </row>
    <row r="1303" spans="3:3" x14ac:dyDescent="0.2">
      <c r="C1303" s="5"/>
    </row>
    <row r="1304" spans="3:3" x14ac:dyDescent="0.2">
      <c r="C1304" s="5"/>
    </row>
    <row r="1305" spans="3:3" x14ac:dyDescent="0.2">
      <c r="C1305" s="5"/>
    </row>
    <row r="1306" spans="3:3" x14ac:dyDescent="0.2">
      <c r="C1306" s="5"/>
    </row>
    <row r="1307" spans="3:3" x14ac:dyDescent="0.2">
      <c r="C1307" s="5"/>
    </row>
    <row r="1308" spans="3:3" x14ac:dyDescent="0.2">
      <c r="C1308" s="5"/>
    </row>
    <row r="1309" spans="3:3" x14ac:dyDescent="0.2">
      <c r="C1309" s="5"/>
    </row>
    <row r="1310" spans="3:3" x14ac:dyDescent="0.2">
      <c r="C1310" s="5"/>
    </row>
    <row r="1311" spans="3:3" x14ac:dyDescent="0.2">
      <c r="C1311" s="5"/>
    </row>
    <row r="1312" spans="3:3" x14ac:dyDescent="0.2">
      <c r="C1312" s="5"/>
    </row>
    <row r="1313" spans="3:3" x14ac:dyDescent="0.2">
      <c r="C1313" s="5"/>
    </row>
    <row r="1314" spans="3:3" x14ac:dyDescent="0.2">
      <c r="C1314" s="5"/>
    </row>
    <row r="1315" spans="3:3" x14ac:dyDescent="0.2">
      <c r="C1315" s="5"/>
    </row>
    <row r="1316" spans="3:3" x14ac:dyDescent="0.2">
      <c r="C1316" s="5"/>
    </row>
    <row r="1317" spans="3:3" x14ac:dyDescent="0.2">
      <c r="C1317" s="5"/>
    </row>
    <row r="1318" spans="3:3" x14ac:dyDescent="0.2">
      <c r="C1318" s="5"/>
    </row>
    <row r="1319" spans="3:3" x14ac:dyDescent="0.2">
      <c r="C1319" s="5"/>
    </row>
    <row r="1320" spans="3:3" x14ac:dyDescent="0.2">
      <c r="C1320" s="5"/>
    </row>
    <row r="1321" spans="3:3" x14ac:dyDescent="0.2">
      <c r="C1321" s="5"/>
    </row>
    <row r="1322" spans="3:3" x14ac:dyDescent="0.2">
      <c r="C1322" s="5"/>
    </row>
    <row r="1323" spans="3:3" x14ac:dyDescent="0.2">
      <c r="C1323" s="5"/>
    </row>
    <row r="1324" spans="3:3" x14ac:dyDescent="0.2">
      <c r="C1324" s="5"/>
    </row>
    <row r="1325" spans="3:3" x14ac:dyDescent="0.2">
      <c r="C1325" s="5"/>
    </row>
    <row r="1326" spans="3:3" x14ac:dyDescent="0.2">
      <c r="C1326" s="5"/>
    </row>
    <row r="1327" spans="3:3" x14ac:dyDescent="0.2">
      <c r="C1327" s="5"/>
    </row>
    <row r="1328" spans="3:3" x14ac:dyDescent="0.2">
      <c r="C1328" s="5"/>
    </row>
    <row r="1329" spans="3:3" x14ac:dyDescent="0.2">
      <c r="C1329" s="5"/>
    </row>
    <row r="1330" spans="3:3" x14ac:dyDescent="0.2">
      <c r="C1330" s="5"/>
    </row>
    <row r="1331" spans="3:3" x14ac:dyDescent="0.2">
      <c r="C1331" s="5"/>
    </row>
    <row r="1332" spans="3:3" x14ac:dyDescent="0.2">
      <c r="C1332" s="5"/>
    </row>
    <row r="1333" spans="3:3" x14ac:dyDescent="0.2">
      <c r="C1333" s="5"/>
    </row>
    <row r="1334" spans="3:3" x14ac:dyDescent="0.2">
      <c r="C1334" s="5"/>
    </row>
    <row r="1335" spans="3:3" x14ac:dyDescent="0.2">
      <c r="C1335" s="5"/>
    </row>
    <row r="1336" spans="3:3" x14ac:dyDescent="0.2">
      <c r="C1336" s="5"/>
    </row>
    <row r="1337" spans="3:3" x14ac:dyDescent="0.2">
      <c r="C1337" s="5"/>
    </row>
    <row r="1338" spans="3:3" x14ac:dyDescent="0.2">
      <c r="C1338" s="5"/>
    </row>
    <row r="1339" spans="3:3" x14ac:dyDescent="0.2">
      <c r="C1339" s="5"/>
    </row>
    <row r="1340" spans="3:3" x14ac:dyDescent="0.2">
      <c r="C1340" s="5"/>
    </row>
    <row r="1341" spans="3:3" x14ac:dyDescent="0.2">
      <c r="C1341" s="5"/>
    </row>
    <row r="1342" spans="3:3" x14ac:dyDescent="0.2">
      <c r="C1342" s="5"/>
    </row>
    <row r="1343" spans="3:3" x14ac:dyDescent="0.2">
      <c r="C1343" s="5"/>
    </row>
    <row r="1344" spans="3:3" x14ac:dyDescent="0.2">
      <c r="C1344" s="5"/>
    </row>
    <row r="1345" spans="3:3" x14ac:dyDescent="0.2">
      <c r="C1345" s="5"/>
    </row>
    <row r="1346" spans="3:3" x14ac:dyDescent="0.2">
      <c r="C1346" s="5"/>
    </row>
    <row r="1347" spans="3:3" x14ac:dyDescent="0.2">
      <c r="C1347" s="5"/>
    </row>
    <row r="1348" spans="3:3" x14ac:dyDescent="0.2">
      <c r="C1348" s="5"/>
    </row>
    <row r="1349" spans="3:3" x14ac:dyDescent="0.2">
      <c r="C1349" s="5"/>
    </row>
    <row r="1350" spans="3:3" x14ac:dyDescent="0.2">
      <c r="C1350" s="5"/>
    </row>
    <row r="1351" spans="3:3" x14ac:dyDescent="0.2">
      <c r="C1351" s="5"/>
    </row>
    <row r="1352" spans="3:3" x14ac:dyDescent="0.2">
      <c r="C1352" s="5"/>
    </row>
    <row r="1353" spans="3:3" x14ac:dyDescent="0.2">
      <c r="C1353" s="5"/>
    </row>
    <row r="1354" spans="3:3" x14ac:dyDescent="0.2">
      <c r="C1354" s="5"/>
    </row>
    <row r="1355" spans="3:3" x14ac:dyDescent="0.2">
      <c r="C1355" s="5"/>
    </row>
    <row r="1356" spans="3:3" x14ac:dyDescent="0.2">
      <c r="C1356" s="5"/>
    </row>
    <row r="1357" spans="3:3" x14ac:dyDescent="0.2">
      <c r="C1357" s="5"/>
    </row>
    <row r="1358" spans="3:3" x14ac:dyDescent="0.2">
      <c r="C1358" s="5"/>
    </row>
    <row r="1359" spans="3:3" x14ac:dyDescent="0.2">
      <c r="C1359" s="5"/>
    </row>
    <row r="1360" spans="3:3" x14ac:dyDescent="0.2">
      <c r="C1360" s="5"/>
    </row>
    <row r="1361" spans="3:3" x14ac:dyDescent="0.2">
      <c r="C1361" s="5"/>
    </row>
    <row r="1362" spans="3:3" x14ac:dyDescent="0.2">
      <c r="C1362" s="5"/>
    </row>
    <row r="1363" spans="3:3" x14ac:dyDescent="0.2">
      <c r="C1363" s="5"/>
    </row>
    <row r="1364" spans="3:3" x14ac:dyDescent="0.2">
      <c r="C1364" s="5"/>
    </row>
    <row r="1365" spans="3:3" x14ac:dyDescent="0.2">
      <c r="C1365" s="5"/>
    </row>
    <row r="1366" spans="3:3" x14ac:dyDescent="0.2">
      <c r="C1366" s="5"/>
    </row>
    <row r="1367" spans="3:3" x14ac:dyDescent="0.2">
      <c r="C1367" s="5"/>
    </row>
    <row r="1368" spans="3:3" x14ac:dyDescent="0.2">
      <c r="C1368" s="5"/>
    </row>
    <row r="1369" spans="3:3" x14ac:dyDescent="0.2">
      <c r="C1369" s="5"/>
    </row>
    <row r="1370" spans="3:3" x14ac:dyDescent="0.2">
      <c r="C1370" s="5"/>
    </row>
    <row r="1371" spans="3:3" x14ac:dyDescent="0.2">
      <c r="C1371" s="5"/>
    </row>
    <row r="1372" spans="3:3" x14ac:dyDescent="0.2">
      <c r="C1372" s="5"/>
    </row>
    <row r="1373" spans="3:3" x14ac:dyDescent="0.2">
      <c r="C1373" s="5"/>
    </row>
    <row r="1374" spans="3:3" x14ac:dyDescent="0.2">
      <c r="C1374" s="5"/>
    </row>
    <row r="1375" spans="3:3" x14ac:dyDescent="0.2">
      <c r="C1375" s="5"/>
    </row>
    <row r="1376" spans="3:3" x14ac:dyDescent="0.2">
      <c r="C1376" s="5"/>
    </row>
    <row r="1377" spans="3:3" x14ac:dyDescent="0.2">
      <c r="C1377" s="5"/>
    </row>
    <row r="1378" spans="3:3" x14ac:dyDescent="0.2">
      <c r="C1378" s="5"/>
    </row>
    <row r="1379" spans="3:3" x14ac:dyDescent="0.2">
      <c r="C1379" s="5"/>
    </row>
    <row r="1380" spans="3:3" x14ac:dyDescent="0.2">
      <c r="C1380" s="5"/>
    </row>
    <row r="1381" spans="3:3" x14ac:dyDescent="0.2">
      <c r="C1381" s="5"/>
    </row>
    <row r="1382" spans="3:3" x14ac:dyDescent="0.2">
      <c r="C1382" s="5"/>
    </row>
    <row r="1383" spans="3:3" x14ac:dyDescent="0.2">
      <c r="C1383" s="5"/>
    </row>
    <row r="1384" spans="3:3" x14ac:dyDescent="0.2">
      <c r="C1384" s="5"/>
    </row>
    <row r="1385" spans="3:3" x14ac:dyDescent="0.2">
      <c r="C1385" s="5"/>
    </row>
    <row r="1386" spans="3:3" x14ac:dyDescent="0.2">
      <c r="C1386" s="5"/>
    </row>
    <row r="1387" spans="3:3" x14ac:dyDescent="0.2">
      <c r="C1387" s="5"/>
    </row>
    <row r="1388" spans="3:3" x14ac:dyDescent="0.2">
      <c r="C1388" s="5"/>
    </row>
    <row r="1389" spans="3:3" x14ac:dyDescent="0.2">
      <c r="C1389" s="5"/>
    </row>
    <row r="1390" spans="3:3" x14ac:dyDescent="0.2">
      <c r="C1390" s="5"/>
    </row>
    <row r="1391" spans="3:3" x14ac:dyDescent="0.2">
      <c r="C1391" s="5"/>
    </row>
    <row r="1392" spans="3:3" x14ac:dyDescent="0.2">
      <c r="C1392" s="5"/>
    </row>
    <row r="1393" spans="3:3" x14ac:dyDescent="0.2">
      <c r="C1393" s="5"/>
    </row>
    <row r="1394" spans="3:3" x14ac:dyDescent="0.2">
      <c r="C1394" s="5"/>
    </row>
    <row r="1395" spans="3:3" x14ac:dyDescent="0.2">
      <c r="C1395" s="5"/>
    </row>
    <row r="1396" spans="3:3" x14ac:dyDescent="0.2">
      <c r="C1396" s="5"/>
    </row>
    <row r="1397" spans="3:3" x14ac:dyDescent="0.2">
      <c r="C1397" s="5"/>
    </row>
    <row r="1398" spans="3:3" x14ac:dyDescent="0.2">
      <c r="C1398" s="5"/>
    </row>
    <row r="1399" spans="3:3" x14ac:dyDescent="0.2">
      <c r="C1399" s="5"/>
    </row>
    <row r="1400" spans="3:3" x14ac:dyDescent="0.2">
      <c r="C1400" s="5"/>
    </row>
    <row r="1401" spans="3:3" x14ac:dyDescent="0.2">
      <c r="C1401" s="5"/>
    </row>
    <row r="1402" spans="3:3" x14ac:dyDescent="0.2">
      <c r="C1402" s="5"/>
    </row>
    <row r="1403" spans="3:3" x14ac:dyDescent="0.2">
      <c r="C1403" s="5"/>
    </row>
    <row r="1404" spans="3:3" x14ac:dyDescent="0.2">
      <c r="C1404" s="5"/>
    </row>
    <row r="1405" spans="3:3" x14ac:dyDescent="0.2">
      <c r="C1405" s="5"/>
    </row>
    <row r="1406" spans="3:3" x14ac:dyDescent="0.2">
      <c r="C1406" s="5"/>
    </row>
    <row r="1407" spans="3:3" x14ac:dyDescent="0.2">
      <c r="C1407" s="5"/>
    </row>
    <row r="1408" spans="3:3" x14ac:dyDescent="0.2">
      <c r="C1408" s="5"/>
    </row>
    <row r="1409" spans="3:3" x14ac:dyDescent="0.2">
      <c r="C1409" s="5"/>
    </row>
    <row r="1410" spans="3:3" x14ac:dyDescent="0.2">
      <c r="C1410" s="5"/>
    </row>
    <row r="1411" spans="3:3" x14ac:dyDescent="0.2">
      <c r="C1411" s="5"/>
    </row>
    <row r="1412" spans="3:3" x14ac:dyDescent="0.2">
      <c r="C1412" s="5"/>
    </row>
    <row r="1413" spans="3:3" x14ac:dyDescent="0.2">
      <c r="C1413" s="5"/>
    </row>
    <row r="1414" spans="3:3" x14ac:dyDescent="0.2">
      <c r="C1414" s="5"/>
    </row>
    <row r="1415" spans="3:3" x14ac:dyDescent="0.2">
      <c r="C1415" s="5"/>
    </row>
    <row r="1416" spans="3:3" x14ac:dyDescent="0.2">
      <c r="C1416" s="5"/>
    </row>
    <row r="1417" spans="3:3" x14ac:dyDescent="0.2">
      <c r="C1417" s="5"/>
    </row>
    <row r="1418" spans="3:3" x14ac:dyDescent="0.2">
      <c r="C1418" s="5"/>
    </row>
    <row r="1419" spans="3:3" x14ac:dyDescent="0.2">
      <c r="C1419" s="5"/>
    </row>
    <row r="1420" spans="3:3" x14ac:dyDescent="0.2">
      <c r="C1420" s="5"/>
    </row>
    <row r="1421" spans="3:3" x14ac:dyDescent="0.2">
      <c r="C1421" s="5"/>
    </row>
    <row r="1422" spans="3:3" x14ac:dyDescent="0.2">
      <c r="C1422" s="5"/>
    </row>
    <row r="1423" spans="3:3" x14ac:dyDescent="0.2">
      <c r="C1423" s="5"/>
    </row>
    <row r="1424" spans="3:3" x14ac:dyDescent="0.2">
      <c r="C1424" s="5"/>
    </row>
    <row r="1425" spans="3:3" x14ac:dyDescent="0.2">
      <c r="C1425" s="5"/>
    </row>
    <row r="1426" spans="3:3" x14ac:dyDescent="0.2">
      <c r="C1426" s="5"/>
    </row>
    <row r="1427" spans="3:3" x14ac:dyDescent="0.2">
      <c r="C1427" s="5"/>
    </row>
    <row r="1428" spans="3:3" x14ac:dyDescent="0.2">
      <c r="C1428" s="5"/>
    </row>
    <row r="1429" spans="3:3" x14ac:dyDescent="0.2">
      <c r="C1429" s="5"/>
    </row>
    <row r="1430" spans="3:3" x14ac:dyDescent="0.2">
      <c r="C1430" s="5"/>
    </row>
    <row r="1431" spans="3:3" x14ac:dyDescent="0.2">
      <c r="C1431" s="5"/>
    </row>
    <row r="1432" spans="3:3" x14ac:dyDescent="0.2">
      <c r="C1432" s="5"/>
    </row>
    <row r="1433" spans="3:3" x14ac:dyDescent="0.2">
      <c r="C1433" s="5"/>
    </row>
    <row r="1434" spans="3:3" x14ac:dyDescent="0.2">
      <c r="C1434" s="5"/>
    </row>
    <row r="1435" spans="3:3" x14ac:dyDescent="0.2">
      <c r="C1435" s="5"/>
    </row>
    <row r="1436" spans="3:3" x14ac:dyDescent="0.2">
      <c r="C1436" s="5"/>
    </row>
    <row r="1437" spans="3:3" x14ac:dyDescent="0.2">
      <c r="C1437" s="5"/>
    </row>
    <row r="1438" spans="3:3" x14ac:dyDescent="0.2">
      <c r="C1438" s="5"/>
    </row>
    <row r="1439" spans="3:3" x14ac:dyDescent="0.2">
      <c r="C1439" s="5"/>
    </row>
    <row r="1440" spans="3:3" x14ac:dyDescent="0.2">
      <c r="C1440" s="5"/>
    </row>
    <row r="1441" spans="3:3" x14ac:dyDescent="0.2">
      <c r="C1441" s="5"/>
    </row>
    <row r="1442" spans="3:3" x14ac:dyDescent="0.2">
      <c r="C1442" s="5"/>
    </row>
    <row r="1443" spans="3:3" x14ac:dyDescent="0.2">
      <c r="C1443" s="5"/>
    </row>
    <row r="1444" spans="3:3" x14ac:dyDescent="0.2">
      <c r="C1444" s="5"/>
    </row>
    <row r="1445" spans="3:3" x14ac:dyDescent="0.2">
      <c r="C1445" s="5"/>
    </row>
    <row r="1446" spans="3:3" x14ac:dyDescent="0.2">
      <c r="C1446" s="5"/>
    </row>
    <row r="1447" spans="3:3" x14ac:dyDescent="0.2">
      <c r="C1447" s="5"/>
    </row>
    <row r="1448" spans="3:3" x14ac:dyDescent="0.2">
      <c r="C1448" s="5"/>
    </row>
    <row r="1449" spans="3:3" x14ac:dyDescent="0.2">
      <c r="C1449" s="5"/>
    </row>
    <row r="1450" spans="3:3" x14ac:dyDescent="0.2">
      <c r="C1450" s="5"/>
    </row>
    <row r="1451" spans="3:3" x14ac:dyDescent="0.2">
      <c r="C1451" s="5"/>
    </row>
    <row r="1452" spans="3:3" x14ac:dyDescent="0.2">
      <c r="C1452" s="5"/>
    </row>
    <row r="1453" spans="3:3" x14ac:dyDescent="0.2">
      <c r="C1453" s="5"/>
    </row>
    <row r="1454" spans="3:3" x14ac:dyDescent="0.2">
      <c r="C1454" s="5"/>
    </row>
    <row r="1455" spans="3:3" x14ac:dyDescent="0.2">
      <c r="C1455" s="5"/>
    </row>
    <row r="1456" spans="3:3" x14ac:dyDescent="0.2">
      <c r="C1456" s="5"/>
    </row>
    <row r="1457" spans="3:3" x14ac:dyDescent="0.2">
      <c r="C1457" s="5"/>
    </row>
    <row r="1458" spans="3:3" x14ac:dyDescent="0.2">
      <c r="C1458" s="5"/>
    </row>
    <row r="1459" spans="3:3" x14ac:dyDescent="0.2">
      <c r="C1459" s="5"/>
    </row>
    <row r="1460" spans="3:3" x14ac:dyDescent="0.2">
      <c r="C1460" s="5"/>
    </row>
    <row r="1461" spans="3:3" x14ac:dyDescent="0.2">
      <c r="C1461" s="5"/>
    </row>
    <row r="1462" spans="3:3" x14ac:dyDescent="0.2">
      <c r="C1462" s="5"/>
    </row>
    <row r="1463" spans="3:3" x14ac:dyDescent="0.2">
      <c r="C1463" s="5"/>
    </row>
    <row r="1464" spans="3:3" x14ac:dyDescent="0.2">
      <c r="C1464" s="5"/>
    </row>
    <row r="1465" spans="3:3" x14ac:dyDescent="0.2">
      <c r="C1465" s="5"/>
    </row>
    <row r="1466" spans="3:3" x14ac:dyDescent="0.2">
      <c r="C1466" s="5"/>
    </row>
    <row r="1467" spans="3:3" x14ac:dyDescent="0.2">
      <c r="C1467" s="5"/>
    </row>
    <row r="1468" spans="3:3" x14ac:dyDescent="0.2">
      <c r="C1468" s="5"/>
    </row>
    <row r="1469" spans="3:3" x14ac:dyDescent="0.2">
      <c r="C1469" s="5"/>
    </row>
    <row r="1470" spans="3:3" x14ac:dyDescent="0.2">
      <c r="C1470" s="5"/>
    </row>
    <row r="1471" spans="3:3" x14ac:dyDescent="0.2">
      <c r="C1471" s="5"/>
    </row>
    <row r="1472" spans="3:3" x14ac:dyDescent="0.2">
      <c r="C1472" s="5"/>
    </row>
    <row r="1473" spans="3:3" x14ac:dyDescent="0.2">
      <c r="C1473" s="5"/>
    </row>
    <row r="1474" spans="3:3" x14ac:dyDescent="0.2">
      <c r="C1474" s="5"/>
    </row>
    <row r="1475" spans="3:3" x14ac:dyDescent="0.2">
      <c r="C1475" s="5"/>
    </row>
    <row r="1476" spans="3:3" x14ac:dyDescent="0.2">
      <c r="C1476" s="5"/>
    </row>
    <row r="1477" spans="3:3" x14ac:dyDescent="0.2">
      <c r="C1477" s="5"/>
    </row>
    <row r="1478" spans="3:3" x14ac:dyDescent="0.2">
      <c r="C1478" s="5"/>
    </row>
    <row r="1479" spans="3:3" x14ac:dyDescent="0.2">
      <c r="C1479" s="5"/>
    </row>
    <row r="1480" spans="3:3" x14ac:dyDescent="0.2">
      <c r="C1480" s="5"/>
    </row>
    <row r="1481" spans="3:3" x14ac:dyDescent="0.2">
      <c r="C1481" s="5"/>
    </row>
    <row r="1482" spans="3:3" x14ac:dyDescent="0.2">
      <c r="C1482" s="5"/>
    </row>
    <row r="1483" spans="3:3" x14ac:dyDescent="0.2">
      <c r="C1483" s="5"/>
    </row>
    <row r="1484" spans="3:3" x14ac:dyDescent="0.2">
      <c r="C1484" s="5"/>
    </row>
    <row r="1485" spans="3:3" x14ac:dyDescent="0.2">
      <c r="C1485" s="5"/>
    </row>
    <row r="1486" spans="3:3" x14ac:dyDescent="0.2">
      <c r="C1486" s="5"/>
    </row>
    <row r="1487" spans="3:3" x14ac:dyDescent="0.2">
      <c r="C1487" s="5"/>
    </row>
    <row r="1488" spans="3:3" x14ac:dyDescent="0.2">
      <c r="C1488" s="5"/>
    </row>
    <row r="1489" spans="3:3" x14ac:dyDescent="0.2">
      <c r="C1489" s="5"/>
    </row>
    <row r="1490" spans="3:3" x14ac:dyDescent="0.2">
      <c r="C1490" s="5"/>
    </row>
    <row r="1491" spans="3:3" x14ac:dyDescent="0.2">
      <c r="C1491" s="5"/>
    </row>
    <row r="1492" spans="3:3" x14ac:dyDescent="0.2">
      <c r="C1492" s="5"/>
    </row>
    <row r="1493" spans="3:3" x14ac:dyDescent="0.2">
      <c r="C1493" s="5"/>
    </row>
    <row r="1494" spans="3:3" x14ac:dyDescent="0.2">
      <c r="C1494" s="5"/>
    </row>
    <row r="1495" spans="3:3" x14ac:dyDescent="0.2">
      <c r="C1495" s="5"/>
    </row>
    <row r="1496" spans="3:3" x14ac:dyDescent="0.2">
      <c r="C1496" s="5"/>
    </row>
    <row r="1497" spans="3:3" x14ac:dyDescent="0.2">
      <c r="C1497" s="5"/>
    </row>
    <row r="1498" spans="3:3" x14ac:dyDescent="0.2">
      <c r="C1498" s="5"/>
    </row>
    <row r="1499" spans="3:3" x14ac:dyDescent="0.2">
      <c r="C1499" s="5"/>
    </row>
    <row r="1500" spans="3:3" x14ac:dyDescent="0.2">
      <c r="C1500" s="5"/>
    </row>
    <row r="1501" spans="3:3" x14ac:dyDescent="0.2">
      <c r="C1501" s="5"/>
    </row>
    <row r="1502" spans="3:3" x14ac:dyDescent="0.2">
      <c r="C1502" s="5"/>
    </row>
    <row r="1503" spans="3:3" x14ac:dyDescent="0.2">
      <c r="C1503" s="5"/>
    </row>
    <row r="1504" spans="3:3" x14ac:dyDescent="0.2">
      <c r="C1504" s="5"/>
    </row>
    <row r="1505" spans="3:3" x14ac:dyDescent="0.2">
      <c r="C1505" s="5"/>
    </row>
    <row r="1506" spans="3:3" x14ac:dyDescent="0.2">
      <c r="C1506" s="5"/>
    </row>
    <row r="1507" spans="3:3" x14ac:dyDescent="0.2">
      <c r="C1507" s="5"/>
    </row>
    <row r="1508" spans="3:3" x14ac:dyDescent="0.2">
      <c r="C1508" s="5"/>
    </row>
    <row r="1509" spans="3:3" x14ac:dyDescent="0.2">
      <c r="C1509" s="5"/>
    </row>
    <row r="1510" spans="3:3" x14ac:dyDescent="0.2">
      <c r="C1510" s="5"/>
    </row>
    <row r="1511" spans="3:3" x14ac:dyDescent="0.2">
      <c r="C1511" s="5"/>
    </row>
    <row r="1512" spans="3:3" x14ac:dyDescent="0.2">
      <c r="C1512" s="5"/>
    </row>
    <row r="1513" spans="3:3" x14ac:dyDescent="0.2">
      <c r="C1513" s="5"/>
    </row>
    <row r="1514" spans="3:3" x14ac:dyDescent="0.2">
      <c r="C1514" s="5"/>
    </row>
    <row r="1515" spans="3:3" x14ac:dyDescent="0.2">
      <c r="C1515" s="5"/>
    </row>
    <row r="1516" spans="3:3" x14ac:dyDescent="0.2">
      <c r="C1516" s="5"/>
    </row>
    <row r="1517" spans="3:3" x14ac:dyDescent="0.2">
      <c r="C1517" s="5"/>
    </row>
    <row r="1518" spans="3:3" x14ac:dyDescent="0.2">
      <c r="C1518" s="5"/>
    </row>
    <row r="1519" spans="3:3" x14ac:dyDescent="0.2">
      <c r="C1519" s="5"/>
    </row>
    <row r="1520" spans="3:3" x14ac:dyDescent="0.2">
      <c r="C1520" s="5"/>
    </row>
    <row r="1521" spans="3:3" x14ac:dyDescent="0.2">
      <c r="C1521" s="5"/>
    </row>
    <row r="1522" spans="3:3" x14ac:dyDescent="0.2">
      <c r="C1522" s="5"/>
    </row>
    <row r="1523" spans="3:3" x14ac:dyDescent="0.2">
      <c r="C1523" s="5"/>
    </row>
    <row r="1524" spans="3:3" x14ac:dyDescent="0.2">
      <c r="C1524" s="5"/>
    </row>
    <row r="1525" spans="3:3" x14ac:dyDescent="0.2">
      <c r="C1525" s="5"/>
    </row>
    <row r="1526" spans="3:3" x14ac:dyDescent="0.2">
      <c r="C1526" s="5"/>
    </row>
    <row r="1527" spans="3:3" x14ac:dyDescent="0.2">
      <c r="C1527" s="5"/>
    </row>
    <row r="1528" spans="3:3" x14ac:dyDescent="0.2">
      <c r="C1528" s="5"/>
    </row>
    <row r="1529" spans="3:3" x14ac:dyDescent="0.2">
      <c r="C1529" s="5"/>
    </row>
    <row r="1530" spans="3:3" x14ac:dyDescent="0.2">
      <c r="C1530" s="5"/>
    </row>
    <row r="1531" spans="3:3" x14ac:dyDescent="0.2">
      <c r="C1531" s="5"/>
    </row>
    <row r="1532" spans="3:3" x14ac:dyDescent="0.2">
      <c r="C1532" s="5"/>
    </row>
    <row r="1533" spans="3:3" x14ac:dyDescent="0.2">
      <c r="C1533" s="5"/>
    </row>
    <row r="1534" spans="3:3" x14ac:dyDescent="0.2">
      <c r="C1534" s="5"/>
    </row>
    <row r="1535" spans="3:3" x14ac:dyDescent="0.2">
      <c r="C1535" s="5"/>
    </row>
    <row r="1536" spans="3:3" x14ac:dyDescent="0.2">
      <c r="C1536" s="5"/>
    </row>
    <row r="1537" spans="3:3" x14ac:dyDescent="0.2">
      <c r="C1537" s="5"/>
    </row>
    <row r="1538" spans="3:3" x14ac:dyDescent="0.2">
      <c r="C1538" s="5"/>
    </row>
    <row r="1539" spans="3:3" x14ac:dyDescent="0.2">
      <c r="C1539" s="5"/>
    </row>
    <row r="1540" spans="3:3" x14ac:dyDescent="0.2">
      <c r="C1540" s="5"/>
    </row>
    <row r="1541" spans="3:3" x14ac:dyDescent="0.2">
      <c r="C1541" s="5"/>
    </row>
    <row r="1542" spans="3:3" x14ac:dyDescent="0.2">
      <c r="C1542" s="5"/>
    </row>
    <row r="1543" spans="3:3" x14ac:dyDescent="0.2">
      <c r="C1543" s="5"/>
    </row>
    <row r="1544" spans="3:3" x14ac:dyDescent="0.2">
      <c r="C1544" s="5"/>
    </row>
    <row r="1545" spans="3:3" x14ac:dyDescent="0.2">
      <c r="C1545" s="5"/>
    </row>
    <row r="1546" spans="3:3" x14ac:dyDescent="0.2">
      <c r="C1546" s="5"/>
    </row>
    <row r="1547" spans="3:3" x14ac:dyDescent="0.2">
      <c r="C1547" s="5"/>
    </row>
    <row r="1548" spans="3:3" x14ac:dyDescent="0.2">
      <c r="C1548" s="5"/>
    </row>
    <row r="1549" spans="3:3" x14ac:dyDescent="0.2">
      <c r="C1549" s="5"/>
    </row>
    <row r="1550" spans="3:3" x14ac:dyDescent="0.2">
      <c r="C1550" s="5"/>
    </row>
    <row r="1551" spans="3:3" x14ac:dyDescent="0.2">
      <c r="C1551" s="5"/>
    </row>
    <row r="1552" spans="3:3" x14ac:dyDescent="0.2">
      <c r="C1552" s="5"/>
    </row>
    <row r="1553" spans="3:3" x14ac:dyDescent="0.2">
      <c r="C1553" s="5"/>
    </row>
    <row r="1554" spans="3:3" x14ac:dyDescent="0.2">
      <c r="C1554" s="5"/>
    </row>
    <row r="1555" spans="3:3" x14ac:dyDescent="0.2">
      <c r="C1555" s="5"/>
    </row>
    <row r="1556" spans="3:3" x14ac:dyDescent="0.2">
      <c r="C1556" s="5"/>
    </row>
    <row r="1557" spans="3:3" x14ac:dyDescent="0.2">
      <c r="C1557" s="5"/>
    </row>
    <row r="1558" spans="3:3" x14ac:dyDescent="0.2">
      <c r="C1558" s="5"/>
    </row>
    <row r="1559" spans="3:3" x14ac:dyDescent="0.2">
      <c r="C1559" s="5"/>
    </row>
    <row r="1560" spans="3:3" x14ac:dyDescent="0.2">
      <c r="C1560" s="5"/>
    </row>
    <row r="1561" spans="3:3" x14ac:dyDescent="0.2">
      <c r="C1561" s="5"/>
    </row>
    <row r="1562" spans="3:3" x14ac:dyDescent="0.2">
      <c r="C1562" s="5"/>
    </row>
    <row r="1563" spans="3:3" x14ac:dyDescent="0.2">
      <c r="C1563" s="5"/>
    </row>
    <row r="1564" spans="3:3" x14ac:dyDescent="0.2">
      <c r="C1564" s="5"/>
    </row>
    <row r="1565" spans="3:3" x14ac:dyDescent="0.2">
      <c r="C1565" s="5"/>
    </row>
    <row r="1566" spans="3:3" x14ac:dyDescent="0.2">
      <c r="C1566" s="5"/>
    </row>
    <row r="1567" spans="3:3" x14ac:dyDescent="0.2">
      <c r="C1567" s="5"/>
    </row>
    <row r="1568" spans="3:3" x14ac:dyDescent="0.2">
      <c r="C1568" s="5"/>
    </row>
    <row r="1569" spans="3:3" x14ac:dyDescent="0.2">
      <c r="C1569" s="5"/>
    </row>
    <row r="1570" spans="3:3" x14ac:dyDescent="0.2">
      <c r="C1570" s="5"/>
    </row>
    <row r="1571" spans="3:3" x14ac:dyDescent="0.2">
      <c r="C1571" s="5"/>
    </row>
    <row r="1572" spans="3:3" x14ac:dyDescent="0.2">
      <c r="C1572" s="5"/>
    </row>
    <row r="1573" spans="3:3" x14ac:dyDescent="0.2">
      <c r="C1573" s="5"/>
    </row>
    <row r="1574" spans="3:3" x14ac:dyDescent="0.2">
      <c r="C1574" s="5"/>
    </row>
    <row r="1575" spans="3:3" x14ac:dyDescent="0.2">
      <c r="C1575" s="5"/>
    </row>
    <row r="1576" spans="3:3" x14ac:dyDescent="0.2">
      <c r="C1576" s="5"/>
    </row>
    <row r="1577" spans="3:3" x14ac:dyDescent="0.2">
      <c r="C1577" s="5"/>
    </row>
    <row r="1578" spans="3:3" x14ac:dyDescent="0.2">
      <c r="C1578" s="5"/>
    </row>
    <row r="1579" spans="3:3" x14ac:dyDescent="0.2">
      <c r="C1579" s="5"/>
    </row>
    <row r="1580" spans="3:3" x14ac:dyDescent="0.2">
      <c r="C1580" s="5"/>
    </row>
    <row r="1581" spans="3:3" x14ac:dyDescent="0.2">
      <c r="C1581" s="5"/>
    </row>
    <row r="1582" spans="3:3" x14ac:dyDescent="0.2">
      <c r="C1582" s="5"/>
    </row>
    <row r="1583" spans="3:3" x14ac:dyDescent="0.2">
      <c r="C1583" s="5"/>
    </row>
    <row r="1584" spans="3:3" x14ac:dyDescent="0.2">
      <c r="C1584" s="5"/>
    </row>
    <row r="1585" spans="3:3" x14ac:dyDescent="0.2">
      <c r="C1585" s="5"/>
    </row>
    <row r="1586" spans="3:3" x14ac:dyDescent="0.2">
      <c r="C1586" s="5"/>
    </row>
    <row r="1587" spans="3:3" x14ac:dyDescent="0.2">
      <c r="C1587" s="5"/>
    </row>
    <row r="1588" spans="3:3" x14ac:dyDescent="0.2">
      <c r="C1588" s="5"/>
    </row>
    <row r="1589" spans="3:3" x14ac:dyDescent="0.2">
      <c r="C1589" s="5"/>
    </row>
    <row r="1590" spans="3:3" x14ac:dyDescent="0.2">
      <c r="C1590" s="5"/>
    </row>
    <row r="1591" spans="3:3" x14ac:dyDescent="0.2">
      <c r="C1591" s="5"/>
    </row>
    <row r="1592" spans="3:3" x14ac:dyDescent="0.2">
      <c r="C1592" s="5"/>
    </row>
    <row r="1593" spans="3:3" x14ac:dyDescent="0.2">
      <c r="C1593" s="5"/>
    </row>
    <row r="1594" spans="3:3" x14ac:dyDescent="0.2">
      <c r="C1594" s="5"/>
    </row>
    <row r="1595" spans="3:3" x14ac:dyDescent="0.2">
      <c r="C1595" s="5"/>
    </row>
    <row r="1596" spans="3:3" x14ac:dyDescent="0.2">
      <c r="C1596" s="5"/>
    </row>
    <row r="1597" spans="3:3" x14ac:dyDescent="0.2">
      <c r="C1597" s="5"/>
    </row>
    <row r="1598" spans="3:3" x14ac:dyDescent="0.2">
      <c r="C1598" s="5"/>
    </row>
    <row r="1599" spans="3:3" x14ac:dyDescent="0.2">
      <c r="C1599" s="5"/>
    </row>
    <row r="1600" spans="3:3" x14ac:dyDescent="0.2">
      <c r="C1600" s="5"/>
    </row>
    <row r="1601" spans="3:3" x14ac:dyDescent="0.2">
      <c r="C1601" s="5"/>
    </row>
    <row r="1602" spans="3:3" x14ac:dyDescent="0.2">
      <c r="C1602" s="5"/>
    </row>
    <row r="1603" spans="3:3" x14ac:dyDescent="0.2">
      <c r="C1603" s="5"/>
    </row>
    <row r="1604" spans="3:3" x14ac:dyDescent="0.2">
      <c r="C1604" s="5"/>
    </row>
    <row r="1605" spans="3:3" x14ac:dyDescent="0.2">
      <c r="C1605" s="5"/>
    </row>
    <row r="1606" spans="3:3" x14ac:dyDescent="0.2">
      <c r="C1606" s="5"/>
    </row>
    <row r="1607" spans="3:3" x14ac:dyDescent="0.2">
      <c r="C1607" s="5"/>
    </row>
    <row r="1608" spans="3:3" x14ac:dyDescent="0.2">
      <c r="C1608" s="5"/>
    </row>
    <row r="1609" spans="3:3" x14ac:dyDescent="0.2">
      <c r="C1609" s="5"/>
    </row>
    <row r="1610" spans="3:3" x14ac:dyDescent="0.2">
      <c r="C1610" s="5"/>
    </row>
    <row r="1611" spans="3:3" x14ac:dyDescent="0.2">
      <c r="C1611" s="5"/>
    </row>
    <row r="1612" spans="3:3" x14ac:dyDescent="0.2">
      <c r="C1612" s="5"/>
    </row>
    <row r="1613" spans="3:3" x14ac:dyDescent="0.2">
      <c r="C1613" s="5"/>
    </row>
    <row r="1614" spans="3:3" x14ac:dyDescent="0.2">
      <c r="C1614" s="5"/>
    </row>
    <row r="1615" spans="3:3" x14ac:dyDescent="0.2">
      <c r="C1615" s="5"/>
    </row>
    <row r="1616" spans="3:3" x14ac:dyDescent="0.2">
      <c r="C1616" s="5"/>
    </row>
    <row r="1617" spans="3:3" x14ac:dyDescent="0.2">
      <c r="C1617" s="5"/>
    </row>
    <row r="1618" spans="3:3" x14ac:dyDescent="0.2">
      <c r="C1618" s="5"/>
    </row>
    <row r="1619" spans="3:3" x14ac:dyDescent="0.2">
      <c r="C1619" s="5"/>
    </row>
    <row r="1620" spans="3:3" x14ac:dyDescent="0.2">
      <c r="C1620" s="5"/>
    </row>
    <row r="1621" spans="3:3" x14ac:dyDescent="0.2">
      <c r="C1621" s="5"/>
    </row>
    <row r="1622" spans="3:3" x14ac:dyDescent="0.2">
      <c r="C1622" s="5"/>
    </row>
    <row r="1623" spans="3:3" x14ac:dyDescent="0.2">
      <c r="C1623" s="5"/>
    </row>
    <row r="1624" spans="3:3" x14ac:dyDescent="0.2">
      <c r="C1624" s="5"/>
    </row>
    <row r="1625" spans="3:3" x14ac:dyDescent="0.2">
      <c r="C1625" s="5"/>
    </row>
    <row r="1626" spans="3:3" x14ac:dyDescent="0.2">
      <c r="C1626" s="5"/>
    </row>
    <row r="1627" spans="3:3" x14ac:dyDescent="0.2">
      <c r="C1627" s="5"/>
    </row>
    <row r="1628" spans="3:3" x14ac:dyDescent="0.2">
      <c r="C1628" s="5"/>
    </row>
    <row r="1629" spans="3:3" x14ac:dyDescent="0.2">
      <c r="C1629" s="5"/>
    </row>
    <row r="1630" spans="3:3" x14ac:dyDescent="0.2">
      <c r="C1630" s="5"/>
    </row>
    <row r="1631" spans="3:3" x14ac:dyDescent="0.2">
      <c r="C1631" s="5"/>
    </row>
    <row r="1632" spans="3:3" x14ac:dyDescent="0.2">
      <c r="C1632" s="5"/>
    </row>
    <row r="1633" spans="3:3" x14ac:dyDescent="0.2">
      <c r="C1633" s="5"/>
    </row>
    <row r="1634" spans="3:3" x14ac:dyDescent="0.2">
      <c r="C1634" s="5"/>
    </row>
    <row r="1635" spans="3:3" x14ac:dyDescent="0.2">
      <c r="C1635" s="5"/>
    </row>
    <row r="1636" spans="3:3" x14ac:dyDescent="0.2">
      <c r="C1636" s="5"/>
    </row>
    <row r="1637" spans="3:3" x14ac:dyDescent="0.2">
      <c r="C1637" s="5"/>
    </row>
    <row r="1638" spans="3:3" x14ac:dyDescent="0.2">
      <c r="C1638" s="5"/>
    </row>
    <row r="1639" spans="3:3" x14ac:dyDescent="0.2">
      <c r="C1639" s="5"/>
    </row>
    <row r="1640" spans="3:3" x14ac:dyDescent="0.2">
      <c r="C1640" s="5"/>
    </row>
    <row r="1641" spans="3:3" x14ac:dyDescent="0.2">
      <c r="C1641" s="5"/>
    </row>
    <row r="1642" spans="3:3" x14ac:dyDescent="0.2">
      <c r="C1642" s="5"/>
    </row>
    <row r="1643" spans="3:3" x14ac:dyDescent="0.2">
      <c r="C1643" s="5"/>
    </row>
    <row r="1644" spans="3:3" x14ac:dyDescent="0.2">
      <c r="C1644" s="5"/>
    </row>
    <row r="1645" spans="3:3" x14ac:dyDescent="0.2">
      <c r="C1645" s="5"/>
    </row>
    <row r="1646" spans="3:3" x14ac:dyDescent="0.2">
      <c r="C1646" s="5"/>
    </row>
    <row r="1647" spans="3:3" x14ac:dyDescent="0.2">
      <c r="C1647" s="5"/>
    </row>
    <row r="1648" spans="3:3" x14ac:dyDescent="0.2">
      <c r="C1648" s="5"/>
    </row>
    <row r="1649" spans="3:3" x14ac:dyDescent="0.2">
      <c r="C1649" s="5"/>
    </row>
    <row r="1650" spans="3:3" x14ac:dyDescent="0.2">
      <c r="C1650" s="5"/>
    </row>
    <row r="1651" spans="3:3" x14ac:dyDescent="0.2">
      <c r="C1651" s="5"/>
    </row>
    <row r="1652" spans="3:3" x14ac:dyDescent="0.2">
      <c r="C1652" s="5"/>
    </row>
    <row r="1653" spans="3:3" x14ac:dyDescent="0.2">
      <c r="C1653" s="5"/>
    </row>
    <row r="1654" spans="3:3" x14ac:dyDescent="0.2">
      <c r="C1654" s="5"/>
    </row>
    <row r="1655" spans="3:3" x14ac:dyDescent="0.2">
      <c r="C1655" s="5"/>
    </row>
    <row r="1656" spans="3:3" x14ac:dyDescent="0.2">
      <c r="C1656" s="5"/>
    </row>
    <row r="1657" spans="3:3" x14ac:dyDescent="0.2">
      <c r="C1657" s="5"/>
    </row>
    <row r="1658" spans="3:3" x14ac:dyDescent="0.2">
      <c r="C1658" s="5"/>
    </row>
    <row r="1659" spans="3:3" x14ac:dyDescent="0.2">
      <c r="C1659" s="5"/>
    </row>
    <row r="1660" spans="3:3" x14ac:dyDescent="0.2">
      <c r="C1660" s="5"/>
    </row>
    <row r="1661" spans="3:3" x14ac:dyDescent="0.2">
      <c r="C1661" s="5"/>
    </row>
    <row r="1662" spans="3:3" x14ac:dyDescent="0.2">
      <c r="C1662" s="5"/>
    </row>
    <row r="1663" spans="3:3" x14ac:dyDescent="0.2">
      <c r="C1663" s="5"/>
    </row>
    <row r="1664" spans="3:3" x14ac:dyDescent="0.2">
      <c r="C1664" s="5"/>
    </row>
    <row r="1665" spans="3:3" x14ac:dyDescent="0.2">
      <c r="C1665" s="5"/>
    </row>
    <row r="1666" spans="3:3" x14ac:dyDescent="0.2">
      <c r="C1666" s="5"/>
    </row>
    <row r="1667" spans="3:3" x14ac:dyDescent="0.2">
      <c r="C1667" s="5"/>
    </row>
    <row r="1668" spans="3:3" x14ac:dyDescent="0.2">
      <c r="C1668" s="5"/>
    </row>
    <row r="1669" spans="3:3" x14ac:dyDescent="0.2">
      <c r="C1669" s="5"/>
    </row>
    <row r="1670" spans="3:3" x14ac:dyDescent="0.2">
      <c r="C1670" s="5"/>
    </row>
    <row r="1671" spans="3:3" x14ac:dyDescent="0.2">
      <c r="C1671" s="5"/>
    </row>
    <row r="1672" spans="3:3" x14ac:dyDescent="0.2">
      <c r="C1672" s="5"/>
    </row>
    <row r="1673" spans="3:3" x14ac:dyDescent="0.2">
      <c r="C1673" s="5"/>
    </row>
    <row r="1674" spans="3:3" x14ac:dyDescent="0.2">
      <c r="C1674" s="5"/>
    </row>
    <row r="1675" spans="3:3" x14ac:dyDescent="0.2">
      <c r="C1675" s="5"/>
    </row>
    <row r="1676" spans="3:3" x14ac:dyDescent="0.2">
      <c r="C1676" s="5"/>
    </row>
    <row r="1677" spans="3:3" x14ac:dyDescent="0.2">
      <c r="C1677" s="5"/>
    </row>
    <row r="1678" spans="3:3" x14ac:dyDescent="0.2">
      <c r="C1678" s="5"/>
    </row>
    <row r="1679" spans="3:3" x14ac:dyDescent="0.2">
      <c r="C1679" s="5"/>
    </row>
    <row r="1680" spans="3:3" x14ac:dyDescent="0.2">
      <c r="C1680" s="5"/>
    </row>
    <row r="1681" spans="3:3" x14ac:dyDescent="0.2">
      <c r="C1681" s="5"/>
    </row>
    <row r="1682" spans="3:3" x14ac:dyDescent="0.2">
      <c r="C1682" s="5"/>
    </row>
    <row r="1683" spans="3:3" x14ac:dyDescent="0.2">
      <c r="C1683" s="5"/>
    </row>
    <row r="1684" spans="3:3" x14ac:dyDescent="0.2">
      <c r="C1684" s="5"/>
    </row>
    <row r="1685" spans="3:3" x14ac:dyDescent="0.2">
      <c r="C1685" s="5"/>
    </row>
    <row r="1686" spans="3:3" x14ac:dyDescent="0.2">
      <c r="C1686" s="5"/>
    </row>
    <row r="1687" spans="3:3" x14ac:dyDescent="0.2">
      <c r="C1687" s="5"/>
    </row>
    <row r="1688" spans="3:3" x14ac:dyDescent="0.2">
      <c r="C1688" s="5"/>
    </row>
    <row r="1689" spans="3:3" x14ac:dyDescent="0.2">
      <c r="C1689" s="5"/>
    </row>
    <row r="1690" spans="3:3" x14ac:dyDescent="0.2">
      <c r="C1690" s="5"/>
    </row>
    <row r="1691" spans="3:3" x14ac:dyDescent="0.2">
      <c r="C1691" s="5"/>
    </row>
    <row r="1692" spans="3:3" x14ac:dyDescent="0.2">
      <c r="C1692" s="5"/>
    </row>
    <row r="1693" spans="3:3" x14ac:dyDescent="0.2">
      <c r="C1693" s="5"/>
    </row>
    <row r="1694" spans="3:3" x14ac:dyDescent="0.2">
      <c r="C1694" s="5"/>
    </row>
    <row r="1695" spans="3:3" x14ac:dyDescent="0.2">
      <c r="C1695" s="5"/>
    </row>
    <row r="1696" spans="3:3" x14ac:dyDescent="0.2">
      <c r="C1696" s="5"/>
    </row>
    <row r="1697" spans="3:3" x14ac:dyDescent="0.2">
      <c r="C1697" s="5"/>
    </row>
    <row r="1698" spans="3:3" x14ac:dyDescent="0.2">
      <c r="C1698" s="5"/>
    </row>
    <row r="1699" spans="3:3" x14ac:dyDescent="0.2">
      <c r="C1699" s="5"/>
    </row>
    <row r="1700" spans="3:3" x14ac:dyDescent="0.2">
      <c r="C1700" s="5"/>
    </row>
    <row r="1701" spans="3:3" x14ac:dyDescent="0.2">
      <c r="C1701" s="5"/>
    </row>
    <row r="1702" spans="3:3" x14ac:dyDescent="0.2">
      <c r="C1702" s="5"/>
    </row>
    <row r="1703" spans="3:3" x14ac:dyDescent="0.2">
      <c r="C1703" s="5"/>
    </row>
    <row r="1704" spans="3:3" x14ac:dyDescent="0.2">
      <c r="C1704" s="5"/>
    </row>
    <row r="1705" spans="3:3" x14ac:dyDescent="0.2">
      <c r="C1705" s="5"/>
    </row>
    <row r="1706" spans="3:3" x14ac:dyDescent="0.2">
      <c r="C1706" s="5"/>
    </row>
    <row r="1707" spans="3:3" x14ac:dyDescent="0.2">
      <c r="C1707" s="5"/>
    </row>
    <row r="1708" spans="3:3" x14ac:dyDescent="0.2">
      <c r="C1708" s="5"/>
    </row>
    <row r="1709" spans="3:3" x14ac:dyDescent="0.2">
      <c r="C1709" s="5"/>
    </row>
    <row r="1710" spans="3:3" x14ac:dyDescent="0.2">
      <c r="C1710" s="5"/>
    </row>
    <row r="1711" spans="3:3" x14ac:dyDescent="0.2">
      <c r="C1711" s="5"/>
    </row>
    <row r="1712" spans="3:3" x14ac:dyDescent="0.2">
      <c r="C1712" s="5"/>
    </row>
    <row r="1713" spans="3:3" x14ac:dyDescent="0.2">
      <c r="C1713" s="5"/>
    </row>
    <row r="1714" spans="3:3" x14ac:dyDescent="0.2">
      <c r="C1714" s="5"/>
    </row>
    <row r="1715" spans="3:3" x14ac:dyDescent="0.2">
      <c r="C1715" s="5"/>
    </row>
    <row r="1716" spans="3:3" x14ac:dyDescent="0.2">
      <c r="C1716" s="5"/>
    </row>
    <row r="1717" spans="3:3" x14ac:dyDescent="0.2">
      <c r="C1717" s="5"/>
    </row>
    <row r="1718" spans="3:3" x14ac:dyDescent="0.2">
      <c r="C1718" s="5"/>
    </row>
    <row r="1719" spans="3:3" x14ac:dyDescent="0.2">
      <c r="C1719" s="5"/>
    </row>
    <row r="1720" spans="3:3" x14ac:dyDescent="0.2">
      <c r="C1720" s="5"/>
    </row>
    <row r="1721" spans="3:3" x14ac:dyDescent="0.2">
      <c r="C1721" s="5"/>
    </row>
    <row r="1722" spans="3:3" x14ac:dyDescent="0.2">
      <c r="C1722" s="5"/>
    </row>
    <row r="1723" spans="3:3" x14ac:dyDescent="0.2">
      <c r="C1723" s="5"/>
    </row>
    <row r="1724" spans="3:3" x14ac:dyDescent="0.2">
      <c r="C1724" s="5"/>
    </row>
    <row r="1725" spans="3:3" x14ac:dyDescent="0.2">
      <c r="C1725" s="5"/>
    </row>
    <row r="1726" spans="3:3" x14ac:dyDescent="0.2">
      <c r="C1726" s="5"/>
    </row>
    <row r="1727" spans="3:3" x14ac:dyDescent="0.2">
      <c r="C1727" s="5"/>
    </row>
    <row r="1728" spans="3:3" x14ac:dyDescent="0.2">
      <c r="C1728" s="5"/>
    </row>
    <row r="1729" spans="3:3" x14ac:dyDescent="0.2">
      <c r="C1729" s="5"/>
    </row>
    <row r="1730" spans="3:3" x14ac:dyDescent="0.2">
      <c r="C1730" s="5"/>
    </row>
    <row r="1731" spans="3:3" x14ac:dyDescent="0.2">
      <c r="C1731" s="5"/>
    </row>
    <row r="1732" spans="3:3" x14ac:dyDescent="0.2">
      <c r="C1732" s="5"/>
    </row>
    <row r="1733" spans="3:3" x14ac:dyDescent="0.2">
      <c r="C1733" s="5"/>
    </row>
    <row r="1734" spans="3:3" x14ac:dyDescent="0.2">
      <c r="C1734" s="5"/>
    </row>
    <row r="1735" spans="3:3" x14ac:dyDescent="0.2">
      <c r="C1735" s="5"/>
    </row>
    <row r="1736" spans="3:3" x14ac:dyDescent="0.2">
      <c r="C1736" s="5"/>
    </row>
    <row r="1737" spans="3:3" x14ac:dyDescent="0.2">
      <c r="C1737" s="5"/>
    </row>
    <row r="1738" spans="3:3" x14ac:dyDescent="0.2">
      <c r="C1738" s="5"/>
    </row>
    <row r="1739" spans="3:3" x14ac:dyDescent="0.2">
      <c r="C1739" s="5"/>
    </row>
    <row r="1740" spans="3:3" x14ac:dyDescent="0.2">
      <c r="C1740" s="5"/>
    </row>
    <row r="1741" spans="3:3" x14ac:dyDescent="0.2">
      <c r="C1741" s="5"/>
    </row>
    <row r="1742" spans="3:3" x14ac:dyDescent="0.2">
      <c r="C1742" s="5"/>
    </row>
    <row r="1743" spans="3:3" x14ac:dyDescent="0.2">
      <c r="C1743" s="5"/>
    </row>
    <row r="1744" spans="3:3" x14ac:dyDescent="0.2">
      <c r="C1744" s="5"/>
    </row>
    <row r="1745" spans="3:3" x14ac:dyDescent="0.2">
      <c r="C1745" s="5"/>
    </row>
    <row r="1746" spans="3:3" x14ac:dyDescent="0.2">
      <c r="C1746" s="5"/>
    </row>
    <row r="1747" spans="3:3" x14ac:dyDescent="0.2">
      <c r="C1747" s="5"/>
    </row>
    <row r="1748" spans="3:3" x14ac:dyDescent="0.2">
      <c r="C1748" s="5"/>
    </row>
    <row r="1749" spans="3:3" x14ac:dyDescent="0.2">
      <c r="C1749" s="5"/>
    </row>
    <row r="1750" spans="3:3" x14ac:dyDescent="0.2">
      <c r="C1750" s="5"/>
    </row>
    <row r="1751" spans="3:3" x14ac:dyDescent="0.2">
      <c r="C1751" s="5"/>
    </row>
    <row r="1752" spans="3:3" x14ac:dyDescent="0.2">
      <c r="C1752" s="5"/>
    </row>
    <row r="1753" spans="3:3" x14ac:dyDescent="0.2">
      <c r="C1753" s="5"/>
    </row>
    <row r="1754" spans="3:3" x14ac:dyDescent="0.2">
      <c r="C1754" s="5"/>
    </row>
    <row r="1755" spans="3:3" x14ac:dyDescent="0.2">
      <c r="C1755" s="5"/>
    </row>
    <row r="1756" spans="3:3" x14ac:dyDescent="0.2">
      <c r="C1756" s="5"/>
    </row>
    <row r="1757" spans="3:3" x14ac:dyDescent="0.2">
      <c r="C1757" s="5"/>
    </row>
    <row r="1758" spans="3:3" x14ac:dyDescent="0.2">
      <c r="C1758" s="5"/>
    </row>
    <row r="1759" spans="3:3" x14ac:dyDescent="0.2">
      <c r="C1759" s="5"/>
    </row>
    <row r="1760" spans="3:3" x14ac:dyDescent="0.2">
      <c r="C1760" s="5"/>
    </row>
    <row r="1761" spans="3:3" x14ac:dyDescent="0.2">
      <c r="C1761" s="5"/>
    </row>
    <row r="1762" spans="3:3" x14ac:dyDescent="0.2">
      <c r="C1762" s="5"/>
    </row>
    <row r="1763" spans="3:3" x14ac:dyDescent="0.2">
      <c r="C1763" s="5"/>
    </row>
    <row r="1764" spans="3:3" x14ac:dyDescent="0.2">
      <c r="C1764" s="5"/>
    </row>
    <row r="1765" spans="3:3" x14ac:dyDescent="0.2">
      <c r="C1765" s="5"/>
    </row>
    <row r="1766" spans="3:3" x14ac:dyDescent="0.2">
      <c r="C1766" s="5"/>
    </row>
    <row r="1767" spans="3:3" x14ac:dyDescent="0.2">
      <c r="C1767" s="5"/>
    </row>
    <row r="1768" spans="3:3" x14ac:dyDescent="0.2">
      <c r="C1768" s="5"/>
    </row>
    <row r="1769" spans="3:3" x14ac:dyDescent="0.2">
      <c r="C1769" s="5"/>
    </row>
    <row r="1770" spans="3:3" x14ac:dyDescent="0.2">
      <c r="C1770" s="5"/>
    </row>
    <row r="1771" spans="3:3" x14ac:dyDescent="0.2">
      <c r="C1771" s="5"/>
    </row>
    <row r="1772" spans="3:3" x14ac:dyDescent="0.2">
      <c r="C1772" s="5"/>
    </row>
    <row r="1773" spans="3:3" x14ac:dyDescent="0.2">
      <c r="C1773" s="5"/>
    </row>
    <row r="1774" spans="3:3" x14ac:dyDescent="0.2">
      <c r="C1774" s="5"/>
    </row>
    <row r="1775" spans="3:3" x14ac:dyDescent="0.2">
      <c r="C1775" s="5"/>
    </row>
    <row r="1776" spans="3:3" x14ac:dyDescent="0.2">
      <c r="C1776" s="5"/>
    </row>
    <row r="1777" spans="3:3" x14ac:dyDescent="0.2">
      <c r="C1777" s="5"/>
    </row>
    <row r="1778" spans="3:3" x14ac:dyDescent="0.2">
      <c r="C1778" s="5"/>
    </row>
    <row r="1779" spans="3:3" x14ac:dyDescent="0.2">
      <c r="C1779" s="5"/>
    </row>
    <row r="1780" spans="3:3" x14ac:dyDescent="0.2">
      <c r="C1780" s="5"/>
    </row>
    <row r="1781" spans="3:3" x14ac:dyDescent="0.2">
      <c r="C1781" s="5"/>
    </row>
    <row r="1782" spans="3:3" x14ac:dyDescent="0.2">
      <c r="C1782" s="5"/>
    </row>
    <row r="1783" spans="3:3" x14ac:dyDescent="0.2">
      <c r="C1783" s="5"/>
    </row>
    <row r="1784" spans="3:3" x14ac:dyDescent="0.2">
      <c r="C1784" s="5"/>
    </row>
    <row r="1785" spans="3:3" x14ac:dyDescent="0.2">
      <c r="C1785" s="5"/>
    </row>
    <row r="1786" spans="3:3" x14ac:dyDescent="0.2">
      <c r="C1786" s="5"/>
    </row>
    <row r="1787" spans="3:3" x14ac:dyDescent="0.2">
      <c r="C1787" s="5"/>
    </row>
    <row r="1788" spans="3:3" x14ac:dyDescent="0.2">
      <c r="C1788" s="5"/>
    </row>
    <row r="1789" spans="3:3" x14ac:dyDescent="0.2">
      <c r="C1789" s="5"/>
    </row>
    <row r="1790" spans="3:3" x14ac:dyDescent="0.2">
      <c r="C1790" s="5"/>
    </row>
    <row r="1791" spans="3:3" x14ac:dyDescent="0.2">
      <c r="C1791" s="5"/>
    </row>
    <row r="1792" spans="3:3" x14ac:dyDescent="0.2">
      <c r="C1792" s="5"/>
    </row>
    <row r="1793" spans="3:3" x14ac:dyDescent="0.2">
      <c r="C1793" s="5"/>
    </row>
    <row r="1794" spans="3:3" x14ac:dyDescent="0.2">
      <c r="C1794" s="5"/>
    </row>
    <row r="1795" spans="3:3" x14ac:dyDescent="0.2">
      <c r="C1795" s="5"/>
    </row>
    <row r="1796" spans="3:3" x14ac:dyDescent="0.2">
      <c r="C1796" s="5"/>
    </row>
    <row r="1797" spans="3:3" x14ac:dyDescent="0.2">
      <c r="C1797" s="5"/>
    </row>
    <row r="1798" spans="3:3" x14ac:dyDescent="0.2">
      <c r="C1798" s="5"/>
    </row>
    <row r="1799" spans="3:3" x14ac:dyDescent="0.2">
      <c r="C1799" s="5"/>
    </row>
    <row r="1800" spans="3:3" x14ac:dyDescent="0.2">
      <c r="C1800" s="5"/>
    </row>
    <row r="1801" spans="3:3" x14ac:dyDescent="0.2">
      <c r="C1801" s="5"/>
    </row>
    <row r="1802" spans="3:3" x14ac:dyDescent="0.2">
      <c r="C1802" s="5"/>
    </row>
    <row r="1803" spans="3:3" x14ac:dyDescent="0.2">
      <c r="C1803" s="5"/>
    </row>
    <row r="1804" spans="3:3" x14ac:dyDescent="0.2">
      <c r="C1804" s="5"/>
    </row>
    <row r="1805" spans="3:3" x14ac:dyDescent="0.2">
      <c r="C1805" s="5"/>
    </row>
    <row r="1806" spans="3:3" x14ac:dyDescent="0.2">
      <c r="C1806" s="5"/>
    </row>
    <row r="1807" spans="3:3" x14ac:dyDescent="0.2">
      <c r="C1807" s="5"/>
    </row>
    <row r="1808" spans="3:3" x14ac:dyDescent="0.2">
      <c r="C1808" s="5"/>
    </row>
    <row r="1809" spans="3:3" x14ac:dyDescent="0.2">
      <c r="C1809" s="5"/>
    </row>
    <row r="1810" spans="3:3" x14ac:dyDescent="0.2">
      <c r="C1810" s="5"/>
    </row>
    <row r="1811" spans="3:3" x14ac:dyDescent="0.2">
      <c r="C1811" s="5"/>
    </row>
    <row r="1812" spans="3:3" x14ac:dyDescent="0.2">
      <c r="C1812" s="5"/>
    </row>
    <row r="1813" spans="3:3" x14ac:dyDescent="0.2">
      <c r="C1813" s="5"/>
    </row>
    <row r="1814" spans="3:3" x14ac:dyDescent="0.2">
      <c r="C1814" s="5"/>
    </row>
    <row r="1815" spans="3:3" x14ac:dyDescent="0.2">
      <c r="C1815" s="5"/>
    </row>
    <row r="1816" spans="3:3" x14ac:dyDescent="0.2">
      <c r="C1816" s="5"/>
    </row>
    <row r="1817" spans="3:3" x14ac:dyDescent="0.2">
      <c r="C1817" s="5"/>
    </row>
    <row r="1818" spans="3:3" x14ac:dyDescent="0.2">
      <c r="C1818" s="5"/>
    </row>
    <row r="1819" spans="3:3" x14ac:dyDescent="0.2">
      <c r="C1819" s="5"/>
    </row>
    <row r="1820" spans="3:3" x14ac:dyDescent="0.2">
      <c r="C1820" s="5"/>
    </row>
    <row r="1821" spans="3:3" x14ac:dyDescent="0.2">
      <c r="C1821" s="5"/>
    </row>
    <row r="1822" spans="3:3" x14ac:dyDescent="0.2">
      <c r="C1822" s="5"/>
    </row>
    <row r="1823" spans="3:3" x14ac:dyDescent="0.2">
      <c r="C1823" s="5"/>
    </row>
    <row r="1824" spans="3:3" x14ac:dyDescent="0.2">
      <c r="C1824" s="5"/>
    </row>
    <row r="1825" spans="3:3" x14ac:dyDescent="0.2">
      <c r="C1825" s="5"/>
    </row>
    <row r="1826" spans="3:3" x14ac:dyDescent="0.2">
      <c r="C1826" s="5"/>
    </row>
    <row r="1827" spans="3:3" x14ac:dyDescent="0.2">
      <c r="C1827" s="5"/>
    </row>
    <row r="1828" spans="3:3" x14ac:dyDescent="0.2">
      <c r="C1828" s="5"/>
    </row>
    <row r="1829" spans="3:3" x14ac:dyDescent="0.2">
      <c r="C1829" s="5"/>
    </row>
    <row r="1830" spans="3:3" x14ac:dyDescent="0.2">
      <c r="C1830" s="5"/>
    </row>
    <row r="1831" spans="3:3" x14ac:dyDescent="0.2">
      <c r="C1831" s="5"/>
    </row>
    <row r="1832" spans="3:3" x14ac:dyDescent="0.2">
      <c r="C1832" s="5"/>
    </row>
    <row r="1833" spans="3:3" x14ac:dyDescent="0.2">
      <c r="C1833" s="5"/>
    </row>
    <row r="1834" spans="3:3" x14ac:dyDescent="0.2">
      <c r="C1834" s="5"/>
    </row>
    <row r="1835" spans="3:3" x14ac:dyDescent="0.2">
      <c r="C1835" s="5"/>
    </row>
    <row r="1836" spans="3:3" x14ac:dyDescent="0.2">
      <c r="C1836" s="5"/>
    </row>
    <row r="1837" spans="3:3" x14ac:dyDescent="0.2">
      <c r="C1837" s="5"/>
    </row>
    <row r="1838" spans="3:3" x14ac:dyDescent="0.2">
      <c r="C1838" s="5"/>
    </row>
    <row r="1839" spans="3:3" x14ac:dyDescent="0.2">
      <c r="C1839" s="5"/>
    </row>
    <row r="1840" spans="3:3" x14ac:dyDescent="0.2">
      <c r="C1840" s="5"/>
    </row>
    <row r="1841" spans="3:3" x14ac:dyDescent="0.2">
      <c r="C1841" s="5"/>
    </row>
    <row r="1842" spans="3:3" x14ac:dyDescent="0.2">
      <c r="C1842" s="5"/>
    </row>
    <row r="1843" spans="3:3" x14ac:dyDescent="0.2">
      <c r="C1843" s="5"/>
    </row>
    <row r="1844" spans="3:3" x14ac:dyDescent="0.2">
      <c r="C1844" s="5"/>
    </row>
    <row r="1845" spans="3:3" x14ac:dyDescent="0.2">
      <c r="C1845" s="5"/>
    </row>
    <row r="1846" spans="3:3" x14ac:dyDescent="0.2">
      <c r="C1846" s="5"/>
    </row>
    <row r="1847" spans="3:3" x14ac:dyDescent="0.2">
      <c r="C1847" s="5"/>
    </row>
    <row r="1848" spans="3:3" x14ac:dyDescent="0.2">
      <c r="C1848" s="5"/>
    </row>
    <row r="1849" spans="3:3" x14ac:dyDescent="0.2">
      <c r="C1849" s="5"/>
    </row>
    <row r="1850" spans="3:3" x14ac:dyDescent="0.2">
      <c r="C1850" s="5"/>
    </row>
    <row r="1851" spans="3:3" x14ac:dyDescent="0.2">
      <c r="C1851" s="5"/>
    </row>
    <row r="1852" spans="3:3" x14ac:dyDescent="0.2">
      <c r="C1852" s="5"/>
    </row>
    <row r="1853" spans="3:3" x14ac:dyDescent="0.2">
      <c r="C1853" s="5"/>
    </row>
    <row r="1854" spans="3:3" x14ac:dyDescent="0.2">
      <c r="C1854" s="5"/>
    </row>
    <row r="1855" spans="3:3" x14ac:dyDescent="0.2">
      <c r="C1855" s="5"/>
    </row>
    <row r="1856" spans="3:3" x14ac:dyDescent="0.2">
      <c r="C1856" s="5"/>
    </row>
    <row r="1857" spans="3:3" x14ac:dyDescent="0.2">
      <c r="C1857" s="5"/>
    </row>
    <row r="1858" spans="3:3" x14ac:dyDescent="0.2">
      <c r="C1858" s="5"/>
    </row>
    <row r="1859" spans="3:3" x14ac:dyDescent="0.2">
      <c r="C1859" s="5"/>
    </row>
    <row r="1860" spans="3:3" x14ac:dyDescent="0.2">
      <c r="C1860" s="5"/>
    </row>
    <row r="1861" spans="3:3" x14ac:dyDescent="0.2">
      <c r="C1861" s="5"/>
    </row>
    <row r="1862" spans="3:3" x14ac:dyDescent="0.2">
      <c r="C1862" s="5"/>
    </row>
    <row r="1863" spans="3:3" x14ac:dyDescent="0.2">
      <c r="C1863" s="5"/>
    </row>
    <row r="1864" spans="3:3" x14ac:dyDescent="0.2">
      <c r="C1864" s="5"/>
    </row>
    <row r="1865" spans="3:3" x14ac:dyDescent="0.2">
      <c r="C1865" s="5"/>
    </row>
    <row r="1866" spans="3:3" x14ac:dyDescent="0.2">
      <c r="C1866" s="5"/>
    </row>
    <row r="1867" spans="3:3" x14ac:dyDescent="0.2">
      <c r="C1867" s="5"/>
    </row>
    <row r="1868" spans="3:3" x14ac:dyDescent="0.2">
      <c r="C1868" s="5"/>
    </row>
    <row r="1869" spans="3:3" x14ac:dyDescent="0.2">
      <c r="C1869" s="5"/>
    </row>
    <row r="1870" spans="3:3" x14ac:dyDescent="0.2">
      <c r="C1870" s="5"/>
    </row>
    <row r="1871" spans="3:3" x14ac:dyDescent="0.2">
      <c r="C1871" s="5"/>
    </row>
    <row r="1872" spans="3:3" x14ac:dyDescent="0.2">
      <c r="C1872" s="5"/>
    </row>
    <row r="1873" spans="3:3" x14ac:dyDescent="0.2">
      <c r="C1873" s="5"/>
    </row>
    <row r="1874" spans="3:3" x14ac:dyDescent="0.2">
      <c r="C1874" s="5"/>
    </row>
    <row r="1875" spans="3:3" x14ac:dyDescent="0.2">
      <c r="C1875" s="5"/>
    </row>
    <row r="1876" spans="3:3" x14ac:dyDescent="0.2">
      <c r="C1876" s="5"/>
    </row>
    <row r="1877" spans="3:3" x14ac:dyDescent="0.2">
      <c r="C1877" s="5"/>
    </row>
    <row r="1878" spans="3:3" x14ac:dyDescent="0.2">
      <c r="C1878" s="5"/>
    </row>
    <row r="1879" spans="3:3" x14ac:dyDescent="0.2">
      <c r="C1879" s="5"/>
    </row>
    <row r="1880" spans="3:3" x14ac:dyDescent="0.2">
      <c r="C1880" s="5"/>
    </row>
    <row r="1881" spans="3:3" x14ac:dyDescent="0.2">
      <c r="C1881" s="5"/>
    </row>
    <row r="1882" spans="3:3" x14ac:dyDescent="0.2">
      <c r="C1882" s="5"/>
    </row>
    <row r="1883" spans="3:3" x14ac:dyDescent="0.2">
      <c r="C1883" s="5"/>
    </row>
    <row r="1884" spans="3:3" x14ac:dyDescent="0.2">
      <c r="C1884" s="5"/>
    </row>
    <row r="1885" spans="3:3" x14ac:dyDescent="0.2">
      <c r="C1885" s="5"/>
    </row>
    <row r="1886" spans="3:3" x14ac:dyDescent="0.2">
      <c r="C1886" s="5"/>
    </row>
    <row r="1887" spans="3:3" x14ac:dyDescent="0.2">
      <c r="C1887" s="5"/>
    </row>
    <row r="1888" spans="3:3" x14ac:dyDescent="0.2">
      <c r="C1888" s="5"/>
    </row>
    <row r="1889" spans="3:3" x14ac:dyDescent="0.2">
      <c r="C1889" s="5"/>
    </row>
    <row r="1890" spans="3:3" x14ac:dyDescent="0.2">
      <c r="C1890" s="5"/>
    </row>
    <row r="1891" spans="3:3" x14ac:dyDescent="0.2">
      <c r="C1891" s="5"/>
    </row>
    <row r="1892" spans="3:3" x14ac:dyDescent="0.2">
      <c r="C1892" s="5"/>
    </row>
    <row r="1893" spans="3:3" x14ac:dyDescent="0.2">
      <c r="C1893" s="5"/>
    </row>
    <row r="1894" spans="3:3" x14ac:dyDescent="0.2">
      <c r="C1894" s="5"/>
    </row>
    <row r="1895" spans="3:3" x14ac:dyDescent="0.2">
      <c r="C1895" s="5"/>
    </row>
    <row r="1896" spans="3:3" x14ac:dyDescent="0.2">
      <c r="C1896" s="5"/>
    </row>
    <row r="1897" spans="3:3" x14ac:dyDescent="0.2">
      <c r="C1897" s="5"/>
    </row>
    <row r="1898" spans="3:3" x14ac:dyDescent="0.2">
      <c r="C1898" s="5"/>
    </row>
    <row r="1899" spans="3:3" x14ac:dyDescent="0.2">
      <c r="C1899" s="5"/>
    </row>
    <row r="1900" spans="3:3" x14ac:dyDescent="0.2">
      <c r="C1900" s="5"/>
    </row>
    <row r="1901" spans="3:3" x14ac:dyDescent="0.2">
      <c r="C1901" s="5"/>
    </row>
    <row r="1902" spans="3:3" x14ac:dyDescent="0.2">
      <c r="C1902" s="5"/>
    </row>
    <row r="1903" spans="3:3" x14ac:dyDescent="0.2">
      <c r="C1903" s="5"/>
    </row>
    <row r="1904" spans="3:3" x14ac:dyDescent="0.2">
      <c r="C1904" s="5"/>
    </row>
    <row r="1905" spans="3:3" x14ac:dyDescent="0.2">
      <c r="C1905" s="5"/>
    </row>
    <row r="1906" spans="3:3" x14ac:dyDescent="0.2">
      <c r="C1906" s="5"/>
    </row>
    <row r="1907" spans="3:3" x14ac:dyDescent="0.2">
      <c r="C1907" s="5"/>
    </row>
    <row r="1908" spans="3:3" x14ac:dyDescent="0.2">
      <c r="C1908" s="5"/>
    </row>
    <row r="1909" spans="3:3" x14ac:dyDescent="0.2">
      <c r="C1909" s="5"/>
    </row>
    <row r="1910" spans="3:3" x14ac:dyDescent="0.2">
      <c r="C1910" s="5"/>
    </row>
    <row r="1911" spans="3:3" x14ac:dyDescent="0.2">
      <c r="C1911" s="5"/>
    </row>
    <row r="1912" spans="3:3" x14ac:dyDescent="0.2">
      <c r="C1912" s="5"/>
    </row>
    <row r="1913" spans="3:3" x14ac:dyDescent="0.2">
      <c r="C1913" s="5"/>
    </row>
    <row r="1914" spans="3:3" x14ac:dyDescent="0.2">
      <c r="C1914" s="5"/>
    </row>
    <row r="1915" spans="3:3" x14ac:dyDescent="0.2">
      <c r="C1915" s="5"/>
    </row>
    <row r="1916" spans="3:3" x14ac:dyDescent="0.2">
      <c r="C1916" s="5"/>
    </row>
    <row r="1917" spans="3:3" x14ac:dyDescent="0.2">
      <c r="C1917" s="5"/>
    </row>
    <row r="1918" spans="3:3" x14ac:dyDescent="0.2">
      <c r="C1918" s="5"/>
    </row>
    <row r="1919" spans="3:3" x14ac:dyDescent="0.2">
      <c r="C1919" s="5"/>
    </row>
    <row r="1920" spans="3:3" x14ac:dyDescent="0.2">
      <c r="C1920" s="5"/>
    </row>
    <row r="1921" spans="3:3" x14ac:dyDescent="0.2">
      <c r="C1921" s="5"/>
    </row>
    <row r="1922" spans="3:3" x14ac:dyDescent="0.2">
      <c r="C1922" s="5"/>
    </row>
    <row r="1923" spans="3:3" x14ac:dyDescent="0.2">
      <c r="C1923" s="5"/>
    </row>
    <row r="1924" spans="3:3" x14ac:dyDescent="0.2">
      <c r="C1924" s="5"/>
    </row>
    <row r="1925" spans="3:3" x14ac:dyDescent="0.2">
      <c r="C1925" s="5"/>
    </row>
    <row r="1926" spans="3:3" x14ac:dyDescent="0.2">
      <c r="C1926" s="5"/>
    </row>
    <row r="1927" spans="3:3" x14ac:dyDescent="0.2">
      <c r="C1927" s="5"/>
    </row>
    <row r="1928" spans="3:3" x14ac:dyDescent="0.2">
      <c r="C1928" s="5"/>
    </row>
    <row r="1929" spans="3:3" x14ac:dyDescent="0.2">
      <c r="C1929" s="5"/>
    </row>
    <row r="1930" spans="3:3" x14ac:dyDescent="0.2">
      <c r="C1930" s="5"/>
    </row>
    <row r="1931" spans="3:3" x14ac:dyDescent="0.2">
      <c r="C1931" s="5"/>
    </row>
    <row r="1932" spans="3:3" x14ac:dyDescent="0.2">
      <c r="C1932" s="5"/>
    </row>
    <row r="1933" spans="3:3" x14ac:dyDescent="0.2">
      <c r="C1933" s="5"/>
    </row>
    <row r="1934" spans="3:3" x14ac:dyDescent="0.2">
      <c r="C1934" s="5"/>
    </row>
    <row r="1935" spans="3:3" x14ac:dyDescent="0.2">
      <c r="C1935" s="5"/>
    </row>
    <row r="1936" spans="3:3" x14ac:dyDescent="0.2">
      <c r="C1936" s="5"/>
    </row>
    <row r="1937" spans="3:3" x14ac:dyDescent="0.2">
      <c r="C1937" s="5"/>
    </row>
    <row r="1938" spans="3:3" x14ac:dyDescent="0.2">
      <c r="C1938" s="5"/>
    </row>
    <row r="1939" spans="3:3" x14ac:dyDescent="0.2">
      <c r="C1939" s="5"/>
    </row>
    <row r="1940" spans="3:3" x14ac:dyDescent="0.2">
      <c r="C1940" s="5"/>
    </row>
    <row r="1941" spans="3:3" x14ac:dyDescent="0.2">
      <c r="C1941" s="5"/>
    </row>
    <row r="1942" spans="3:3" x14ac:dyDescent="0.2">
      <c r="C1942" s="5"/>
    </row>
    <row r="1943" spans="3:3" x14ac:dyDescent="0.2">
      <c r="C1943" s="5"/>
    </row>
    <row r="1944" spans="3:3" x14ac:dyDescent="0.2">
      <c r="C1944" s="5"/>
    </row>
    <row r="1945" spans="3:3" x14ac:dyDescent="0.2">
      <c r="C1945" s="5"/>
    </row>
    <row r="1946" spans="3:3" x14ac:dyDescent="0.2">
      <c r="C1946" s="5"/>
    </row>
    <row r="1947" spans="3:3" x14ac:dyDescent="0.2">
      <c r="C1947" s="5"/>
    </row>
    <row r="1948" spans="3:3" x14ac:dyDescent="0.2">
      <c r="C1948" s="5"/>
    </row>
    <row r="1949" spans="3:3" x14ac:dyDescent="0.2">
      <c r="C1949" s="5"/>
    </row>
    <row r="1950" spans="3:3" x14ac:dyDescent="0.2">
      <c r="C1950" s="5"/>
    </row>
    <row r="1951" spans="3:3" x14ac:dyDescent="0.2">
      <c r="C1951" s="5"/>
    </row>
    <row r="1952" spans="3:3" x14ac:dyDescent="0.2">
      <c r="C1952" s="5"/>
    </row>
    <row r="1953" spans="3:3" x14ac:dyDescent="0.2">
      <c r="C1953" s="5"/>
    </row>
    <row r="1954" spans="3:3" x14ac:dyDescent="0.2">
      <c r="C1954" s="5"/>
    </row>
    <row r="1955" spans="3:3" x14ac:dyDescent="0.2">
      <c r="C1955" s="5"/>
    </row>
    <row r="1956" spans="3:3" x14ac:dyDescent="0.2">
      <c r="C1956" s="5"/>
    </row>
    <row r="1957" spans="3:3" x14ac:dyDescent="0.2">
      <c r="C1957" s="5"/>
    </row>
    <row r="1958" spans="3:3" x14ac:dyDescent="0.2">
      <c r="C1958" s="5"/>
    </row>
    <row r="1959" spans="3:3" x14ac:dyDescent="0.2">
      <c r="C1959" s="5"/>
    </row>
    <row r="1960" spans="3:3" x14ac:dyDescent="0.2">
      <c r="C1960" s="5"/>
    </row>
    <row r="1961" spans="3:3" x14ac:dyDescent="0.2">
      <c r="C1961" s="5"/>
    </row>
    <row r="1962" spans="3:3" x14ac:dyDescent="0.2">
      <c r="C1962" s="5"/>
    </row>
    <row r="1963" spans="3:3" x14ac:dyDescent="0.2">
      <c r="C1963" s="5"/>
    </row>
    <row r="1964" spans="3:3" x14ac:dyDescent="0.2">
      <c r="C1964" s="5"/>
    </row>
    <row r="1965" spans="3:3" x14ac:dyDescent="0.2">
      <c r="C1965" s="5"/>
    </row>
    <row r="1966" spans="3:3" x14ac:dyDescent="0.2">
      <c r="C1966" s="5"/>
    </row>
    <row r="1967" spans="3:3" x14ac:dyDescent="0.2">
      <c r="C1967" s="5"/>
    </row>
    <row r="1968" spans="3:3" x14ac:dyDescent="0.2">
      <c r="C1968" s="5"/>
    </row>
    <row r="1969" spans="3:3" x14ac:dyDescent="0.2">
      <c r="C1969" s="5"/>
    </row>
    <row r="1970" spans="3:3" x14ac:dyDescent="0.2">
      <c r="C1970" s="5"/>
    </row>
    <row r="1971" spans="3:3" x14ac:dyDescent="0.2">
      <c r="C1971" s="5"/>
    </row>
    <row r="1972" spans="3:3" x14ac:dyDescent="0.2">
      <c r="C1972" s="5"/>
    </row>
    <row r="1973" spans="3:3" x14ac:dyDescent="0.2">
      <c r="C1973" s="5"/>
    </row>
    <row r="1974" spans="3:3" x14ac:dyDescent="0.2">
      <c r="C1974" s="5"/>
    </row>
    <row r="1975" spans="3:3" x14ac:dyDescent="0.2">
      <c r="C1975" s="5"/>
    </row>
    <row r="1976" spans="3:3" x14ac:dyDescent="0.2">
      <c r="C1976" s="5"/>
    </row>
    <row r="1977" spans="3:3" x14ac:dyDescent="0.2">
      <c r="C1977" s="5"/>
    </row>
    <row r="1978" spans="3:3" x14ac:dyDescent="0.2">
      <c r="C1978" s="5"/>
    </row>
    <row r="1979" spans="3:3" x14ac:dyDescent="0.2">
      <c r="C1979" s="5"/>
    </row>
    <row r="1980" spans="3:3" x14ac:dyDescent="0.2">
      <c r="C1980" s="5"/>
    </row>
    <row r="1981" spans="3:3" x14ac:dyDescent="0.2">
      <c r="C1981" s="5"/>
    </row>
    <row r="1982" spans="3:3" x14ac:dyDescent="0.2">
      <c r="C1982" s="5"/>
    </row>
    <row r="1983" spans="3:3" x14ac:dyDescent="0.2">
      <c r="C1983" s="5"/>
    </row>
    <row r="1984" spans="3:3" x14ac:dyDescent="0.2">
      <c r="C1984" s="5"/>
    </row>
    <row r="1985" spans="3:3" x14ac:dyDescent="0.2">
      <c r="C1985" s="5"/>
    </row>
    <row r="1986" spans="3:3" x14ac:dyDescent="0.2">
      <c r="C1986" s="5"/>
    </row>
    <row r="1987" spans="3:3" x14ac:dyDescent="0.2">
      <c r="C1987" s="5"/>
    </row>
    <row r="1988" spans="3:3" x14ac:dyDescent="0.2">
      <c r="C1988" s="5"/>
    </row>
    <row r="1989" spans="3:3" x14ac:dyDescent="0.2">
      <c r="C1989" s="5"/>
    </row>
    <row r="1990" spans="3:3" x14ac:dyDescent="0.2">
      <c r="C1990" s="5"/>
    </row>
    <row r="1991" spans="3:3" x14ac:dyDescent="0.2">
      <c r="C1991" s="5"/>
    </row>
    <row r="1992" spans="3:3" x14ac:dyDescent="0.2">
      <c r="C1992" s="5"/>
    </row>
    <row r="1993" spans="3:3" x14ac:dyDescent="0.2">
      <c r="C1993" s="5"/>
    </row>
    <row r="1994" spans="3:3" x14ac:dyDescent="0.2">
      <c r="C1994" s="5"/>
    </row>
    <row r="1995" spans="3:3" x14ac:dyDescent="0.2">
      <c r="C1995" s="5"/>
    </row>
    <row r="1996" spans="3:3" x14ac:dyDescent="0.2">
      <c r="C1996" s="5"/>
    </row>
    <row r="1997" spans="3:3" x14ac:dyDescent="0.2">
      <c r="C1997" s="5"/>
    </row>
    <row r="1998" spans="3:3" x14ac:dyDescent="0.2">
      <c r="C1998" s="5"/>
    </row>
    <row r="1999" spans="3:3" x14ac:dyDescent="0.2">
      <c r="C1999" s="5"/>
    </row>
    <row r="2000" spans="3:3" x14ac:dyDescent="0.2">
      <c r="C2000" s="5"/>
    </row>
    <row r="2001" spans="3:3" x14ac:dyDescent="0.2">
      <c r="C2001" s="5"/>
    </row>
    <row r="2002" spans="3:3" x14ac:dyDescent="0.2">
      <c r="C2002" s="5"/>
    </row>
    <row r="2003" spans="3:3" x14ac:dyDescent="0.2">
      <c r="C2003" s="5"/>
    </row>
    <row r="2004" spans="3:3" x14ac:dyDescent="0.2">
      <c r="C2004" s="5"/>
    </row>
    <row r="2005" spans="3:3" x14ac:dyDescent="0.2">
      <c r="C2005" s="5"/>
    </row>
    <row r="2006" spans="3:3" x14ac:dyDescent="0.2">
      <c r="C2006" s="5"/>
    </row>
    <row r="2007" spans="3:3" x14ac:dyDescent="0.2">
      <c r="C2007" s="5"/>
    </row>
    <row r="2008" spans="3:3" x14ac:dyDescent="0.2">
      <c r="C2008" s="5"/>
    </row>
    <row r="2009" spans="3:3" x14ac:dyDescent="0.2">
      <c r="C2009" s="5"/>
    </row>
    <row r="2010" spans="3:3" x14ac:dyDescent="0.2">
      <c r="C2010" s="5"/>
    </row>
    <row r="2011" spans="3:3" x14ac:dyDescent="0.2">
      <c r="C2011" s="5"/>
    </row>
    <row r="2012" spans="3:3" x14ac:dyDescent="0.2">
      <c r="C2012" s="5"/>
    </row>
    <row r="2013" spans="3:3" x14ac:dyDescent="0.2">
      <c r="C2013" s="5"/>
    </row>
    <row r="2014" spans="3:3" x14ac:dyDescent="0.2">
      <c r="C2014" s="5"/>
    </row>
    <row r="2015" spans="3:3" x14ac:dyDescent="0.2">
      <c r="C2015" s="5"/>
    </row>
    <row r="2016" spans="3:3" x14ac:dyDescent="0.2">
      <c r="C2016" s="5"/>
    </row>
    <row r="2017" spans="3:3" x14ac:dyDescent="0.2">
      <c r="C2017" s="5"/>
    </row>
    <row r="2018" spans="3:3" x14ac:dyDescent="0.2">
      <c r="C2018" s="5"/>
    </row>
    <row r="2019" spans="3:3" x14ac:dyDescent="0.2">
      <c r="C2019" s="5"/>
    </row>
    <row r="2020" spans="3:3" x14ac:dyDescent="0.2">
      <c r="C2020" s="5"/>
    </row>
    <row r="2021" spans="3:3" x14ac:dyDescent="0.2">
      <c r="C2021" s="5"/>
    </row>
    <row r="2022" spans="3:3" x14ac:dyDescent="0.2">
      <c r="C2022" s="5"/>
    </row>
    <row r="2023" spans="3:3" x14ac:dyDescent="0.2">
      <c r="C2023" s="5"/>
    </row>
    <row r="2024" spans="3:3" x14ac:dyDescent="0.2">
      <c r="C2024" s="5"/>
    </row>
    <row r="2025" spans="3:3" x14ac:dyDescent="0.2">
      <c r="C2025" s="5"/>
    </row>
    <row r="2026" spans="3:3" x14ac:dyDescent="0.2">
      <c r="C2026" s="5"/>
    </row>
    <row r="2027" spans="3:3" x14ac:dyDescent="0.2">
      <c r="C2027" s="5"/>
    </row>
    <row r="2028" spans="3:3" x14ac:dyDescent="0.2">
      <c r="C2028" s="5"/>
    </row>
    <row r="2029" spans="3:3" x14ac:dyDescent="0.2">
      <c r="C2029" s="5"/>
    </row>
    <row r="2030" spans="3:3" x14ac:dyDescent="0.2">
      <c r="C2030" s="5"/>
    </row>
    <row r="2031" spans="3:3" x14ac:dyDescent="0.2">
      <c r="C2031" s="5"/>
    </row>
    <row r="2032" spans="3:3" x14ac:dyDescent="0.2">
      <c r="C2032" s="5"/>
    </row>
    <row r="2033" spans="3:3" x14ac:dyDescent="0.2">
      <c r="C2033" s="5"/>
    </row>
    <row r="2034" spans="3:3" x14ac:dyDescent="0.2">
      <c r="C2034" s="5"/>
    </row>
    <row r="2035" spans="3:3" x14ac:dyDescent="0.2">
      <c r="C2035" s="5"/>
    </row>
    <row r="2036" spans="3:3" x14ac:dyDescent="0.2">
      <c r="C2036" s="5"/>
    </row>
    <row r="2037" spans="3:3" x14ac:dyDescent="0.2">
      <c r="C2037" s="5"/>
    </row>
    <row r="2038" spans="3:3" x14ac:dyDescent="0.2">
      <c r="C2038" s="5"/>
    </row>
    <row r="2039" spans="3:3" x14ac:dyDescent="0.2">
      <c r="C2039" s="5"/>
    </row>
    <row r="2040" spans="3:3" x14ac:dyDescent="0.2">
      <c r="C2040" s="5"/>
    </row>
    <row r="2041" spans="3:3" x14ac:dyDescent="0.2">
      <c r="C2041" s="5"/>
    </row>
    <row r="2042" spans="3:3" x14ac:dyDescent="0.2">
      <c r="C2042" s="5"/>
    </row>
    <row r="2043" spans="3:3" x14ac:dyDescent="0.2">
      <c r="C2043" s="5"/>
    </row>
    <row r="2044" spans="3:3" x14ac:dyDescent="0.2">
      <c r="C2044" s="5"/>
    </row>
    <row r="2045" spans="3:3" x14ac:dyDescent="0.2">
      <c r="C2045" s="5"/>
    </row>
    <row r="2046" spans="3:3" x14ac:dyDescent="0.2">
      <c r="C2046" s="5"/>
    </row>
    <row r="2047" spans="3:3" x14ac:dyDescent="0.2">
      <c r="C2047" s="5"/>
    </row>
    <row r="2048" spans="3:3" x14ac:dyDescent="0.2">
      <c r="C2048" s="5"/>
    </row>
    <row r="2049" spans="3:3" x14ac:dyDescent="0.2">
      <c r="C2049" s="5"/>
    </row>
    <row r="2050" spans="3:3" x14ac:dyDescent="0.2">
      <c r="C2050" s="5"/>
    </row>
    <row r="2051" spans="3:3" x14ac:dyDescent="0.2">
      <c r="C2051" s="5"/>
    </row>
    <row r="2052" spans="3:3" x14ac:dyDescent="0.2">
      <c r="C2052" s="5"/>
    </row>
    <row r="2053" spans="3:3" x14ac:dyDescent="0.2">
      <c r="C2053" s="5"/>
    </row>
    <row r="2054" spans="3:3" x14ac:dyDescent="0.2">
      <c r="C2054" s="5"/>
    </row>
    <row r="2055" spans="3:3" x14ac:dyDescent="0.2">
      <c r="C2055" s="5"/>
    </row>
    <row r="2056" spans="3:3" x14ac:dyDescent="0.2">
      <c r="C2056" s="5"/>
    </row>
    <row r="2057" spans="3:3" x14ac:dyDescent="0.2">
      <c r="C2057" s="5"/>
    </row>
    <row r="2058" spans="3:3" x14ac:dyDescent="0.2">
      <c r="C2058" s="5"/>
    </row>
    <row r="2059" spans="3:3" x14ac:dyDescent="0.2">
      <c r="C2059" s="5"/>
    </row>
    <row r="2060" spans="3:3" x14ac:dyDescent="0.2">
      <c r="C2060" s="5"/>
    </row>
    <row r="2061" spans="3:3" x14ac:dyDescent="0.2">
      <c r="C2061" s="5"/>
    </row>
    <row r="2062" spans="3:3" x14ac:dyDescent="0.2">
      <c r="C2062" s="5"/>
    </row>
    <row r="2063" spans="3:3" x14ac:dyDescent="0.2">
      <c r="C2063" s="5"/>
    </row>
    <row r="2064" spans="3:3" x14ac:dyDescent="0.2">
      <c r="C2064" s="5"/>
    </row>
    <row r="2065" spans="3:3" x14ac:dyDescent="0.2">
      <c r="C2065" s="5"/>
    </row>
    <row r="2066" spans="3:3" x14ac:dyDescent="0.2">
      <c r="C2066" s="5"/>
    </row>
    <row r="2067" spans="3:3" x14ac:dyDescent="0.2">
      <c r="C2067" s="5"/>
    </row>
    <row r="2068" spans="3:3" x14ac:dyDescent="0.2">
      <c r="C2068" s="5"/>
    </row>
    <row r="2069" spans="3:3" x14ac:dyDescent="0.2">
      <c r="C2069" s="5"/>
    </row>
    <row r="2070" spans="3:3" x14ac:dyDescent="0.2">
      <c r="C2070" s="5"/>
    </row>
    <row r="2071" spans="3:3" x14ac:dyDescent="0.2">
      <c r="C2071" s="5"/>
    </row>
    <row r="2072" spans="3:3" x14ac:dyDescent="0.2">
      <c r="C2072" s="5"/>
    </row>
    <row r="2073" spans="3:3" x14ac:dyDescent="0.2">
      <c r="C2073" s="5"/>
    </row>
    <row r="2074" spans="3:3" x14ac:dyDescent="0.2">
      <c r="C2074" s="5"/>
    </row>
    <row r="2075" spans="3:3" x14ac:dyDescent="0.2">
      <c r="C2075" s="5"/>
    </row>
    <row r="2076" spans="3:3" x14ac:dyDescent="0.2">
      <c r="C2076" s="5"/>
    </row>
    <row r="2077" spans="3:3" x14ac:dyDescent="0.2">
      <c r="C2077" s="5"/>
    </row>
    <row r="2078" spans="3:3" x14ac:dyDescent="0.2">
      <c r="C2078" s="5"/>
    </row>
    <row r="2079" spans="3:3" x14ac:dyDescent="0.2">
      <c r="C2079" s="5"/>
    </row>
    <row r="2080" spans="3:3" x14ac:dyDescent="0.2">
      <c r="C2080" s="5"/>
    </row>
    <row r="2081" spans="3:3" x14ac:dyDescent="0.2">
      <c r="C2081" s="5"/>
    </row>
    <row r="2082" spans="3:3" x14ac:dyDescent="0.2">
      <c r="C2082" s="5"/>
    </row>
    <row r="2083" spans="3:3" x14ac:dyDescent="0.2">
      <c r="C2083" s="5"/>
    </row>
    <row r="2084" spans="3:3" x14ac:dyDescent="0.2">
      <c r="C2084" s="5"/>
    </row>
    <row r="2085" spans="3:3" x14ac:dyDescent="0.2">
      <c r="C2085" s="5"/>
    </row>
    <row r="2086" spans="3:3" x14ac:dyDescent="0.2">
      <c r="C2086" s="5"/>
    </row>
    <row r="2087" spans="3:3" x14ac:dyDescent="0.2">
      <c r="C2087" s="5"/>
    </row>
    <row r="2088" spans="3:3" x14ac:dyDescent="0.2">
      <c r="C2088" s="5"/>
    </row>
    <row r="2089" spans="3:3" x14ac:dyDescent="0.2">
      <c r="C2089" s="5"/>
    </row>
    <row r="2090" spans="3:3" x14ac:dyDescent="0.2">
      <c r="C2090" s="5"/>
    </row>
    <row r="2091" spans="3:3" x14ac:dyDescent="0.2">
      <c r="C2091" s="5"/>
    </row>
    <row r="2092" spans="3:3" x14ac:dyDescent="0.2">
      <c r="C2092" s="5"/>
    </row>
    <row r="2093" spans="3:3" x14ac:dyDescent="0.2">
      <c r="C2093" s="5"/>
    </row>
    <row r="2094" spans="3:3" x14ac:dyDescent="0.2">
      <c r="C2094" s="5"/>
    </row>
    <row r="2095" spans="3:3" x14ac:dyDescent="0.2">
      <c r="C2095" s="5"/>
    </row>
    <row r="2096" spans="3:3" x14ac:dyDescent="0.2">
      <c r="C2096" s="5"/>
    </row>
    <row r="2097" spans="3:3" x14ac:dyDescent="0.2">
      <c r="C2097" s="5"/>
    </row>
    <row r="2098" spans="3:3" x14ac:dyDescent="0.2">
      <c r="C2098" s="5"/>
    </row>
    <row r="2099" spans="3:3" x14ac:dyDescent="0.2">
      <c r="C2099" s="5"/>
    </row>
    <row r="2100" spans="3:3" x14ac:dyDescent="0.2">
      <c r="C2100" s="5"/>
    </row>
    <row r="2101" spans="3:3" x14ac:dyDescent="0.2">
      <c r="C2101" s="5"/>
    </row>
    <row r="2102" spans="3:3" x14ac:dyDescent="0.2">
      <c r="C2102" s="5"/>
    </row>
    <row r="2103" spans="3:3" x14ac:dyDescent="0.2">
      <c r="C2103" s="5"/>
    </row>
    <row r="2104" spans="3:3" x14ac:dyDescent="0.2">
      <c r="C2104" s="5"/>
    </row>
    <row r="2105" spans="3:3" x14ac:dyDescent="0.2">
      <c r="C2105" s="5"/>
    </row>
    <row r="2106" spans="3:3" x14ac:dyDescent="0.2">
      <c r="C2106" s="5"/>
    </row>
    <row r="2107" spans="3:3" x14ac:dyDescent="0.2">
      <c r="C2107" s="5"/>
    </row>
    <row r="2108" spans="3:3" x14ac:dyDescent="0.2">
      <c r="C2108" s="5"/>
    </row>
    <row r="2109" spans="3:3" x14ac:dyDescent="0.2">
      <c r="C2109" s="5"/>
    </row>
    <row r="2110" spans="3:3" x14ac:dyDescent="0.2">
      <c r="C2110" s="5"/>
    </row>
    <row r="2111" spans="3:3" x14ac:dyDescent="0.2">
      <c r="C2111" s="5"/>
    </row>
    <row r="2112" spans="3:3" x14ac:dyDescent="0.2">
      <c r="C2112" s="5"/>
    </row>
    <row r="2113" spans="3:3" x14ac:dyDescent="0.2">
      <c r="C2113" s="5"/>
    </row>
    <row r="2114" spans="3:3" x14ac:dyDescent="0.2">
      <c r="C2114" s="5"/>
    </row>
    <row r="2115" spans="3:3" x14ac:dyDescent="0.2">
      <c r="C2115" s="5"/>
    </row>
    <row r="2116" spans="3:3" x14ac:dyDescent="0.2">
      <c r="C2116" s="5"/>
    </row>
    <row r="2117" spans="3:3" x14ac:dyDescent="0.2">
      <c r="C2117" s="5"/>
    </row>
    <row r="2118" spans="3:3" x14ac:dyDescent="0.2">
      <c r="C2118" s="5"/>
    </row>
    <row r="2119" spans="3:3" x14ac:dyDescent="0.2">
      <c r="C2119" s="5"/>
    </row>
    <row r="2120" spans="3:3" x14ac:dyDescent="0.2">
      <c r="C2120" s="5"/>
    </row>
    <row r="2121" spans="3:3" x14ac:dyDescent="0.2">
      <c r="C2121" s="5"/>
    </row>
    <row r="2122" spans="3:3" x14ac:dyDescent="0.2">
      <c r="C2122" s="5"/>
    </row>
    <row r="2123" spans="3:3" x14ac:dyDescent="0.2">
      <c r="C2123" s="5"/>
    </row>
    <row r="2124" spans="3:3" x14ac:dyDescent="0.2">
      <c r="C2124" s="5"/>
    </row>
    <row r="2125" spans="3:3" x14ac:dyDescent="0.2">
      <c r="C2125" s="5"/>
    </row>
    <row r="2126" spans="3:3" x14ac:dyDescent="0.2">
      <c r="C2126" s="5"/>
    </row>
    <row r="2127" spans="3:3" x14ac:dyDescent="0.2">
      <c r="C2127" s="5"/>
    </row>
    <row r="2128" spans="3:3" x14ac:dyDescent="0.2">
      <c r="C2128" s="5"/>
    </row>
    <row r="2129" spans="3:3" x14ac:dyDescent="0.2">
      <c r="C2129" s="5"/>
    </row>
    <row r="2130" spans="3:3" x14ac:dyDescent="0.2">
      <c r="C2130" s="5"/>
    </row>
    <row r="2131" spans="3:3" x14ac:dyDescent="0.2">
      <c r="C2131" s="5"/>
    </row>
    <row r="2132" spans="3:3" x14ac:dyDescent="0.2">
      <c r="C2132" s="5"/>
    </row>
    <row r="2133" spans="3:3" x14ac:dyDescent="0.2">
      <c r="C2133" s="5"/>
    </row>
    <row r="2134" spans="3:3" x14ac:dyDescent="0.2">
      <c r="C2134" s="5"/>
    </row>
    <row r="2135" spans="3:3" x14ac:dyDescent="0.2">
      <c r="C2135" s="5"/>
    </row>
    <row r="2136" spans="3:3" x14ac:dyDescent="0.2">
      <c r="C2136" s="5"/>
    </row>
    <row r="2137" spans="3:3" x14ac:dyDescent="0.2">
      <c r="C2137" s="5"/>
    </row>
    <row r="2138" spans="3:3" x14ac:dyDescent="0.2">
      <c r="C2138" s="5"/>
    </row>
    <row r="2139" spans="3:3" x14ac:dyDescent="0.2">
      <c r="C2139" s="5"/>
    </row>
    <row r="2140" spans="3:3" x14ac:dyDescent="0.2">
      <c r="C2140" s="5"/>
    </row>
    <row r="2141" spans="3:3" x14ac:dyDescent="0.2">
      <c r="C2141" s="5"/>
    </row>
    <row r="2142" spans="3:3" x14ac:dyDescent="0.2">
      <c r="C2142" s="5"/>
    </row>
    <row r="2143" spans="3:3" x14ac:dyDescent="0.2">
      <c r="C2143" s="5"/>
    </row>
    <row r="2144" spans="3:3" x14ac:dyDescent="0.2">
      <c r="C2144" s="5"/>
    </row>
    <row r="2145" spans="3:3" x14ac:dyDescent="0.2">
      <c r="C2145" s="5"/>
    </row>
    <row r="2146" spans="3:3" x14ac:dyDescent="0.2">
      <c r="C2146" s="5"/>
    </row>
    <row r="2147" spans="3:3" x14ac:dyDescent="0.2">
      <c r="C2147" s="5"/>
    </row>
    <row r="2148" spans="3:3" x14ac:dyDescent="0.2">
      <c r="C2148" s="5"/>
    </row>
    <row r="2149" spans="3:3" x14ac:dyDescent="0.2">
      <c r="C2149" s="5"/>
    </row>
    <row r="2150" spans="3:3" x14ac:dyDescent="0.2">
      <c r="C2150" s="5"/>
    </row>
    <row r="2151" spans="3:3" x14ac:dyDescent="0.2">
      <c r="C2151" s="5"/>
    </row>
    <row r="2152" spans="3:3" x14ac:dyDescent="0.2">
      <c r="C2152" s="5"/>
    </row>
    <row r="2153" spans="3:3" x14ac:dyDescent="0.2">
      <c r="C2153" s="5"/>
    </row>
    <row r="2154" spans="3:3" x14ac:dyDescent="0.2">
      <c r="C2154" s="5"/>
    </row>
    <row r="2155" spans="3:3" x14ac:dyDescent="0.2">
      <c r="C2155" s="5"/>
    </row>
    <row r="2156" spans="3:3" x14ac:dyDescent="0.2">
      <c r="C2156" s="5"/>
    </row>
    <row r="2157" spans="3:3" x14ac:dyDescent="0.2">
      <c r="C2157" s="5"/>
    </row>
    <row r="2158" spans="3:3" x14ac:dyDescent="0.2">
      <c r="C2158" s="5"/>
    </row>
    <row r="2159" spans="3:3" x14ac:dyDescent="0.2">
      <c r="C2159" s="5"/>
    </row>
    <row r="2160" spans="3:3" x14ac:dyDescent="0.2">
      <c r="C2160" s="5"/>
    </row>
    <row r="2161" spans="3:3" x14ac:dyDescent="0.2">
      <c r="C2161" s="5"/>
    </row>
    <row r="2162" spans="3:3" x14ac:dyDescent="0.2">
      <c r="C2162" s="5"/>
    </row>
    <row r="2163" spans="3:3" x14ac:dyDescent="0.2">
      <c r="C2163" s="5"/>
    </row>
    <row r="2164" spans="3:3" x14ac:dyDescent="0.2">
      <c r="C2164" s="5"/>
    </row>
    <row r="2165" spans="3:3" x14ac:dyDescent="0.2">
      <c r="C2165" s="5"/>
    </row>
    <row r="2166" spans="3:3" x14ac:dyDescent="0.2">
      <c r="C2166" s="5"/>
    </row>
    <row r="2167" spans="3:3" x14ac:dyDescent="0.2">
      <c r="C2167" s="5"/>
    </row>
    <row r="2168" spans="3:3" x14ac:dyDescent="0.2">
      <c r="C2168" s="5"/>
    </row>
    <row r="2169" spans="3:3" x14ac:dyDescent="0.2">
      <c r="C2169" s="5"/>
    </row>
    <row r="2170" spans="3:3" x14ac:dyDescent="0.2">
      <c r="C2170" s="5"/>
    </row>
    <row r="2171" spans="3:3" x14ac:dyDescent="0.2">
      <c r="C2171" s="5"/>
    </row>
    <row r="2172" spans="3:3" x14ac:dyDescent="0.2">
      <c r="C2172" s="5"/>
    </row>
    <row r="2173" spans="3:3" x14ac:dyDescent="0.2">
      <c r="C2173" s="5"/>
    </row>
    <row r="2174" spans="3:3" x14ac:dyDescent="0.2">
      <c r="C2174" s="5"/>
    </row>
    <row r="2175" spans="3:3" x14ac:dyDescent="0.2">
      <c r="C2175" s="5"/>
    </row>
    <row r="2176" spans="3:3" x14ac:dyDescent="0.2">
      <c r="C2176" s="5"/>
    </row>
    <row r="2177" spans="3:3" x14ac:dyDescent="0.2">
      <c r="C2177" s="5"/>
    </row>
    <row r="2178" spans="3:3" x14ac:dyDescent="0.2">
      <c r="C2178" s="5"/>
    </row>
    <row r="2179" spans="3:3" x14ac:dyDescent="0.2">
      <c r="C2179" s="5"/>
    </row>
    <row r="2180" spans="3:3" x14ac:dyDescent="0.2">
      <c r="C2180" s="5"/>
    </row>
    <row r="2181" spans="3:3" x14ac:dyDescent="0.2">
      <c r="C2181" s="5"/>
    </row>
    <row r="2182" spans="3:3" x14ac:dyDescent="0.2">
      <c r="C2182" s="5"/>
    </row>
    <row r="2183" spans="3:3" x14ac:dyDescent="0.2">
      <c r="C2183" s="5"/>
    </row>
    <row r="2184" spans="3:3" x14ac:dyDescent="0.2">
      <c r="C2184" s="5"/>
    </row>
    <row r="2185" spans="3:3" x14ac:dyDescent="0.2">
      <c r="C2185" s="5"/>
    </row>
    <row r="2186" spans="3:3" x14ac:dyDescent="0.2">
      <c r="C2186" s="5"/>
    </row>
    <row r="2187" spans="3:3" x14ac:dyDescent="0.2">
      <c r="C2187" s="5"/>
    </row>
    <row r="2188" spans="3:3" x14ac:dyDescent="0.2">
      <c r="C2188" s="5"/>
    </row>
    <row r="2189" spans="3:3" x14ac:dyDescent="0.2">
      <c r="C2189" s="5"/>
    </row>
    <row r="2190" spans="3:3" x14ac:dyDescent="0.2">
      <c r="C2190" s="5"/>
    </row>
    <row r="2191" spans="3:3" x14ac:dyDescent="0.2">
      <c r="C2191" s="5"/>
    </row>
    <row r="2192" spans="3:3" x14ac:dyDescent="0.2">
      <c r="C2192" s="5"/>
    </row>
    <row r="2193" spans="3:3" x14ac:dyDescent="0.2">
      <c r="C2193" s="5"/>
    </row>
    <row r="2194" spans="3:3" x14ac:dyDescent="0.2">
      <c r="C2194" s="5"/>
    </row>
    <row r="2195" spans="3:3" x14ac:dyDescent="0.2">
      <c r="C2195" s="5"/>
    </row>
    <row r="2196" spans="3:3" x14ac:dyDescent="0.2">
      <c r="C2196" s="5"/>
    </row>
    <row r="2197" spans="3:3" x14ac:dyDescent="0.2">
      <c r="C2197" s="5"/>
    </row>
    <row r="2198" spans="3:3" x14ac:dyDescent="0.2">
      <c r="C2198" s="5"/>
    </row>
    <row r="2199" spans="3:3" x14ac:dyDescent="0.2">
      <c r="C2199" s="5"/>
    </row>
    <row r="2200" spans="3:3" x14ac:dyDescent="0.2">
      <c r="C2200" s="5"/>
    </row>
    <row r="2201" spans="3:3" x14ac:dyDescent="0.2">
      <c r="C2201" s="5"/>
    </row>
    <row r="2202" spans="3:3" x14ac:dyDescent="0.2">
      <c r="C2202" s="5"/>
    </row>
    <row r="2203" spans="3:3" x14ac:dyDescent="0.2">
      <c r="C2203" s="5"/>
    </row>
    <row r="2204" spans="3:3" x14ac:dyDescent="0.2">
      <c r="C2204" s="5"/>
    </row>
    <row r="2205" spans="3:3" x14ac:dyDescent="0.2">
      <c r="C2205" s="5"/>
    </row>
    <row r="2206" spans="3:3" x14ac:dyDescent="0.2">
      <c r="C2206" s="5"/>
    </row>
    <row r="2207" spans="3:3" x14ac:dyDescent="0.2">
      <c r="C2207" s="5"/>
    </row>
    <row r="2208" spans="3:3" x14ac:dyDescent="0.2">
      <c r="C2208" s="5"/>
    </row>
    <row r="2209" spans="3:3" x14ac:dyDescent="0.2">
      <c r="C2209" s="5"/>
    </row>
    <row r="2210" spans="3:3" x14ac:dyDescent="0.2">
      <c r="C2210" s="5"/>
    </row>
    <row r="2211" spans="3:3" x14ac:dyDescent="0.2">
      <c r="C2211" s="5"/>
    </row>
    <row r="2212" spans="3:3" x14ac:dyDescent="0.2">
      <c r="C2212" s="5"/>
    </row>
    <row r="2213" spans="3:3" x14ac:dyDescent="0.2">
      <c r="C2213" s="5"/>
    </row>
    <row r="2214" spans="3:3" x14ac:dyDescent="0.2">
      <c r="C2214" s="5"/>
    </row>
    <row r="2215" spans="3:3" x14ac:dyDescent="0.2">
      <c r="C2215" s="5"/>
    </row>
    <row r="2216" spans="3:3" x14ac:dyDescent="0.2">
      <c r="C2216" s="5"/>
    </row>
    <row r="2217" spans="3:3" x14ac:dyDescent="0.2">
      <c r="C2217" s="5"/>
    </row>
    <row r="2218" spans="3:3" x14ac:dyDescent="0.2">
      <c r="C2218" s="5"/>
    </row>
    <row r="2219" spans="3:3" x14ac:dyDescent="0.2">
      <c r="C2219" s="5"/>
    </row>
    <row r="2220" spans="3:3" x14ac:dyDescent="0.2">
      <c r="C2220" s="5"/>
    </row>
    <row r="2221" spans="3:3" x14ac:dyDescent="0.2">
      <c r="C2221" s="5"/>
    </row>
    <row r="2222" spans="3:3" x14ac:dyDescent="0.2">
      <c r="C2222" s="5"/>
    </row>
    <row r="2223" spans="3:3" x14ac:dyDescent="0.2">
      <c r="C2223" s="5"/>
    </row>
    <row r="2224" spans="3:3" x14ac:dyDescent="0.2">
      <c r="C2224" s="5"/>
    </row>
    <row r="2225" spans="3:3" x14ac:dyDescent="0.2">
      <c r="C2225" s="5"/>
    </row>
    <row r="2226" spans="3:3" x14ac:dyDescent="0.2">
      <c r="C2226" s="5"/>
    </row>
    <row r="2227" spans="3:3" x14ac:dyDescent="0.2">
      <c r="C2227" s="5"/>
    </row>
    <row r="2228" spans="3:3" x14ac:dyDescent="0.2">
      <c r="C2228" s="5"/>
    </row>
    <row r="2229" spans="3:3" x14ac:dyDescent="0.2">
      <c r="C2229" s="5"/>
    </row>
    <row r="2230" spans="3:3" x14ac:dyDescent="0.2">
      <c r="C2230" s="5"/>
    </row>
    <row r="2231" spans="3:3" x14ac:dyDescent="0.2">
      <c r="C2231" s="5"/>
    </row>
    <row r="2232" spans="3:3" x14ac:dyDescent="0.2">
      <c r="C2232" s="5"/>
    </row>
    <row r="2233" spans="3:3" x14ac:dyDescent="0.2">
      <c r="C2233" s="5"/>
    </row>
    <row r="2234" spans="3:3" x14ac:dyDescent="0.2">
      <c r="C2234" s="5"/>
    </row>
    <row r="2235" spans="3:3" x14ac:dyDescent="0.2">
      <c r="C2235" s="5"/>
    </row>
    <row r="2236" spans="3:3" x14ac:dyDescent="0.2">
      <c r="C2236" s="5"/>
    </row>
    <row r="2237" spans="3:3" x14ac:dyDescent="0.2">
      <c r="C2237" s="5"/>
    </row>
    <row r="2238" spans="3:3" x14ac:dyDescent="0.2">
      <c r="C2238" s="5"/>
    </row>
    <row r="2239" spans="3:3" x14ac:dyDescent="0.2">
      <c r="C2239" s="5"/>
    </row>
    <row r="2240" spans="3:3" x14ac:dyDescent="0.2">
      <c r="C2240" s="5"/>
    </row>
    <row r="2241" spans="3:3" x14ac:dyDescent="0.2">
      <c r="C2241" s="5"/>
    </row>
    <row r="2242" spans="3:3" x14ac:dyDescent="0.2">
      <c r="C2242" s="5"/>
    </row>
    <row r="2243" spans="3:3" x14ac:dyDescent="0.2">
      <c r="C2243" s="5"/>
    </row>
    <row r="2244" spans="3:3" x14ac:dyDescent="0.2">
      <c r="C2244" s="5"/>
    </row>
    <row r="2245" spans="3:3" x14ac:dyDescent="0.2">
      <c r="C2245" s="5"/>
    </row>
    <row r="2246" spans="3:3" x14ac:dyDescent="0.2">
      <c r="C2246" s="5"/>
    </row>
    <row r="2247" spans="3:3" x14ac:dyDescent="0.2">
      <c r="C2247" s="5"/>
    </row>
    <row r="2248" spans="3:3" x14ac:dyDescent="0.2">
      <c r="C2248" s="5"/>
    </row>
    <row r="2249" spans="3:3" x14ac:dyDescent="0.2">
      <c r="C2249" s="5"/>
    </row>
    <row r="2250" spans="3:3" x14ac:dyDescent="0.2">
      <c r="C2250" s="5"/>
    </row>
    <row r="2251" spans="3:3" x14ac:dyDescent="0.2">
      <c r="C2251" s="5"/>
    </row>
    <row r="2252" spans="3:3" x14ac:dyDescent="0.2">
      <c r="C2252" s="5"/>
    </row>
    <row r="2253" spans="3:3" x14ac:dyDescent="0.2">
      <c r="C2253" s="5"/>
    </row>
    <row r="2254" spans="3:3" x14ac:dyDescent="0.2">
      <c r="C2254" s="5"/>
    </row>
    <row r="2255" spans="3:3" x14ac:dyDescent="0.2">
      <c r="C2255" s="5"/>
    </row>
    <row r="2256" spans="3:3" x14ac:dyDescent="0.2">
      <c r="C2256" s="5"/>
    </row>
    <row r="2257" spans="3:3" x14ac:dyDescent="0.2">
      <c r="C2257" s="5"/>
    </row>
    <row r="2258" spans="3:3" x14ac:dyDescent="0.2">
      <c r="C2258" s="5"/>
    </row>
    <row r="2259" spans="3:3" x14ac:dyDescent="0.2">
      <c r="C2259" s="5"/>
    </row>
    <row r="2260" spans="3:3" x14ac:dyDescent="0.2">
      <c r="C2260" s="5"/>
    </row>
    <row r="2261" spans="3:3" x14ac:dyDescent="0.2">
      <c r="C2261" s="5"/>
    </row>
    <row r="2262" spans="3:3" x14ac:dyDescent="0.2">
      <c r="C2262" s="5"/>
    </row>
    <row r="2263" spans="3:3" x14ac:dyDescent="0.2">
      <c r="C2263" s="5"/>
    </row>
    <row r="2264" spans="3:3" x14ac:dyDescent="0.2">
      <c r="C2264" s="5"/>
    </row>
    <row r="2265" spans="3:3" x14ac:dyDescent="0.2">
      <c r="C2265" s="5"/>
    </row>
    <row r="2266" spans="3:3" x14ac:dyDescent="0.2">
      <c r="C2266" s="5"/>
    </row>
    <row r="2267" spans="3:3" x14ac:dyDescent="0.2">
      <c r="C2267" s="5"/>
    </row>
    <row r="2268" spans="3:3" x14ac:dyDescent="0.2">
      <c r="C2268" s="5"/>
    </row>
    <row r="2269" spans="3:3" x14ac:dyDescent="0.2">
      <c r="C2269" s="5"/>
    </row>
    <row r="2270" spans="3:3" x14ac:dyDescent="0.2">
      <c r="C2270" s="5"/>
    </row>
    <row r="2271" spans="3:3" x14ac:dyDescent="0.2">
      <c r="C2271" s="5"/>
    </row>
    <row r="2272" spans="3:3" x14ac:dyDescent="0.2">
      <c r="C2272" s="5"/>
    </row>
    <row r="2273" spans="3:3" x14ac:dyDescent="0.2">
      <c r="C2273" s="5"/>
    </row>
    <row r="2274" spans="3:3" x14ac:dyDescent="0.2">
      <c r="C2274" s="5"/>
    </row>
    <row r="2275" spans="3:3" x14ac:dyDescent="0.2">
      <c r="C2275" s="5"/>
    </row>
    <row r="2276" spans="3:3" x14ac:dyDescent="0.2">
      <c r="C2276" s="5"/>
    </row>
    <row r="2277" spans="3:3" x14ac:dyDescent="0.2">
      <c r="C2277" s="5"/>
    </row>
    <row r="2278" spans="3:3" x14ac:dyDescent="0.2">
      <c r="C2278" s="5"/>
    </row>
    <row r="2279" spans="3:3" x14ac:dyDescent="0.2">
      <c r="C2279" s="5"/>
    </row>
    <row r="2280" spans="3:3" x14ac:dyDescent="0.2">
      <c r="C2280" s="5"/>
    </row>
    <row r="2281" spans="3:3" x14ac:dyDescent="0.2">
      <c r="C2281" s="5"/>
    </row>
    <row r="2282" spans="3:3" x14ac:dyDescent="0.2">
      <c r="C2282" s="5"/>
    </row>
    <row r="2283" spans="3:3" x14ac:dyDescent="0.2">
      <c r="C2283" s="5"/>
    </row>
    <row r="2284" spans="3:3" x14ac:dyDescent="0.2">
      <c r="C2284" s="5"/>
    </row>
    <row r="2285" spans="3:3" x14ac:dyDescent="0.2">
      <c r="C2285" s="5"/>
    </row>
    <row r="2286" spans="3:3" x14ac:dyDescent="0.2">
      <c r="C2286" s="5"/>
    </row>
    <row r="2287" spans="3:3" x14ac:dyDescent="0.2">
      <c r="C2287" s="5"/>
    </row>
    <row r="2288" spans="3:3" x14ac:dyDescent="0.2">
      <c r="C2288" s="5"/>
    </row>
    <row r="2289" spans="3:3" x14ac:dyDescent="0.2">
      <c r="C2289" s="5"/>
    </row>
    <row r="2290" spans="3:3" x14ac:dyDescent="0.2">
      <c r="C2290" s="5"/>
    </row>
    <row r="2291" spans="3:3" x14ac:dyDescent="0.2">
      <c r="C2291" s="5"/>
    </row>
    <row r="2292" spans="3:3" x14ac:dyDescent="0.2">
      <c r="C2292" s="5"/>
    </row>
    <row r="2293" spans="3:3" x14ac:dyDescent="0.2">
      <c r="C2293" s="5"/>
    </row>
    <row r="2294" spans="3:3" x14ac:dyDescent="0.2">
      <c r="C2294" s="5"/>
    </row>
    <row r="2295" spans="3:3" x14ac:dyDescent="0.2">
      <c r="C2295" s="5"/>
    </row>
    <row r="2296" spans="3:3" x14ac:dyDescent="0.2">
      <c r="C2296" s="5"/>
    </row>
    <row r="2297" spans="3:3" x14ac:dyDescent="0.2">
      <c r="C2297" s="5"/>
    </row>
    <row r="2298" spans="3:3" x14ac:dyDescent="0.2">
      <c r="C2298" s="5"/>
    </row>
    <row r="2299" spans="3:3" x14ac:dyDescent="0.2">
      <c r="C2299" s="5"/>
    </row>
    <row r="2300" spans="3:3" x14ac:dyDescent="0.2">
      <c r="C2300" s="5"/>
    </row>
    <row r="2301" spans="3:3" x14ac:dyDescent="0.2">
      <c r="C2301" s="5"/>
    </row>
    <row r="2302" spans="3:3" x14ac:dyDescent="0.2">
      <c r="C2302" s="5"/>
    </row>
    <row r="2303" spans="3:3" x14ac:dyDescent="0.2">
      <c r="C2303" s="5"/>
    </row>
    <row r="2304" spans="3:3" x14ac:dyDescent="0.2">
      <c r="C2304" s="5"/>
    </row>
    <row r="2305" spans="3:3" x14ac:dyDescent="0.2">
      <c r="C2305" s="5"/>
    </row>
    <row r="2306" spans="3:3" x14ac:dyDescent="0.2">
      <c r="C2306" s="5"/>
    </row>
    <row r="2307" spans="3:3" x14ac:dyDescent="0.2">
      <c r="C2307" s="5"/>
    </row>
    <row r="2308" spans="3:3" x14ac:dyDescent="0.2">
      <c r="C2308" s="5"/>
    </row>
    <row r="2309" spans="3:3" x14ac:dyDescent="0.2">
      <c r="C2309" s="5"/>
    </row>
    <row r="2310" spans="3:3" x14ac:dyDescent="0.2">
      <c r="C2310" s="5"/>
    </row>
    <row r="2311" spans="3:3" x14ac:dyDescent="0.2">
      <c r="C2311" s="5"/>
    </row>
    <row r="2312" spans="3:3" x14ac:dyDescent="0.2">
      <c r="C2312" s="5"/>
    </row>
    <row r="2313" spans="3:3" x14ac:dyDescent="0.2">
      <c r="C2313" s="5"/>
    </row>
    <row r="2314" spans="3:3" x14ac:dyDescent="0.2">
      <c r="C2314" s="5"/>
    </row>
    <row r="2315" spans="3:3" x14ac:dyDescent="0.2">
      <c r="C2315" s="5"/>
    </row>
    <row r="2316" spans="3:3" x14ac:dyDescent="0.2">
      <c r="C2316" s="5"/>
    </row>
    <row r="2317" spans="3:3" x14ac:dyDescent="0.2">
      <c r="C2317" s="5"/>
    </row>
    <row r="2318" spans="3:3" x14ac:dyDescent="0.2">
      <c r="C2318" s="5"/>
    </row>
    <row r="2319" spans="3:3" x14ac:dyDescent="0.2">
      <c r="C2319" s="5"/>
    </row>
    <row r="2320" spans="3:3" x14ac:dyDescent="0.2">
      <c r="C2320" s="5"/>
    </row>
    <row r="2321" spans="3:3" x14ac:dyDescent="0.2">
      <c r="C2321" s="5"/>
    </row>
    <row r="2322" spans="3:3" x14ac:dyDescent="0.2">
      <c r="C2322" s="5"/>
    </row>
    <row r="2323" spans="3:3" x14ac:dyDescent="0.2">
      <c r="C2323" s="5"/>
    </row>
    <row r="2324" spans="3:3" x14ac:dyDescent="0.2">
      <c r="C2324" s="5"/>
    </row>
    <row r="2325" spans="3:3" x14ac:dyDescent="0.2">
      <c r="C2325" s="5"/>
    </row>
    <row r="2326" spans="3:3" x14ac:dyDescent="0.2">
      <c r="C2326" s="5"/>
    </row>
    <row r="2327" spans="3:3" x14ac:dyDescent="0.2">
      <c r="C2327" s="5"/>
    </row>
    <row r="2328" spans="3:3" x14ac:dyDescent="0.2">
      <c r="C2328" s="5"/>
    </row>
    <row r="2329" spans="3:3" x14ac:dyDescent="0.2">
      <c r="C2329" s="5"/>
    </row>
    <row r="2330" spans="3:3" x14ac:dyDescent="0.2">
      <c r="C2330" s="5"/>
    </row>
    <row r="2331" spans="3:3" x14ac:dyDescent="0.2">
      <c r="C2331" s="5"/>
    </row>
    <row r="2332" spans="3:3" x14ac:dyDescent="0.2">
      <c r="C2332" s="5"/>
    </row>
    <row r="2333" spans="3:3" x14ac:dyDescent="0.2">
      <c r="C2333" s="5"/>
    </row>
    <row r="2334" spans="3:3" x14ac:dyDescent="0.2">
      <c r="C2334" s="5"/>
    </row>
    <row r="2335" spans="3:3" x14ac:dyDescent="0.2">
      <c r="C2335" s="5"/>
    </row>
    <row r="2336" spans="3:3" x14ac:dyDescent="0.2">
      <c r="C2336" s="5"/>
    </row>
    <row r="2337" spans="3:3" x14ac:dyDescent="0.2">
      <c r="C2337" s="5"/>
    </row>
    <row r="2338" spans="3:3" x14ac:dyDescent="0.2">
      <c r="C2338" s="5"/>
    </row>
    <row r="2339" spans="3:3" x14ac:dyDescent="0.2">
      <c r="C2339" s="5"/>
    </row>
    <row r="2340" spans="3:3" x14ac:dyDescent="0.2">
      <c r="C2340" s="5"/>
    </row>
    <row r="2341" spans="3:3" x14ac:dyDescent="0.2">
      <c r="C2341" s="5"/>
    </row>
    <row r="2342" spans="3:3" x14ac:dyDescent="0.2">
      <c r="C2342" s="5"/>
    </row>
    <row r="2343" spans="3:3" x14ac:dyDescent="0.2">
      <c r="C2343" s="5"/>
    </row>
    <row r="2344" spans="3:3" x14ac:dyDescent="0.2">
      <c r="C2344" s="5"/>
    </row>
    <row r="2345" spans="3:3" x14ac:dyDescent="0.2">
      <c r="C2345" s="5"/>
    </row>
    <row r="2346" spans="3:3" x14ac:dyDescent="0.2">
      <c r="C2346" s="5"/>
    </row>
    <row r="2347" spans="3:3" x14ac:dyDescent="0.2">
      <c r="C2347" s="5"/>
    </row>
    <row r="2348" spans="3:3" x14ac:dyDescent="0.2">
      <c r="C2348" s="5"/>
    </row>
    <row r="2349" spans="3:3" x14ac:dyDescent="0.2">
      <c r="C2349" s="5"/>
    </row>
    <row r="2350" spans="3:3" x14ac:dyDescent="0.2">
      <c r="C2350" s="5"/>
    </row>
    <row r="2351" spans="3:3" x14ac:dyDescent="0.2">
      <c r="C2351" s="5"/>
    </row>
    <row r="2352" spans="3:3" x14ac:dyDescent="0.2">
      <c r="C2352" s="5"/>
    </row>
    <row r="2353" spans="3:3" x14ac:dyDescent="0.2">
      <c r="C2353" s="5"/>
    </row>
    <row r="2354" spans="3:3" x14ac:dyDescent="0.2">
      <c r="C2354" s="5"/>
    </row>
    <row r="2355" spans="3:3" x14ac:dyDescent="0.2">
      <c r="C2355" s="5"/>
    </row>
    <row r="2356" spans="3:3" x14ac:dyDescent="0.2">
      <c r="C2356" s="5"/>
    </row>
    <row r="2357" spans="3:3" x14ac:dyDescent="0.2">
      <c r="C2357" s="5"/>
    </row>
    <row r="2358" spans="3:3" x14ac:dyDescent="0.2">
      <c r="C2358" s="5"/>
    </row>
    <row r="2359" spans="3:3" x14ac:dyDescent="0.2">
      <c r="C2359" s="5"/>
    </row>
    <row r="2360" spans="3:3" x14ac:dyDescent="0.2">
      <c r="C2360" s="5"/>
    </row>
    <row r="2361" spans="3:3" x14ac:dyDescent="0.2">
      <c r="C2361" s="5"/>
    </row>
    <row r="2362" spans="3:3" x14ac:dyDescent="0.2">
      <c r="C2362" s="5"/>
    </row>
    <row r="2363" spans="3:3" x14ac:dyDescent="0.2">
      <c r="C2363" s="5"/>
    </row>
    <row r="2364" spans="3:3" x14ac:dyDescent="0.2">
      <c r="C2364" s="5"/>
    </row>
    <row r="2365" spans="3:3" x14ac:dyDescent="0.2">
      <c r="C2365" s="5"/>
    </row>
    <row r="2366" spans="3:3" x14ac:dyDescent="0.2">
      <c r="C2366" s="5"/>
    </row>
    <row r="2367" spans="3:3" x14ac:dyDescent="0.2">
      <c r="C2367" s="5"/>
    </row>
    <row r="2368" spans="3:3" x14ac:dyDescent="0.2">
      <c r="C2368" s="5"/>
    </row>
    <row r="2369" spans="3:3" x14ac:dyDescent="0.2">
      <c r="C2369" s="5"/>
    </row>
    <row r="2370" spans="3:3" x14ac:dyDescent="0.2">
      <c r="C2370" s="5"/>
    </row>
    <row r="2371" spans="3:3" x14ac:dyDescent="0.2">
      <c r="C2371" s="5"/>
    </row>
    <row r="2372" spans="3:3" x14ac:dyDescent="0.2">
      <c r="C2372" s="5"/>
    </row>
    <row r="2373" spans="3:3" x14ac:dyDescent="0.2">
      <c r="C2373" s="5"/>
    </row>
    <row r="2374" spans="3:3" x14ac:dyDescent="0.2">
      <c r="C2374" s="5"/>
    </row>
    <row r="2375" spans="3:3" x14ac:dyDescent="0.2">
      <c r="C2375" s="5"/>
    </row>
    <row r="2376" spans="3:3" x14ac:dyDescent="0.2">
      <c r="C2376" s="5"/>
    </row>
    <row r="2377" spans="3:3" x14ac:dyDescent="0.2">
      <c r="C2377" s="5"/>
    </row>
    <row r="2378" spans="3:3" x14ac:dyDescent="0.2">
      <c r="C2378" s="5"/>
    </row>
    <row r="2379" spans="3:3" x14ac:dyDescent="0.2">
      <c r="C2379" s="5"/>
    </row>
    <row r="2380" spans="3:3" x14ac:dyDescent="0.2">
      <c r="C2380" s="5"/>
    </row>
    <row r="2381" spans="3:3" x14ac:dyDescent="0.2">
      <c r="C2381" s="5"/>
    </row>
    <row r="2382" spans="3:3" x14ac:dyDescent="0.2">
      <c r="C2382" s="5"/>
    </row>
    <row r="2383" spans="3:3" x14ac:dyDescent="0.2">
      <c r="C2383" s="5"/>
    </row>
    <row r="2384" spans="3:3" x14ac:dyDescent="0.2">
      <c r="C2384" s="5"/>
    </row>
    <row r="2385" spans="3:3" x14ac:dyDescent="0.2">
      <c r="C2385" s="5"/>
    </row>
    <row r="2386" spans="3:3" x14ac:dyDescent="0.2">
      <c r="C2386" s="5"/>
    </row>
    <row r="2387" spans="3:3" x14ac:dyDescent="0.2">
      <c r="C2387" s="5"/>
    </row>
    <row r="2388" spans="3:3" x14ac:dyDescent="0.2">
      <c r="C2388" s="5"/>
    </row>
    <row r="2389" spans="3:3" x14ac:dyDescent="0.2">
      <c r="C2389" s="5"/>
    </row>
    <row r="2390" spans="3:3" x14ac:dyDescent="0.2">
      <c r="C2390" s="5"/>
    </row>
    <row r="2391" spans="3:3" x14ac:dyDescent="0.2">
      <c r="C2391" s="5"/>
    </row>
    <row r="2392" spans="3:3" x14ac:dyDescent="0.2">
      <c r="C2392" s="5"/>
    </row>
    <row r="2393" spans="3:3" x14ac:dyDescent="0.2">
      <c r="C2393" s="5"/>
    </row>
    <row r="2394" spans="3:3" x14ac:dyDescent="0.2">
      <c r="C2394" s="5"/>
    </row>
    <row r="2395" spans="3:3" x14ac:dyDescent="0.2">
      <c r="C2395" s="5"/>
    </row>
    <row r="2396" spans="3:3" x14ac:dyDescent="0.2">
      <c r="C2396" s="5"/>
    </row>
    <row r="2397" spans="3:3" x14ac:dyDescent="0.2">
      <c r="C2397" s="5"/>
    </row>
    <row r="2398" spans="3:3" x14ac:dyDescent="0.2">
      <c r="C2398" s="5"/>
    </row>
    <row r="2399" spans="3:3" x14ac:dyDescent="0.2">
      <c r="C2399" s="5"/>
    </row>
    <row r="2400" spans="3:3" x14ac:dyDescent="0.2">
      <c r="C2400" s="5"/>
    </row>
    <row r="2401" spans="3:3" x14ac:dyDescent="0.2">
      <c r="C2401" s="5"/>
    </row>
    <row r="2402" spans="3:3" x14ac:dyDescent="0.2">
      <c r="C2402" s="5"/>
    </row>
    <row r="2403" spans="3:3" x14ac:dyDescent="0.2">
      <c r="C2403" s="5"/>
    </row>
    <row r="2404" spans="3:3" x14ac:dyDescent="0.2">
      <c r="C2404" s="5"/>
    </row>
    <row r="2405" spans="3:3" x14ac:dyDescent="0.2">
      <c r="C2405" s="5"/>
    </row>
    <row r="2406" spans="3:3" x14ac:dyDescent="0.2">
      <c r="C2406" s="5"/>
    </row>
    <row r="2407" spans="3:3" x14ac:dyDescent="0.2">
      <c r="C2407" s="5"/>
    </row>
    <row r="2408" spans="3:3" x14ac:dyDescent="0.2">
      <c r="C2408" s="5"/>
    </row>
    <row r="2409" spans="3:3" x14ac:dyDescent="0.2">
      <c r="C2409" s="5"/>
    </row>
    <row r="2410" spans="3:3" x14ac:dyDescent="0.2">
      <c r="C2410" s="5"/>
    </row>
    <row r="2411" spans="3:3" x14ac:dyDescent="0.2">
      <c r="C2411" s="5"/>
    </row>
    <row r="2412" spans="3:3" x14ac:dyDescent="0.2">
      <c r="C2412" s="5"/>
    </row>
    <row r="2413" spans="3:3" x14ac:dyDescent="0.2">
      <c r="C2413" s="5"/>
    </row>
    <row r="2414" spans="3:3" x14ac:dyDescent="0.2">
      <c r="C2414" s="5"/>
    </row>
    <row r="2415" spans="3:3" x14ac:dyDescent="0.2">
      <c r="C2415" s="5"/>
    </row>
    <row r="2416" spans="3:3" x14ac:dyDescent="0.2">
      <c r="C2416" s="5"/>
    </row>
    <row r="2417" spans="3:3" x14ac:dyDescent="0.2">
      <c r="C2417" s="5"/>
    </row>
    <row r="2418" spans="3:3" x14ac:dyDescent="0.2">
      <c r="C2418" s="5"/>
    </row>
    <row r="2419" spans="3:3" x14ac:dyDescent="0.2">
      <c r="C2419" s="5"/>
    </row>
    <row r="2420" spans="3:3" x14ac:dyDescent="0.2">
      <c r="C2420" s="5"/>
    </row>
    <row r="2421" spans="3:3" x14ac:dyDescent="0.2">
      <c r="C2421" s="5"/>
    </row>
    <row r="2422" spans="3:3" x14ac:dyDescent="0.2">
      <c r="C2422" s="5"/>
    </row>
    <row r="2423" spans="3:3" x14ac:dyDescent="0.2">
      <c r="C2423" s="5"/>
    </row>
    <row r="2424" spans="3:3" x14ac:dyDescent="0.2">
      <c r="C2424" s="5"/>
    </row>
    <row r="2425" spans="3:3" x14ac:dyDescent="0.2">
      <c r="C2425" s="5"/>
    </row>
    <row r="2426" spans="3:3" x14ac:dyDescent="0.2">
      <c r="C2426" s="5"/>
    </row>
    <row r="2427" spans="3:3" x14ac:dyDescent="0.2">
      <c r="C2427" s="5"/>
    </row>
    <row r="2428" spans="3:3" x14ac:dyDescent="0.2">
      <c r="C2428" s="5"/>
    </row>
    <row r="2429" spans="3:3" x14ac:dyDescent="0.2">
      <c r="C2429" s="5"/>
    </row>
    <row r="2430" spans="3:3" x14ac:dyDescent="0.2">
      <c r="C2430" s="5"/>
    </row>
    <row r="2431" spans="3:3" x14ac:dyDescent="0.2">
      <c r="C2431" s="5"/>
    </row>
    <row r="2432" spans="3:3" x14ac:dyDescent="0.2">
      <c r="C2432" s="5"/>
    </row>
    <row r="2433" spans="3:3" x14ac:dyDescent="0.2">
      <c r="C2433" s="5"/>
    </row>
    <row r="2434" spans="3:3" x14ac:dyDescent="0.2">
      <c r="C2434" s="5"/>
    </row>
    <row r="2435" spans="3:3" x14ac:dyDescent="0.2">
      <c r="C2435" s="5"/>
    </row>
    <row r="2436" spans="3:3" x14ac:dyDescent="0.2">
      <c r="C2436" s="5"/>
    </row>
    <row r="2437" spans="3:3" x14ac:dyDescent="0.2">
      <c r="C2437" s="5"/>
    </row>
    <row r="2438" spans="3:3" x14ac:dyDescent="0.2">
      <c r="C2438" s="5"/>
    </row>
    <row r="2439" spans="3:3" x14ac:dyDescent="0.2">
      <c r="C2439" s="5"/>
    </row>
    <row r="2440" spans="3:3" x14ac:dyDescent="0.2">
      <c r="C2440" s="5"/>
    </row>
    <row r="2441" spans="3:3" x14ac:dyDescent="0.2">
      <c r="C2441" s="5"/>
    </row>
    <row r="2442" spans="3:3" x14ac:dyDescent="0.2">
      <c r="C2442" s="5"/>
    </row>
    <row r="2443" spans="3:3" x14ac:dyDescent="0.2">
      <c r="C2443" s="5"/>
    </row>
    <row r="2444" spans="3:3" x14ac:dyDescent="0.2">
      <c r="C2444" s="5"/>
    </row>
    <row r="2445" spans="3:3" x14ac:dyDescent="0.2">
      <c r="C2445" s="5"/>
    </row>
    <row r="2446" spans="3:3" x14ac:dyDescent="0.2">
      <c r="C2446" s="5"/>
    </row>
    <row r="2447" spans="3:3" x14ac:dyDescent="0.2">
      <c r="C2447" s="5"/>
    </row>
    <row r="2448" spans="3:3" x14ac:dyDescent="0.2">
      <c r="C2448" s="5"/>
    </row>
    <row r="2449" spans="3:3" x14ac:dyDescent="0.2">
      <c r="C2449" s="5"/>
    </row>
    <row r="2450" spans="3:3" x14ac:dyDescent="0.2">
      <c r="C2450" s="5"/>
    </row>
    <row r="2451" spans="3:3" x14ac:dyDescent="0.2">
      <c r="C2451" s="5"/>
    </row>
    <row r="2452" spans="3:3" x14ac:dyDescent="0.2">
      <c r="C2452" s="5"/>
    </row>
    <row r="2453" spans="3:3" x14ac:dyDescent="0.2">
      <c r="C2453" s="5"/>
    </row>
    <row r="2454" spans="3:3" x14ac:dyDescent="0.2">
      <c r="C2454" s="5"/>
    </row>
    <row r="2455" spans="3:3" x14ac:dyDescent="0.2">
      <c r="C2455" s="5"/>
    </row>
    <row r="2456" spans="3:3" x14ac:dyDescent="0.2">
      <c r="C2456" s="5"/>
    </row>
    <row r="2457" spans="3:3" x14ac:dyDescent="0.2">
      <c r="C2457" s="5"/>
    </row>
    <row r="2458" spans="3:3" x14ac:dyDescent="0.2">
      <c r="C2458" s="5"/>
    </row>
    <row r="2459" spans="3:3" x14ac:dyDescent="0.2">
      <c r="C2459" s="5"/>
    </row>
    <row r="2460" spans="3:3" x14ac:dyDescent="0.2">
      <c r="C2460" s="5"/>
    </row>
    <row r="2461" spans="3:3" x14ac:dyDescent="0.2">
      <c r="C2461" s="5"/>
    </row>
    <row r="2462" spans="3:3" x14ac:dyDescent="0.2">
      <c r="C2462" s="5"/>
    </row>
    <row r="2463" spans="3:3" x14ac:dyDescent="0.2">
      <c r="C2463" s="5"/>
    </row>
    <row r="2464" spans="3:3" x14ac:dyDescent="0.2">
      <c r="C2464" s="5"/>
    </row>
    <row r="2465" spans="3:3" x14ac:dyDescent="0.2">
      <c r="C2465" s="5"/>
    </row>
    <row r="2466" spans="3:3" x14ac:dyDescent="0.2">
      <c r="C2466" s="5"/>
    </row>
    <row r="2467" spans="3:3" x14ac:dyDescent="0.2">
      <c r="C2467" s="5"/>
    </row>
    <row r="2468" spans="3:3" x14ac:dyDescent="0.2">
      <c r="C2468" s="5"/>
    </row>
    <row r="2469" spans="3:3" x14ac:dyDescent="0.2">
      <c r="C2469" s="5"/>
    </row>
    <row r="2470" spans="3:3" x14ac:dyDescent="0.2">
      <c r="C2470" s="5"/>
    </row>
    <row r="2471" spans="3:3" x14ac:dyDescent="0.2">
      <c r="C2471" s="5"/>
    </row>
    <row r="2472" spans="3:3" x14ac:dyDescent="0.2">
      <c r="C2472" s="5"/>
    </row>
    <row r="2473" spans="3:3" x14ac:dyDescent="0.2">
      <c r="C2473" s="5"/>
    </row>
    <row r="2474" spans="3:3" x14ac:dyDescent="0.2">
      <c r="C2474" s="5"/>
    </row>
    <row r="2475" spans="3:3" x14ac:dyDescent="0.2">
      <c r="C2475" s="5"/>
    </row>
    <row r="2476" spans="3:3" x14ac:dyDescent="0.2">
      <c r="C2476" s="5"/>
    </row>
    <row r="2477" spans="3:3" x14ac:dyDescent="0.2">
      <c r="C2477" s="5"/>
    </row>
    <row r="2478" spans="3:3" x14ac:dyDescent="0.2">
      <c r="C2478" s="5"/>
    </row>
    <row r="2479" spans="3:3" x14ac:dyDescent="0.2">
      <c r="C2479" s="5"/>
    </row>
    <row r="2480" spans="3:3" x14ac:dyDescent="0.2">
      <c r="C2480" s="5"/>
    </row>
    <row r="2481" spans="3:3" x14ac:dyDescent="0.2">
      <c r="C2481" s="5"/>
    </row>
    <row r="2482" spans="3:3" x14ac:dyDescent="0.2">
      <c r="C2482" s="5"/>
    </row>
    <row r="2483" spans="3:3" x14ac:dyDescent="0.2">
      <c r="C2483" s="5"/>
    </row>
    <row r="2484" spans="3:3" x14ac:dyDescent="0.2">
      <c r="C2484" s="5"/>
    </row>
    <row r="2485" spans="3:3" x14ac:dyDescent="0.2">
      <c r="C2485" s="5"/>
    </row>
    <row r="2486" spans="3:3" x14ac:dyDescent="0.2">
      <c r="C2486" s="5"/>
    </row>
    <row r="2487" spans="3:3" x14ac:dyDescent="0.2">
      <c r="C2487" s="5"/>
    </row>
    <row r="2488" spans="3:3" x14ac:dyDescent="0.2">
      <c r="C2488" s="5"/>
    </row>
    <row r="2489" spans="3:3" x14ac:dyDescent="0.2">
      <c r="C2489" s="5"/>
    </row>
    <row r="2490" spans="3:3" x14ac:dyDescent="0.2">
      <c r="C2490" s="5"/>
    </row>
    <row r="2491" spans="3:3" x14ac:dyDescent="0.2">
      <c r="C2491" s="5"/>
    </row>
    <row r="2492" spans="3:3" x14ac:dyDescent="0.2">
      <c r="C2492" s="5"/>
    </row>
    <row r="2493" spans="3:3" x14ac:dyDescent="0.2">
      <c r="C2493" s="5"/>
    </row>
    <row r="2494" spans="3:3" x14ac:dyDescent="0.2">
      <c r="C2494" s="5"/>
    </row>
    <row r="2495" spans="3:3" x14ac:dyDescent="0.2">
      <c r="C2495" s="5"/>
    </row>
    <row r="2496" spans="3:3" x14ac:dyDescent="0.2">
      <c r="C2496" s="5"/>
    </row>
    <row r="2497" spans="3:3" x14ac:dyDescent="0.2">
      <c r="C2497" s="5"/>
    </row>
    <row r="2498" spans="3:3" x14ac:dyDescent="0.2">
      <c r="C2498" s="5"/>
    </row>
    <row r="2499" spans="3:3" x14ac:dyDescent="0.2">
      <c r="C2499" s="5"/>
    </row>
    <row r="2500" spans="3:3" x14ac:dyDescent="0.2">
      <c r="C2500" s="5"/>
    </row>
    <row r="2501" spans="3:3" x14ac:dyDescent="0.2">
      <c r="C2501" s="5"/>
    </row>
    <row r="2502" spans="3:3" x14ac:dyDescent="0.2">
      <c r="C2502" s="5"/>
    </row>
    <row r="2503" spans="3:3" x14ac:dyDescent="0.2">
      <c r="C2503" s="5"/>
    </row>
    <row r="2504" spans="3:3" x14ac:dyDescent="0.2">
      <c r="C2504" s="5"/>
    </row>
    <row r="2505" spans="3:3" x14ac:dyDescent="0.2">
      <c r="C2505" s="5"/>
    </row>
    <row r="2506" spans="3:3" x14ac:dyDescent="0.2">
      <c r="C2506" s="5"/>
    </row>
    <row r="2507" spans="3:3" x14ac:dyDescent="0.2">
      <c r="C2507" s="5"/>
    </row>
    <row r="2508" spans="3:3" x14ac:dyDescent="0.2">
      <c r="C2508" s="5"/>
    </row>
    <row r="2509" spans="3:3" x14ac:dyDescent="0.2">
      <c r="C2509" s="5"/>
    </row>
    <row r="2510" spans="3:3" x14ac:dyDescent="0.2">
      <c r="C2510" s="5"/>
    </row>
    <row r="2511" spans="3:3" x14ac:dyDescent="0.2">
      <c r="C2511" s="5"/>
    </row>
    <row r="2512" spans="3:3" x14ac:dyDescent="0.2">
      <c r="C2512" s="5"/>
    </row>
    <row r="2513" spans="3:3" x14ac:dyDescent="0.2">
      <c r="C2513" s="5"/>
    </row>
    <row r="2514" spans="3:3" x14ac:dyDescent="0.2">
      <c r="C2514" s="5"/>
    </row>
    <row r="2515" spans="3:3" x14ac:dyDescent="0.2">
      <c r="C2515" s="5"/>
    </row>
    <row r="2516" spans="3:3" x14ac:dyDescent="0.2">
      <c r="C2516" s="5"/>
    </row>
    <row r="2517" spans="3:3" x14ac:dyDescent="0.2">
      <c r="C2517" s="5"/>
    </row>
    <row r="2518" spans="3:3" x14ac:dyDescent="0.2">
      <c r="C2518" s="5"/>
    </row>
    <row r="2519" spans="3:3" x14ac:dyDescent="0.2">
      <c r="C2519" s="5"/>
    </row>
    <row r="2520" spans="3:3" x14ac:dyDescent="0.2">
      <c r="C2520" s="5"/>
    </row>
    <row r="2521" spans="3:3" x14ac:dyDescent="0.2">
      <c r="C2521" s="5"/>
    </row>
    <row r="2522" spans="3:3" x14ac:dyDescent="0.2">
      <c r="C2522" s="5"/>
    </row>
    <row r="2523" spans="3:3" x14ac:dyDescent="0.2">
      <c r="C2523" s="5"/>
    </row>
    <row r="2524" spans="3:3" x14ac:dyDescent="0.2">
      <c r="C2524" s="5"/>
    </row>
    <row r="2525" spans="3:3" x14ac:dyDescent="0.2">
      <c r="C2525" s="5"/>
    </row>
    <row r="2526" spans="3:3" x14ac:dyDescent="0.2">
      <c r="C2526" s="5"/>
    </row>
    <row r="2527" spans="3:3" x14ac:dyDescent="0.2">
      <c r="C2527" s="5"/>
    </row>
    <row r="2528" spans="3:3" x14ac:dyDescent="0.2">
      <c r="C2528" s="5"/>
    </row>
    <row r="2529" spans="3:3" x14ac:dyDescent="0.2">
      <c r="C2529" s="5"/>
    </row>
    <row r="2530" spans="3:3" x14ac:dyDescent="0.2">
      <c r="C2530" s="5"/>
    </row>
    <row r="2531" spans="3:3" x14ac:dyDescent="0.2">
      <c r="C2531" s="5"/>
    </row>
    <row r="2532" spans="3:3" x14ac:dyDescent="0.2">
      <c r="C2532" s="5"/>
    </row>
    <row r="2533" spans="3:3" x14ac:dyDescent="0.2">
      <c r="C2533" s="5"/>
    </row>
    <row r="2534" spans="3:3" x14ac:dyDescent="0.2">
      <c r="C2534" s="5"/>
    </row>
    <row r="2535" spans="3:3" x14ac:dyDescent="0.2">
      <c r="C2535" s="5"/>
    </row>
    <row r="2536" spans="3:3" x14ac:dyDescent="0.2">
      <c r="C2536" s="5"/>
    </row>
    <row r="2537" spans="3:3" x14ac:dyDescent="0.2">
      <c r="C2537" s="5"/>
    </row>
    <row r="2538" spans="3:3" x14ac:dyDescent="0.2">
      <c r="C2538" s="5"/>
    </row>
    <row r="2539" spans="3:3" x14ac:dyDescent="0.2">
      <c r="C2539" s="5"/>
    </row>
    <row r="2540" spans="3:3" x14ac:dyDescent="0.2">
      <c r="C2540" s="5"/>
    </row>
    <row r="2541" spans="3:3" x14ac:dyDescent="0.2">
      <c r="C2541" s="5"/>
    </row>
    <row r="2542" spans="3:3" x14ac:dyDescent="0.2">
      <c r="C2542" s="5"/>
    </row>
    <row r="2543" spans="3:3" x14ac:dyDescent="0.2">
      <c r="C2543" s="5"/>
    </row>
    <row r="2544" spans="3:3" x14ac:dyDescent="0.2">
      <c r="C2544" s="5"/>
    </row>
    <row r="2545" spans="3:3" x14ac:dyDescent="0.2">
      <c r="C2545" s="5"/>
    </row>
    <row r="2546" spans="3:3" x14ac:dyDescent="0.2">
      <c r="C2546" s="5"/>
    </row>
    <row r="2547" spans="3:3" x14ac:dyDescent="0.2">
      <c r="C2547" s="5"/>
    </row>
    <row r="2548" spans="3:3" x14ac:dyDescent="0.2">
      <c r="C2548" s="5"/>
    </row>
    <row r="2549" spans="3:3" x14ac:dyDescent="0.2">
      <c r="C2549" s="5"/>
    </row>
    <row r="2550" spans="3:3" x14ac:dyDescent="0.2">
      <c r="C2550" s="5"/>
    </row>
    <row r="2551" spans="3:3" x14ac:dyDescent="0.2">
      <c r="C2551" s="5"/>
    </row>
    <row r="2552" spans="3:3" x14ac:dyDescent="0.2">
      <c r="C2552" s="5"/>
    </row>
    <row r="2553" spans="3:3" x14ac:dyDescent="0.2">
      <c r="C2553" s="5"/>
    </row>
    <row r="2554" spans="3:3" x14ac:dyDescent="0.2">
      <c r="C2554" s="5"/>
    </row>
    <row r="2555" spans="3:3" x14ac:dyDescent="0.2">
      <c r="C2555" s="5"/>
    </row>
    <row r="2556" spans="3:3" x14ac:dyDescent="0.2">
      <c r="C2556" s="5"/>
    </row>
    <row r="2557" spans="3:3" x14ac:dyDescent="0.2">
      <c r="C2557" s="5"/>
    </row>
    <row r="2558" spans="3:3" x14ac:dyDescent="0.2">
      <c r="C2558" s="5"/>
    </row>
    <row r="2559" spans="3:3" x14ac:dyDescent="0.2">
      <c r="C2559" s="5"/>
    </row>
    <row r="2560" spans="3:3" x14ac:dyDescent="0.2">
      <c r="C2560" s="5"/>
    </row>
    <row r="2561" spans="3:3" x14ac:dyDescent="0.2">
      <c r="C2561" s="5"/>
    </row>
    <row r="2562" spans="3:3" x14ac:dyDescent="0.2">
      <c r="C2562" s="5"/>
    </row>
    <row r="2563" spans="3:3" x14ac:dyDescent="0.2">
      <c r="C2563" s="5"/>
    </row>
    <row r="2564" spans="3:3" x14ac:dyDescent="0.2">
      <c r="C2564" s="5"/>
    </row>
    <row r="2565" spans="3:3" x14ac:dyDescent="0.2">
      <c r="C2565" s="5"/>
    </row>
    <row r="2566" spans="3:3" x14ac:dyDescent="0.2">
      <c r="C2566" s="5"/>
    </row>
    <row r="2567" spans="3:3" x14ac:dyDescent="0.2">
      <c r="C2567" s="5"/>
    </row>
    <row r="2568" spans="3:3" x14ac:dyDescent="0.2">
      <c r="C2568" s="5"/>
    </row>
    <row r="2569" spans="3:3" x14ac:dyDescent="0.2">
      <c r="C2569" s="5"/>
    </row>
    <row r="2570" spans="3:3" x14ac:dyDescent="0.2">
      <c r="C2570" s="5"/>
    </row>
    <row r="2571" spans="3:3" x14ac:dyDescent="0.2">
      <c r="C2571" s="5"/>
    </row>
    <row r="2572" spans="3:3" x14ac:dyDescent="0.2">
      <c r="C2572" s="5"/>
    </row>
    <row r="2573" spans="3:3" x14ac:dyDescent="0.2">
      <c r="C2573" s="5"/>
    </row>
    <row r="2574" spans="3:3" x14ac:dyDescent="0.2">
      <c r="C2574" s="5"/>
    </row>
    <row r="2575" spans="3:3" x14ac:dyDescent="0.2">
      <c r="C2575" s="5"/>
    </row>
    <row r="2576" spans="3:3" x14ac:dyDescent="0.2">
      <c r="C2576" s="5"/>
    </row>
    <row r="2577" spans="3:3" x14ac:dyDescent="0.2">
      <c r="C2577" s="5"/>
    </row>
    <row r="2578" spans="3:3" x14ac:dyDescent="0.2">
      <c r="C2578" s="5"/>
    </row>
    <row r="2579" spans="3:3" x14ac:dyDescent="0.2">
      <c r="C2579" s="5"/>
    </row>
    <row r="2580" spans="3:3" x14ac:dyDescent="0.2">
      <c r="C2580" s="5"/>
    </row>
    <row r="2581" spans="3:3" x14ac:dyDescent="0.2">
      <c r="C2581" s="5"/>
    </row>
    <row r="2582" spans="3:3" x14ac:dyDescent="0.2">
      <c r="C2582" s="5"/>
    </row>
    <row r="2583" spans="3:3" x14ac:dyDescent="0.2">
      <c r="C2583" s="5"/>
    </row>
    <row r="2584" spans="3:3" x14ac:dyDescent="0.2">
      <c r="C2584" s="5"/>
    </row>
    <row r="2585" spans="3:3" x14ac:dyDescent="0.2">
      <c r="C2585" s="5"/>
    </row>
    <row r="2586" spans="3:3" x14ac:dyDescent="0.2">
      <c r="C2586" s="5"/>
    </row>
    <row r="2587" spans="3:3" x14ac:dyDescent="0.2">
      <c r="C2587" s="5"/>
    </row>
    <row r="2588" spans="3:3" x14ac:dyDescent="0.2">
      <c r="C2588" s="5"/>
    </row>
    <row r="2589" spans="3:3" x14ac:dyDescent="0.2">
      <c r="C2589" s="5"/>
    </row>
    <row r="2590" spans="3:3" x14ac:dyDescent="0.2">
      <c r="C2590" s="5"/>
    </row>
    <row r="2591" spans="3:3" x14ac:dyDescent="0.2">
      <c r="C2591" s="5"/>
    </row>
    <row r="2592" spans="3:3" x14ac:dyDescent="0.2">
      <c r="C2592" s="5"/>
    </row>
    <row r="2593" spans="3:3" x14ac:dyDescent="0.2">
      <c r="C2593" s="5"/>
    </row>
    <row r="2594" spans="3:3" x14ac:dyDescent="0.2">
      <c r="C2594" s="5"/>
    </row>
    <row r="2595" spans="3:3" x14ac:dyDescent="0.2">
      <c r="C2595" s="5"/>
    </row>
    <row r="2596" spans="3:3" x14ac:dyDescent="0.2">
      <c r="C2596" s="5"/>
    </row>
    <row r="2597" spans="3:3" x14ac:dyDescent="0.2">
      <c r="C2597" s="5"/>
    </row>
    <row r="2598" spans="3:3" x14ac:dyDescent="0.2">
      <c r="C2598" s="5"/>
    </row>
    <row r="2599" spans="3:3" x14ac:dyDescent="0.2">
      <c r="C2599" s="5"/>
    </row>
    <row r="2600" spans="3:3" x14ac:dyDescent="0.2">
      <c r="C2600" s="5"/>
    </row>
    <row r="2601" spans="3:3" x14ac:dyDescent="0.2">
      <c r="C2601" s="5"/>
    </row>
    <row r="2602" spans="3:3" x14ac:dyDescent="0.2">
      <c r="C2602" s="5"/>
    </row>
    <row r="2603" spans="3:3" x14ac:dyDescent="0.2">
      <c r="C2603" s="5"/>
    </row>
    <row r="2604" spans="3:3" x14ac:dyDescent="0.2">
      <c r="C2604" s="5"/>
    </row>
    <row r="2605" spans="3:3" x14ac:dyDescent="0.2">
      <c r="C2605" s="5"/>
    </row>
    <row r="2606" spans="3:3" x14ac:dyDescent="0.2">
      <c r="C2606" s="5"/>
    </row>
    <row r="2607" spans="3:3" x14ac:dyDescent="0.2">
      <c r="C2607" s="5"/>
    </row>
    <row r="2608" spans="3:3" x14ac:dyDescent="0.2">
      <c r="C2608" s="5"/>
    </row>
    <row r="2609" spans="3:3" x14ac:dyDescent="0.2">
      <c r="C2609" s="5"/>
    </row>
    <row r="2610" spans="3:3" x14ac:dyDescent="0.2">
      <c r="C2610" s="5"/>
    </row>
    <row r="2611" spans="3:3" x14ac:dyDescent="0.2">
      <c r="C2611" s="5"/>
    </row>
    <row r="2612" spans="3:3" x14ac:dyDescent="0.2">
      <c r="C2612" s="5"/>
    </row>
    <row r="2613" spans="3:3" x14ac:dyDescent="0.2">
      <c r="C2613" s="5"/>
    </row>
    <row r="2614" spans="3:3" x14ac:dyDescent="0.2">
      <c r="C2614" s="5"/>
    </row>
    <row r="2615" spans="3:3" x14ac:dyDescent="0.2">
      <c r="C2615" s="5"/>
    </row>
    <row r="2616" spans="3:3" x14ac:dyDescent="0.2">
      <c r="C2616" s="5"/>
    </row>
    <row r="2617" spans="3:3" x14ac:dyDescent="0.2">
      <c r="C2617" s="5"/>
    </row>
    <row r="2618" spans="3:3" x14ac:dyDescent="0.2">
      <c r="C2618" s="5"/>
    </row>
    <row r="2619" spans="3:3" x14ac:dyDescent="0.2">
      <c r="C2619" s="5"/>
    </row>
    <row r="2620" spans="3:3" x14ac:dyDescent="0.2">
      <c r="C2620" s="5"/>
    </row>
    <row r="2621" spans="3:3" x14ac:dyDescent="0.2">
      <c r="C2621" s="5"/>
    </row>
    <row r="2622" spans="3:3" x14ac:dyDescent="0.2">
      <c r="C2622" s="5"/>
    </row>
    <row r="2623" spans="3:3" x14ac:dyDescent="0.2">
      <c r="C2623" s="5"/>
    </row>
    <row r="2624" spans="3:3" x14ac:dyDescent="0.2">
      <c r="C2624" s="5"/>
    </row>
    <row r="2625" spans="3:3" x14ac:dyDescent="0.2">
      <c r="C2625" s="5"/>
    </row>
    <row r="2626" spans="3:3" x14ac:dyDescent="0.2">
      <c r="C2626" s="5"/>
    </row>
    <row r="2627" spans="3:3" x14ac:dyDescent="0.2">
      <c r="C2627" s="5"/>
    </row>
    <row r="2628" spans="3:3" x14ac:dyDescent="0.2">
      <c r="C2628" s="5"/>
    </row>
    <row r="2629" spans="3:3" x14ac:dyDescent="0.2">
      <c r="C2629" s="5"/>
    </row>
    <row r="2630" spans="3:3" x14ac:dyDescent="0.2">
      <c r="C2630" s="5"/>
    </row>
    <row r="2631" spans="3:3" x14ac:dyDescent="0.2">
      <c r="C2631" s="5"/>
    </row>
    <row r="2632" spans="3:3" x14ac:dyDescent="0.2">
      <c r="C2632" s="5"/>
    </row>
    <row r="2633" spans="3:3" x14ac:dyDescent="0.2">
      <c r="C2633" s="5"/>
    </row>
    <row r="2634" spans="3:3" x14ac:dyDescent="0.2">
      <c r="C2634" s="5"/>
    </row>
    <row r="2635" spans="3:3" x14ac:dyDescent="0.2">
      <c r="C2635" s="5"/>
    </row>
    <row r="2636" spans="3:3" x14ac:dyDescent="0.2">
      <c r="C2636" s="5"/>
    </row>
    <row r="2637" spans="3:3" x14ac:dyDescent="0.2">
      <c r="C2637" s="5"/>
    </row>
    <row r="2638" spans="3:3" x14ac:dyDescent="0.2">
      <c r="C2638" s="5"/>
    </row>
    <row r="2639" spans="3:3" x14ac:dyDescent="0.2">
      <c r="C2639" s="5"/>
    </row>
    <row r="2640" spans="3:3" x14ac:dyDescent="0.2">
      <c r="C2640" s="5"/>
    </row>
    <row r="2641" spans="3:3" x14ac:dyDescent="0.2">
      <c r="C2641" s="5"/>
    </row>
    <row r="2642" spans="3:3" x14ac:dyDescent="0.2">
      <c r="C2642" s="5"/>
    </row>
    <row r="2643" spans="3:3" x14ac:dyDescent="0.2">
      <c r="C2643" s="5"/>
    </row>
    <row r="2644" spans="3:3" x14ac:dyDescent="0.2">
      <c r="C2644" s="5"/>
    </row>
    <row r="2645" spans="3:3" x14ac:dyDescent="0.2">
      <c r="C2645" s="5"/>
    </row>
    <row r="2646" spans="3:3" x14ac:dyDescent="0.2">
      <c r="C2646" s="5"/>
    </row>
    <row r="2647" spans="3:3" x14ac:dyDescent="0.2">
      <c r="C2647" s="5"/>
    </row>
    <row r="2648" spans="3:3" x14ac:dyDescent="0.2">
      <c r="C2648" s="5"/>
    </row>
    <row r="2649" spans="3:3" x14ac:dyDescent="0.2">
      <c r="C2649" s="5"/>
    </row>
    <row r="2650" spans="3:3" x14ac:dyDescent="0.2">
      <c r="C2650" s="5"/>
    </row>
    <row r="2651" spans="3:3" x14ac:dyDescent="0.2">
      <c r="C2651" s="5"/>
    </row>
    <row r="2652" spans="3:3" x14ac:dyDescent="0.2">
      <c r="C2652" s="5"/>
    </row>
    <row r="2653" spans="3:3" x14ac:dyDescent="0.2">
      <c r="C2653" s="5"/>
    </row>
    <row r="2654" spans="3:3" x14ac:dyDescent="0.2">
      <c r="C2654" s="5"/>
    </row>
    <row r="2655" spans="3:3" x14ac:dyDescent="0.2">
      <c r="C2655" s="5"/>
    </row>
    <row r="2656" spans="3:3" x14ac:dyDescent="0.2">
      <c r="C2656" s="5"/>
    </row>
    <row r="2657" spans="3:3" x14ac:dyDescent="0.2">
      <c r="C2657" s="5"/>
    </row>
    <row r="2658" spans="3:3" x14ac:dyDescent="0.2">
      <c r="C2658" s="5"/>
    </row>
    <row r="2659" spans="3:3" x14ac:dyDescent="0.2">
      <c r="C2659" s="5"/>
    </row>
    <row r="2660" spans="3:3" x14ac:dyDescent="0.2">
      <c r="C2660" s="5"/>
    </row>
    <row r="2661" spans="3:3" x14ac:dyDescent="0.2">
      <c r="C2661" s="5"/>
    </row>
    <row r="2662" spans="3:3" x14ac:dyDescent="0.2">
      <c r="C2662" s="5"/>
    </row>
    <row r="2663" spans="3:3" x14ac:dyDescent="0.2">
      <c r="C2663" s="5"/>
    </row>
    <row r="2664" spans="3:3" x14ac:dyDescent="0.2">
      <c r="C2664" s="5"/>
    </row>
    <row r="2665" spans="3:3" x14ac:dyDescent="0.2">
      <c r="C2665" s="5"/>
    </row>
    <row r="2666" spans="3:3" x14ac:dyDescent="0.2">
      <c r="C2666" s="5"/>
    </row>
    <row r="2667" spans="3:3" x14ac:dyDescent="0.2">
      <c r="C2667" s="5"/>
    </row>
    <row r="2668" spans="3:3" x14ac:dyDescent="0.2">
      <c r="C2668" s="5"/>
    </row>
    <row r="2669" spans="3:3" x14ac:dyDescent="0.2">
      <c r="C2669" s="5"/>
    </row>
    <row r="2670" spans="3:3" x14ac:dyDescent="0.2">
      <c r="C2670" s="5"/>
    </row>
    <row r="2671" spans="3:3" x14ac:dyDescent="0.2">
      <c r="C2671" s="5"/>
    </row>
    <row r="2672" spans="3:3" x14ac:dyDescent="0.2">
      <c r="C2672" s="5"/>
    </row>
    <row r="2673" spans="3:3" x14ac:dyDescent="0.2">
      <c r="C2673" s="5"/>
    </row>
    <row r="2674" spans="3:3" x14ac:dyDescent="0.2">
      <c r="C2674" s="5"/>
    </row>
    <row r="2675" spans="3:3" x14ac:dyDescent="0.2">
      <c r="C2675" s="5"/>
    </row>
    <row r="2676" spans="3:3" x14ac:dyDescent="0.2">
      <c r="C2676" s="5"/>
    </row>
    <row r="2677" spans="3:3" x14ac:dyDescent="0.2">
      <c r="C2677" s="5"/>
    </row>
    <row r="2678" spans="3:3" x14ac:dyDescent="0.2">
      <c r="C2678" s="5"/>
    </row>
    <row r="2679" spans="3:3" x14ac:dyDescent="0.2">
      <c r="C2679" s="5"/>
    </row>
    <row r="2680" spans="3:3" x14ac:dyDescent="0.2">
      <c r="C2680" s="5"/>
    </row>
    <row r="2681" spans="3:3" x14ac:dyDescent="0.2">
      <c r="C2681" s="5"/>
    </row>
    <row r="2682" spans="3:3" x14ac:dyDescent="0.2">
      <c r="C2682" s="5"/>
    </row>
    <row r="2683" spans="3:3" x14ac:dyDescent="0.2">
      <c r="C2683" s="5"/>
    </row>
    <row r="2684" spans="3:3" x14ac:dyDescent="0.2">
      <c r="C2684" s="5"/>
    </row>
    <row r="2685" spans="3:3" x14ac:dyDescent="0.2">
      <c r="C2685" s="5"/>
    </row>
    <row r="2686" spans="3:3" x14ac:dyDescent="0.2">
      <c r="C2686" s="5"/>
    </row>
    <row r="2687" spans="3:3" x14ac:dyDescent="0.2">
      <c r="C2687" s="5"/>
    </row>
    <row r="2688" spans="3:3" x14ac:dyDescent="0.2">
      <c r="C2688" s="5"/>
    </row>
    <row r="2689" spans="3:3" x14ac:dyDescent="0.2">
      <c r="C2689" s="5"/>
    </row>
    <row r="2690" spans="3:3" x14ac:dyDescent="0.2">
      <c r="C2690" s="5"/>
    </row>
    <row r="2691" spans="3:3" x14ac:dyDescent="0.2">
      <c r="C2691" s="5"/>
    </row>
    <row r="2692" spans="3:3" x14ac:dyDescent="0.2">
      <c r="C2692" s="5"/>
    </row>
    <row r="2693" spans="3:3" x14ac:dyDescent="0.2">
      <c r="C2693" s="5"/>
    </row>
    <row r="2694" spans="3:3" x14ac:dyDescent="0.2">
      <c r="C2694" s="5"/>
    </row>
    <row r="2695" spans="3:3" x14ac:dyDescent="0.2">
      <c r="C2695" s="5"/>
    </row>
    <row r="2696" spans="3:3" x14ac:dyDescent="0.2">
      <c r="C2696" s="5"/>
    </row>
    <row r="2697" spans="3:3" x14ac:dyDescent="0.2">
      <c r="C2697" s="5"/>
    </row>
    <row r="2698" spans="3:3" x14ac:dyDescent="0.2">
      <c r="C2698" s="5"/>
    </row>
    <row r="2699" spans="3:3" x14ac:dyDescent="0.2">
      <c r="C2699" s="5"/>
    </row>
    <row r="2700" spans="3:3" x14ac:dyDescent="0.2">
      <c r="C2700" s="5"/>
    </row>
    <row r="2701" spans="3:3" x14ac:dyDescent="0.2">
      <c r="C2701" s="5"/>
    </row>
    <row r="2702" spans="3:3" x14ac:dyDescent="0.2">
      <c r="C2702" s="5"/>
    </row>
    <row r="2703" spans="3:3" x14ac:dyDescent="0.2">
      <c r="C2703" s="5"/>
    </row>
    <row r="2704" spans="3:3" x14ac:dyDescent="0.2">
      <c r="C2704" s="5"/>
    </row>
    <row r="2705" spans="3:3" x14ac:dyDescent="0.2">
      <c r="C2705" s="5"/>
    </row>
    <row r="2706" spans="3:3" x14ac:dyDescent="0.2">
      <c r="C2706" s="5"/>
    </row>
    <row r="2707" spans="3:3" x14ac:dyDescent="0.2">
      <c r="C2707" s="5"/>
    </row>
    <row r="2708" spans="3:3" x14ac:dyDescent="0.2">
      <c r="C2708" s="5"/>
    </row>
    <row r="2709" spans="3:3" x14ac:dyDescent="0.2">
      <c r="C2709" s="5"/>
    </row>
    <row r="2710" spans="3:3" x14ac:dyDescent="0.2">
      <c r="C2710" s="5"/>
    </row>
    <row r="2711" spans="3:3" x14ac:dyDescent="0.2">
      <c r="C2711" s="5"/>
    </row>
    <row r="2712" spans="3:3" x14ac:dyDescent="0.2">
      <c r="C2712" s="5"/>
    </row>
    <row r="2713" spans="3:3" x14ac:dyDescent="0.2">
      <c r="C2713" s="5"/>
    </row>
    <row r="2714" spans="3:3" x14ac:dyDescent="0.2">
      <c r="C2714" s="5"/>
    </row>
    <row r="2715" spans="3:3" x14ac:dyDescent="0.2">
      <c r="C2715" s="5"/>
    </row>
    <row r="2716" spans="3:3" x14ac:dyDescent="0.2">
      <c r="C2716" s="5"/>
    </row>
    <row r="2717" spans="3:3" x14ac:dyDescent="0.2">
      <c r="C2717" s="5"/>
    </row>
    <row r="2718" spans="3:3" x14ac:dyDescent="0.2">
      <c r="C2718" s="5"/>
    </row>
    <row r="2719" spans="3:3" x14ac:dyDescent="0.2">
      <c r="C2719" s="5"/>
    </row>
    <row r="2720" spans="3:3" x14ac:dyDescent="0.2">
      <c r="C2720" s="5"/>
    </row>
    <row r="2721" spans="3:3" x14ac:dyDescent="0.2">
      <c r="C2721" s="5"/>
    </row>
    <row r="2722" spans="3:3" x14ac:dyDescent="0.2">
      <c r="C2722" s="5"/>
    </row>
    <row r="2723" spans="3:3" x14ac:dyDescent="0.2">
      <c r="C2723" s="5"/>
    </row>
    <row r="2724" spans="3:3" x14ac:dyDescent="0.2">
      <c r="C2724" s="5"/>
    </row>
    <row r="2725" spans="3:3" x14ac:dyDescent="0.2">
      <c r="C2725" s="5"/>
    </row>
    <row r="2726" spans="3:3" x14ac:dyDescent="0.2">
      <c r="C2726" s="5"/>
    </row>
    <row r="2727" spans="3:3" x14ac:dyDescent="0.2">
      <c r="C2727" s="5"/>
    </row>
    <row r="2728" spans="3:3" x14ac:dyDescent="0.2">
      <c r="C2728" s="5"/>
    </row>
    <row r="2729" spans="3:3" x14ac:dyDescent="0.2">
      <c r="C2729" s="5"/>
    </row>
    <row r="2730" spans="3:3" x14ac:dyDescent="0.2">
      <c r="C2730" s="5"/>
    </row>
    <row r="2731" spans="3:3" x14ac:dyDescent="0.2">
      <c r="C2731" s="5"/>
    </row>
    <row r="2732" spans="3:3" x14ac:dyDescent="0.2">
      <c r="C2732" s="5"/>
    </row>
    <row r="2733" spans="3:3" x14ac:dyDescent="0.2">
      <c r="C2733" s="5"/>
    </row>
    <row r="2734" spans="3:3" x14ac:dyDescent="0.2">
      <c r="C2734" s="5"/>
    </row>
    <row r="2735" spans="3:3" x14ac:dyDescent="0.2">
      <c r="C2735" s="5"/>
    </row>
    <row r="2736" spans="3:3" x14ac:dyDescent="0.2">
      <c r="C2736" s="5"/>
    </row>
    <row r="2737" spans="3:3" x14ac:dyDescent="0.2">
      <c r="C2737" s="5"/>
    </row>
    <row r="2738" spans="3:3" x14ac:dyDescent="0.2">
      <c r="C2738" s="5"/>
    </row>
    <row r="2739" spans="3:3" x14ac:dyDescent="0.2">
      <c r="C2739" s="5"/>
    </row>
    <row r="2740" spans="3:3" x14ac:dyDescent="0.2">
      <c r="C2740" s="5"/>
    </row>
    <row r="2741" spans="3:3" x14ac:dyDescent="0.2">
      <c r="C2741" s="5"/>
    </row>
    <row r="2742" spans="3:3" x14ac:dyDescent="0.2">
      <c r="C2742" s="5"/>
    </row>
    <row r="2743" spans="3:3" x14ac:dyDescent="0.2">
      <c r="C2743" s="5"/>
    </row>
    <row r="2744" spans="3:3" x14ac:dyDescent="0.2">
      <c r="C2744" s="5"/>
    </row>
    <row r="2745" spans="3:3" x14ac:dyDescent="0.2">
      <c r="C2745" s="5"/>
    </row>
    <row r="2746" spans="3:3" x14ac:dyDescent="0.2">
      <c r="C2746" s="5"/>
    </row>
    <row r="2747" spans="3:3" x14ac:dyDescent="0.2">
      <c r="C2747" s="5"/>
    </row>
    <row r="2748" spans="3:3" x14ac:dyDescent="0.2">
      <c r="C2748" s="5"/>
    </row>
    <row r="2749" spans="3:3" x14ac:dyDescent="0.2">
      <c r="C2749" s="5"/>
    </row>
    <row r="2750" spans="3:3" x14ac:dyDescent="0.2">
      <c r="C2750" s="5"/>
    </row>
    <row r="2751" spans="3:3" x14ac:dyDescent="0.2">
      <c r="C2751" s="5"/>
    </row>
    <row r="2752" spans="3:3" x14ac:dyDescent="0.2">
      <c r="C2752" s="5"/>
    </row>
    <row r="2753" spans="3:3" x14ac:dyDescent="0.2">
      <c r="C2753" s="5"/>
    </row>
    <row r="2754" spans="3:3" x14ac:dyDescent="0.2">
      <c r="C2754" s="5"/>
    </row>
    <row r="2755" spans="3:3" x14ac:dyDescent="0.2">
      <c r="C2755" s="5"/>
    </row>
    <row r="2756" spans="3:3" x14ac:dyDescent="0.2">
      <c r="C2756" s="5"/>
    </row>
    <row r="2757" spans="3:3" x14ac:dyDescent="0.2">
      <c r="C2757" s="5"/>
    </row>
    <row r="2758" spans="3:3" x14ac:dyDescent="0.2">
      <c r="C2758" s="5"/>
    </row>
    <row r="2759" spans="3:3" x14ac:dyDescent="0.2">
      <c r="C2759" s="5"/>
    </row>
    <row r="2760" spans="3:3" x14ac:dyDescent="0.2">
      <c r="C2760" s="5"/>
    </row>
    <row r="2761" spans="3:3" x14ac:dyDescent="0.2">
      <c r="C2761" s="5"/>
    </row>
    <row r="2762" spans="3:3" x14ac:dyDescent="0.2">
      <c r="C2762" s="5"/>
    </row>
    <row r="2763" spans="3:3" x14ac:dyDescent="0.2">
      <c r="C2763" s="5"/>
    </row>
    <row r="2764" spans="3:3" x14ac:dyDescent="0.2">
      <c r="C2764" s="5"/>
    </row>
    <row r="2765" spans="3:3" x14ac:dyDescent="0.2">
      <c r="C2765" s="5"/>
    </row>
    <row r="2766" spans="3:3" x14ac:dyDescent="0.2">
      <c r="C2766" s="5"/>
    </row>
    <row r="2767" spans="3:3" x14ac:dyDescent="0.2">
      <c r="C2767" s="5"/>
    </row>
    <row r="2768" spans="3:3" x14ac:dyDescent="0.2">
      <c r="C2768" s="5"/>
    </row>
    <row r="2769" spans="3:3" x14ac:dyDescent="0.2">
      <c r="C2769" s="5"/>
    </row>
    <row r="2770" spans="3:3" x14ac:dyDescent="0.2">
      <c r="C2770" s="5"/>
    </row>
    <row r="2771" spans="3:3" x14ac:dyDescent="0.2">
      <c r="C2771" s="5"/>
    </row>
    <row r="2772" spans="3:3" x14ac:dyDescent="0.2">
      <c r="C2772" s="5"/>
    </row>
    <row r="2773" spans="3:3" x14ac:dyDescent="0.2">
      <c r="C2773" s="5"/>
    </row>
    <row r="2774" spans="3:3" x14ac:dyDescent="0.2">
      <c r="C2774" s="5"/>
    </row>
    <row r="2775" spans="3:3" x14ac:dyDescent="0.2">
      <c r="C2775" s="5"/>
    </row>
    <row r="2776" spans="3:3" x14ac:dyDescent="0.2">
      <c r="C2776" s="5"/>
    </row>
    <row r="2777" spans="3:3" x14ac:dyDescent="0.2">
      <c r="C2777" s="5"/>
    </row>
    <row r="2778" spans="3:3" x14ac:dyDescent="0.2">
      <c r="C2778" s="5"/>
    </row>
    <row r="2779" spans="3:3" x14ac:dyDescent="0.2">
      <c r="C2779" s="5"/>
    </row>
    <row r="2780" spans="3:3" x14ac:dyDescent="0.2">
      <c r="C2780" s="5"/>
    </row>
    <row r="2781" spans="3:3" x14ac:dyDescent="0.2">
      <c r="C2781" s="5"/>
    </row>
    <row r="2782" spans="3:3" x14ac:dyDescent="0.2">
      <c r="C2782" s="5"/>
    </row>
    <row r="2783" spans="3:3" x14ac:dyDescent="0.2">
      <c r="C2783" s="5"/>
    </row>
    <row r="2784" spans="3:3" x14ac:dyDescent="0.2">
      <c r="C2784" s="5"/>
    </row>
    <row r="2785" spans="3:3" x14ac:dyDescent="0.2">
      <c r="C2785" s="5"/>
    </row>
    <row r="2786" spans="3:3" x14ac:dyDescent="0.2">
      <c r="C2786" s="5"/>
    </row>
    <row r="2787" spans="3:3" x14ac:dyDescent="0.2">
      <c r="C2787" s="5"/>
    </row>
    <row r="2788" spans="3:3" x14ac:dyDescent="0.2">
      <c r="C2788" s="5"/>
    </row>
    <row r="2789" spans="3:3" x14ac:dyDescent="0.2">
      <c r="C2789" s="5"/>
    </row>
    <row r="2790" spans="3:3" x14ac:dyDescent="0.2">
      <c r="C2790" s="5"/>
    </row>
    <row r="2791" spans="3:3" x14ac:dyDescent="0.2">
      <c r="C2791" s="5"/>
    </row>
    <row r="2792" spans="3:3" x14ac:dyDescent="0.2">
      <c r="C2792" s="5"/>
    </row>
    <row r="2793" spans="3:3" x14ac:dyDescent="0.2">
      <c r="C2793" s="5"/>
    </row>
    <row r="2794" spans="3:3" x14ac:dyDescent="0.2">
      <c r="C2794" s="5"/>
    </row>
    <row r="2795" spans="3:3" x14ac:dyDescent="0.2">
      <c r="C2795" s="5"/>
    </row>
    <row r="2796" spans="3:3" x14ac:dyDescent="0.2">
      <c r="C2796" s="5"/>
    </row>
    <row r="2797" spans="3:3" x14ac:dyDescent="0.2">
      <c r="C2797" s="5"/>
    </row>
    <row r="2798" spans="3:3" x14ac:dyDescent="0.2">
      <c r="C2798" s="5"/>
    </row>
    <row r="2799" spans="3:3" x14ac:dyDescent="0.2">
      <c r="C2799" s="5"/>
    </row>
    <row r="2800" spans="3:3" x14ac:dyDescent="0.2">
      <c r="C2800" s="5"/>
    </row>
    <row r="2801" spans="3:3" x14ac:dyDescent="0.2">
      <c r="C2801" s="5"/>
    </row>
    <row r="2802" spans="3:3" x14ac:dyDescent="0.2">
      <c r="C2802" s="5"/>
    </row>
    <row r="2803" spans="3:3" x14ac:dyDescent="0.2">
      <c r="C2803" s="5"/>
    </row>
    <row r="2804" spans="3:3" x14ac:dyDescent="0.2">
      <c r="C2804" s="5"/>
    </row>
    <row r="2805" spans="3:3" x14ac:dyDescent="0.2">
      <c r="C2805" s="5"/>
    </row>
    <row r="2806" spans="3:3" x14ac:dyDescent="0.2">
      <c r="C2806" s="5"/>
    </row>
    <row r="2807" spans="3:3" x14ac:dyDescent="0.2">
      <c r="C2807" s="5"/>
    </row>
    <row r="2808" spans="3:3" x14ac:dyDescent="0.2">
      <c r="C2808" s="5"/>
    </row>
    <row r="2809" spans="3:3" x14ac:dyDescent="0.2">
      <c r="C2809" s="5"/>
    </row>
    <row r="2810" spans="3:3" x14ac:dyDescent="0.2">
      <c r="C2810" s="5"/>
    </row>
    <row r="2811" spans="3:3" x14ac:dyDescent="0.2">
      <c r="C2811" s="5"/>
    </row>
    <row r="2812" spans="3:3" x14ac:dyDescent="0.2">
      <c r="C2812" s="5"/>
    </row>
    <row r="2813" spans="3:3" x14ac:dyDescent="0.2">
      <c r="C2813" s="5"/>
    </row>
    <row r="2814" spans="3:3" x14ac:dyDescent="0.2">
      <c r="C2814" s="5"/>
    </row>
    <row r="2815" spans="3:3" x14ac:dyDescent="0.2">
      <c r="C2815" s="5"/>
    </row>
    <row r="2816" spans="3:3" x14ac:dyDescent="0.2">
      <c r="C2816" s="5"/>
    </row>
    <row r="2817" spans="3:3" x14ac:dyDescent="0.2">
      <c r="C2817" s="5"/>
    </row>
    <row r="2818" spans="3:3" x14ac:dyDescent="0.2">
      <c r="C2818" s="5"/>
    </row>
    <row r="2819" spans="3:3" x14ac:dyDescent="0.2">
      <c r="C2819" s="5"/>
    </row>
    <row r="2820" spans="3:3" x14ac:dyDescent="0.2">
      <c r="C2820" s="5"/>
    </row>
    <row r="2821" spans="3:3" x14ac:dyDescent="0.2">
      <c r="C2821" s="5"/>
    </row>
    <row r="2822" spans="3:3" x14ac:dyDescent="0.2">
      <c r="C2822" s="5"/>
    </row>
    <row r="2823" spans="3:3" x14ac:dyDescent="0.2">
      <c r="C2823" s="5"/>
    </row>
    <row r="2824" spans="3:3" x14ac:dyDescent="0.2">
      <c r="C2824" s="5"/>
    </row>
    <row r="2825" spans="3:3" x14ac:dyDescent="0.2">
      <c r="C2825" s="5"/>
    </row>
    <row r="2826" spans="3:3" x14ac:dyDescent="0.2">
      <c r="C2826" s="5"/>
    </row>
    <row r="2827" spans="3:3" x14ac:dyDescent="0.2">
      <c r="C2827" s="5"/>
    </row>
    <row r="2828" spans="3:3" x14ac:dyDescent="0.2">
      <c r="C2828" s="5"/>
    </row>
    <row r="2829" spans="3:3" x14ac:dyDescent="0.2">
      <c r="C2829" s="5"/>
    </row>
    <row r="2830" spans="3:3" x14ac:dyDescent="0.2">
      <c r="C2830" s="5"/>
    </row>
    <row r="2831" spans="3:3" x14ac:dyDescent="0.2">
      <c r="C2831" s="5"/>
    </row>
    <row r="2832" spans="3:3" x14ac:dyDescent="0.2">
      <c r="C2832" s="5"/>
    </row>
    <row r="2833" spans="3:3" x14ac:dyDescent="0.2">
      <c r="C2833" s="5"/>
    </row>
    <row r="2834" spans="3:3" x14ac:dyDescent="0.2">
      <c r="C2834" s="5"/>
    </row>
    <row r="2835" spans="3:3" x14ac:dyDescent="0.2">
      <c r="C2835" s="5"/>
    </row>
    <row r="2836" spans="3:3" x14ac:dyDescent="0.2">
      <c r="C2836" s="5"/>
    </row>
    <row r="2837" spans="3:3" x14ac:dyDescent="0.2">
      <c r="C2837" s="5"/>
    </row>
    <row r="2838" spans="3:3" x14ac:dyDescent="0.2">
      <c r="C2838" s="5"/>
    </row>
    <row r="2839" spans="3:3" x14ac:dyDescent="0.2">
      <c r="C2839" s="5"/>
    </row>
    <row r="2840" spans="3:3" x14ac:dyDescent="0.2">
      <c r="C2840" s="5"/>
    </row>
    <row r="2841" spans="3:3" x14ac:dyDescent="0.2">
      <c r="C2841" s="5"/>
    </row>
    <row r="2842" spans="3:3" x14ac:dyDescent="0.2">
      <c r="C2842" s="5"/>
    </row>
    <row r="2843" spans="3:3" x14ac:dyDescent="0.2">
      <c r="C2843" s="5"/>
    </row>
    <row r="2844" spans="3:3" x14ac:dyDescent="0.2">
      <c r="C2844" s="5"/>
    </row>
    <row r="2845" spans="3:3" x14ac:dyDescent="0.2">
      <c r="C2845" s="5"/>
    </row>
    <row r="2846" spans="3:3" x14ac:dyDescent="0.2">
      <c r="C2846" s="5"/>
    </row>
    <row r="2847" spans="3:3" x14ac:dyDescent="0.2">
      <c r="C2847" s="5"/>
    </row>
    <row r="2848" spans="3:3" x14ac:dyDescent="0.2">
      <c r="C2848" s="5"/>
    </row>
    <row r="2849" spans="3:3" x14ac:dyDescent="0.2">
      <c r="C2849" s="5"/>
    </row>
    <row r="2850" spans="3:3" x14ac:dyDescent="0.2">
      <c r="C2850" s="5"/>
    </row>
    <row r="2851" spans="3:3" x14ac:dyDescent="0.2">
      <c r="C2851" s="5"/>
    </row>
    <row r="2852" spans="3:3" x14ac:dyDescent="0.2">
      <c r="C2852" s="5"/>
    </row>
    <row r="2853" spans="3:3" x14ac:dyDescent="0.2">
      <c r="C2853" s="5"/>
    </row>
    <row r="2854" spans="3:3" x14ac:dyDescent="0.2">
      <c r="C2854" s="5"/>
    </row>
    <row r="2855" spans="3:3" x14ac:dyDescent="0.2">
      <c r="C2855" s="5"/>
    </row>
    <row r="2856" spans="3:3" x14ac:dyDescent="0.2">
      <c r="C2856" s="5"/>
    </row>
    <row r="2857" spans="3:3" x14ac:dyDescent="0.2">
      <c r="C2857" s="5"/>
    </row>
    <row r="2858" spans="3:3" x14ac:dyDescent="0.2">
      <c r="C2858" s="5"/>
    </row>
    <row r="2859" spans="3:3" x14ac:dyDescent="0.2">
      <c r="C2859" s="5"/>
    </row>
    <row r="2860" spans="3:3" x14ac:dyDescent="0.2">
      <c r="C2860" s="5"/>
    </row>
    <row r="2861" spans="3:3" x14ac:dyDescent="0.2">
      <c r="C2861" s="5"/>
    </row>
    <row r="2862" spans="3:3" x14ac:dyDescent="0.2">
      <c r="C2862" s="5"/>
    </row>
    <row r="2863" spans="3:3" x14ac:dyDescent="0.2">
      <c r="C2863" s="5"/>
    </row>
    <row r="2864" spans="3:3" x14ac:dyDescent="0.2">
      <c r="C2864" s="5"/>
    </row>
    <row r="2865" spans="3:3" x14ac:dyDescent="0.2">
      <c r="C2865" s="5"/>
    </row>
    <row r="2866" spans="3:3" x14ac:dyDescent="0.2">
      <c r="C2866" s="5"/>
    </row>
    <row r="2867" spans="3:3" x14ac:dyDescent="0.2">
      <c r="C2867" s="5"/>
    </row>
    <row r="2868" spans="3:3" x14ac:dyDescent="0.2">
      <c r="C2868" s="5"/>
    </row>
    <row r="2869" spans="3:3" x14ac:dyDescent="0.2">
      <c r="C2869" s="5"/>
    </row>
    <row r="2870" spans="3:3" x14ac:dyDescent="0.2">
      <c r="C2870" s="5"/>
    </row>
    <row r="2871" spans="3:3" x14ac:dyDescent="0.2">
      <c r="C2871" s="5"/>
    </row>
    <row r="2872" spans="3:3" x14ac:dyDescent="0.2">
      <c r="C2872" s="5"/>
    </row>
    <row r="2873" spans="3:3" x14ac:dyDescent="0.2">
      <c r="C2873" s="5"/>
    </row>
    <row r="2874" spans="3:3" x14ac:dyDescent="0.2">
      <c r="C2874" s="5"/>
    </row>
    <row r="2875" spans="3:3" x14ac:dyDescent="0.2">
      <c r="C2875" s="5"/>
    </row>
    <row r="2876" spans="3:3" x14ac:dyDescent="0.2">
      <c r="C2876" s="5"/>
    </row>
    <row r="2877" spans="3:3" x14ac:dyDescent="0.2">
      <c r="C2877" s="5"/>
    </row>
    <row r="2878" spans="3:3" x14ac:dyDescent="0.2">
      <c r="C2878" s="5"/>
    </row>
    <row r="2879" spans="3:3" x14ac:dyDescent="0.2">
      <c r="C2879" s="5"/>
    </row>
    <row r="2880" spans="3:3" x14ac:dyDescent="0.2">
      <c r="C2880" s="5"/>
    </row>
    <row r="2881" spans="3:3" x14ac:dyDescent="0.2">
      <c r="C2881" s="5"/>
    </row>
    <row r="2882" spans="3:3" x14ac:dyDescent="0.2">
      <c r="C2882" s="5"/>
    </row>
    <row r="2883" spans="3:3" x14ac:dyDescent="0.2">
      <c r="C2883" s="5"/>
    </row>
    <row r="2884" spans="3:3" x14ac:dyDescent="0.2">
      <c r="C2884" s="5"/>
    </row>
    <row r="2885" spans="3:3" x14ac:dyDescent="0.2">
      <c r="C2885" s="5"/>
    </row>
    <row r="2886" spans="3:3" x14ac:dyDescent="0.2">
      <c r="C2886" s="5"/>
    </row>
    <row r="2887" spans="3:3" x14ac:dyDescent="0.2">
      <c r="C2887" s="5"/>
    </row>
    <row r="2888" spans="3:3" x14ac:dyDescent="0.2">
      <c r="C2888" s="5"/>
    </row>
    <row r="2889" spans="3:3" x14ac:dyDescent="0.2">
      <c r="C2889" s="5"/>
    </row>
    <row r="2890" spans="3:3" x14ac:dyDescent="0.2">
      <c r="C2890" s="5"/>
    </row>
    <row r="2891" spans="3:3" x14ac:dyDescent="0.2">
      <c r="C2891" s="5"/>
    </row>
    <row r="2892" spans="3:3" x14ac:dyDescent="0.2">
      <c r="C2892" s="5"/>
    </row>
    <row r="2893" spans="3:3" x14ac:dyDescent="0.2">
      <c r="C2893" s="5"/>
    </row>
    <row r="2894" spans="3:3" x14ac:dyDescent="0.2">
      <c r="C2894" s="5"/>
    </row>
    <row r="2895" spans="3:3" x14ac:dyDescent="0.2">
      <c r="C2895" s="5"/>
    </row>
    <row r="2896" spans="3:3" x14ac:dyDescent="0.2">
      <c r="C2896" s="5"/>
    </row>
    <row r="2897" spans="3:3" x14ac:dyDescent="0.2">
      <c r="C2897" s="5"/>
    </row>
    <row r="2898" spans="3:3" x14ac:dyDescent="0.2">
      <c r="C2898" s="5"/>
    </row>
    <row r="2899" spans="3:3" x14ac:dyDescent="0.2">
      <c r="C2899" s="5"/>
    </row>
    <row r="2900" spans="3:3" x14ac:dyDescent="0.2">
      <c r="C2900" s="5"/>
    </row>
    <row r="2901" spans="3:3" x14ac:dyDescent="0.2">
      <c r="C2901" s="5"/>
    </row>
    <row r="2902" spans="3:3" x14ac:dyDescent="0.2">
      <c r="C2902" s="5"/>
    </row>
    <row r="2903" spans="3:3" x14ac:dyDescent="0.2">
      <c r="C2903" s="5"/>
    </row>
    <row r="2904" spans="3:3" x14ac:dyDescent="0.2">
      <c r="C2904" s="5"/>
    </row>
    <row r="2905" spans="3:3" x14ac:dyDescent="0.2">
      <c r="C2905" s="5"/>
    </row>
    <row r="2906" spans="3:3" x14ac:dyDescent="0.2">
      <c r="C2906" s="5"/>
    </row>
    <row r="2907" spans="3:3" x14ac:dyDescent="0.2">
      <c r="C2907" s="5"/>
    </row>
    <row r="2908" spans="3:3" x14ac:dyDescent="0.2">
      <c r="C2908" s="5"/>
    </row>
    <row r="2909" spans="3:3" x14ac:dyDescent="0.2">
      <c r="C2909" s="5"/>
    </row>
    <row r="2910" spans="3:3" x14ac:dyDescent="0.2">
      <c r="C2910" s="5"/>
    </row>
    <row r="2911" spans="3:3" x14ac:dyDescent="0.2">
      <c r="C2911" s="5"/>
    </row>
    <row r="2912" spans="3:3" x14ac:dyDescent="0.2">
      <c r="C2912" s="5"/>
    </row>
    <row r="2913" spans="3:3" x14ac:dyDescent="0.2">
      <c r="C2913" s="5"/>
    </row>
    <row r="2914" spans="3:3" x14ac:dyDescent="0.2">
      <c r="C2914" s="5"/>
    </row>
    <row r="2915" spans="3:3" x14ac:dyDescent="0.2">
      <c r="C2915" s="5"/>
    </row>
    <row r="2916" spans="3:3" x14ac:dyDescent="0.2">
      <c r="C2916" s="5"/>
    </row>
    <row r="2917" spans="3:3" x14ac:dyDescent="0.2">
      <c r="C2917" s="5"/>
    </row>
    <row r="2918" spans="3:3" x14ac:dyDescent="0.2">
      <c r="C2918" s="5"/>
    </row>
    <row r="2919" spans="3:3" x14ac:dyDescent="0.2">
      <c r="C2919" s="5"/>
    </row>
    <row r="2920" spans="3:3" x14ac:dyDescent="0.2">
      <c r="C2920" s="5"/>
    </row>
    <row r="2921" spans="3:3" x14ac:dyDescent="0.2">
      <c r="C2921" s="5"/>
    </row>
    <row r="2922" spans="3:3" x14ac:dyDescent="0.2">
      <c r="C2922" s="5"/>
    </row>
    <row r="2923" spans="3:3" x14ac:dyDescent="0.2">
      <c r="C2923" s="5"/>
    </row>
    <row r="2924" spans="3:3" x14ac:dyDescent="0.2">
      <c r="C2924" s="5"/>
    </row>
    <row r="2925" spans="3:3" x14ac:dyDescent="0.2">
      <c r="C2925" s="5"/>
    </row>
    <row r="2926" spans="3:3" x14ac:dyDescent="0.2">
      <c r="C2926" s="5"/>
    </row>
    <row r="2927" spans="3:3" x14ac:dyDescent="0.2">
      <c r="C2927" s="5"/>
    </row>
    <row r="2928" spans="3:3" x14ac:dyDescent="0.2">
      <c r="C2928" s="5"/>
    </row>
    <row r="2929" spans="3:3" x14ac:dyDescent="0.2">
      <c r="C2929" s="5"/>
    </row>
    <row r="2930" spans="3:3" x14ac:dyDescent="0.2">
      <c r="C2930" s="5"/>
    </row>
    <row r="2931" spans="3:3" x14ac:dyDescent="0.2">
      <c r="C2931" s="5"/>
    </row>
    <row r="2932" spans="3:3" x14ac:dyDescent="0.2">
      <c r="C2932" s="5"/>
    </row>
    <row r="2933" spans="3:3" x14ac:dyDescent="0.2">
      <c r="C2933" s="5"/>
    </row>
    <row r="2934" spans="3:3" x14ac:dyDescent="0.2">
      <c r="C2934" s="5"/>
    </row>
    <row r="2935" spans="3:3" x14ac:dyDescent="0.2">
      <c r="C2935" s="5"/>
    </row>
    <row r="2936" spans="3:3" x14ac:dyDescent="0.2">
      <c r="C2936" s="5"/>
    </row>
    <row r="2937" spans="3:3" x14ac:dyDescent="0.2">
      <c r="C2937" s="5"/>
    </row>
    <row r="2938" spans="3:3" x14ac:dyDescent="0.2">
      <c r="C2938" s="5"/>
    </row>
    <row r="2939" spans="3:3" x14ac:dyDescent="0.2">
      <c r="C2939" s="5"/>
    </row>
    <row r="2940" spans="3:3" x14ac:dyDescent="0.2">
      <c r="C2940" s="5"/>
    </row>
    <row r="2941" spans="3:3" x14ac:dyDescent="0.2">
      <c r="C2941" s="5"/>
    </row>
    <row r="2942" spans="3:3" x14ac:dyDescent="0.2">
      <c r="C2942" s="5"/>
    </row>
    <row r="2943" spans="3:3" x14ac:dyDescent="0.2">
      <c r="C2943" s="5"/>
    </row>
    <row r="2944" spans="3:3" x14ac:dyDescent="0.2">
      <c r="C2944" s="5"/>
    </row>
    <row r="2945" spans="3:3" x14ac:dyDescent="0.2">
      <c r="C2945" s="5"/>
    </row>
    <row r="2946" spans="3:3" x14ac:dyDescent="0.2">
      <c r="C2946" s="5"/>
    </row>
    <row r="2947" spans="3:3" x14ac:dyDescent="0.2">
      <c r="C2947" s="5"/>
    </row>
    <row r="2948" spans="3:3" x14ac:dyDescent="0.2">
      <c r="C2948" s="5"/>
    </row>
    <row r="2949" spans="3:3" x14ac:dyDescent="0.2">
      <c r="C2949" s="5"/>
    </row>
    <row r="2950" spans="3:3" x14ac:dyDescent="0.2">
      <c r="C2950" s="5"/>
    </row>
    <row r="2951" spans="3:3" x14ac:dyDescent="0.2">
      <c r="C2951" s="5"/>
    </row>
    <row r="2952" spans="3:3" x14ac:dyDescent="0.2">
      <c r="C2952" s="5"/>
    </row>
    <row r="2953" spans="3:3" x14ac:dyDescent="0.2">
      <c r="C2953" s="5"/>
    </row>
    <row r="2954" spans="3:3" x14ac:dyDescent="0.2">
      <c r="C2954" s="5"/>
    </row>
    <row r="2955" spans="3:3" x14ac:dyDescent="0.2">
      <c r="C2955" s="5"/>
    </row>
    <row r="2956" spans="3:3" x14ac:dyDescent="0.2">
      <c r="C2956" s="5"/>
    </row>
    <row r="2957" spans="3:3" x14ac:dyDescent="0.2">
      <c r="C2957" s="5"/>
    </row>
    <row r="2958" spans="3:3" x14ac:dyDescent="0.2">
      <c r="C2958" s="5"/>
    </row>
    <row r="2959" spans="3:3" x14ac:dyDescent="0.2">
      <c r="C2959" s="5"/>
    </row>
    <row r="2960" spans="3:3" x14ac:dyDescent="0.2">
      <c r="C2960" s="5"/>
    </row>
    <row r="2961" spans="3:3" x14ac:dyDescent="0.2">
      <c r="C2961" s="5"/>
    </row>
    <row r="2962" spans="3:3" x14ac:dyDescent="0.2">
      <c r="C2962" s="5"/>
    </row>
    <row r="2963" spans="3:3" x14ac:dyDescent="0.2">
      <c r="C2963" s="5"/>
    </row>
    <row r="2964" spans="3:3" x14ac:dyDescent="0.2">
      <c r="C2964" s="5"/>
    </row>
    <row r="2965" spans="3:3" x14ac:dyDescent="0.2">
      <c r="C2965" s="5"/>
    </row>
    <row r="2966" spans="3:3" x14ac:dyDescent="0.2">
      <c r="C2966" s="5"/>
    </row>
    <row r="2967" spans="3:3" x14ac:dyDescent="0.2">
      <c r="C2967" s="5"/>
    </row>
    <row r="2968" spans="3:3" x14ac:dyDescent="0.2">
      <c r="C2968" s="5"/>
    </row>
    <row r="2969" spans="3:3" x14ac:dyDescent="0.2">
      <c r="C2969" s="5"/>
    </row>
    <row r="2970" spans="3:3" x14ac:dyDescent="0.2">
      <c r="C2970" s="5"/>
    </row>
    <row r="2971" spans="3:3" x14ac:dyDescent="0.2">
      <c r="C2971" s="5"/>
    </row>
    <row r="2972" spans="3:3" x14ac:dyDescent="0.2">
      <c r="C2972" s="5"/>
    </row>
    <row r="2973" spans="3:3" x14ac:dyDescent="0.2">
      <c r="C2973" s="5"/>
    </row>
    <row r="2974" spans="3:3" x14ac:dyDescent="0.2">
      <c r="C2974" s="5"/>
    </row>
    <row r="2975" spans="3:3" x14ac:dyDescent="0.2">
      <c r="C2975" s="5"/>
    </row>
    <row r="2976" spans="3:3" x14ac:dyDescent="0.2">
      <c r="C2976" s="5"/>
    </row>
    <row r="2977" spans="3:3" x14ac:dyDescent="0.2">
      <c r="C2977" s="5"/>
    </row>
    <row r="2978" spans="3:3" x14ac:dyDescent="0.2">
      <c r="C2978" s="5"/>
    </row>
    <row r="2979" spans="3:3" x14ac:dyDescent="0.2">
      <c r="C2979" s="5"/>
    </row>
    <row r="2980" spans="3:3" x14ac:dyDescent="0.2">
      <c r="C2980" s="5"/>
    </row>
    <row r="2981" spans="3:3" x14ac:dyDescent="0.2">
      <c r="C2981" s="5"/>
    </row>
    <row r="2982" spans="3:3" x14ac:dyDescent="0.2">
      <c r="C2982" s="5"/>
    </row>
    <row r="2983" spans="3:3" x14ac:dyDescent="0.2">
      <c r="C2983" s="5"/>
    </row>
    <row r="2984" spans="3:3" x14ac:dyDescent="0.2">
      <c r="C2984" s="5"/>
    </row>
    <row r="2985" spans="3:3" x14ac:dyDescent="0.2">
      <c r="C2985" s="5"/>
    </row>
    <row r="2986" spans="3:3" x14ac:dyDescent="0.2">
      <c r="C2986" s="5"/>
    </row>
    <row r="2987" spans="3:3" x14ac:dyDescent="0.2">
      <c r="C2987" s="5"/>
    </row>
    <row r="2988" spans="3:3" x14ac:dyDescent="0.2">
      <c r="C2988" s="5"/>
    </row>
    <row r="2989" spans="3:3" x14ac:dyDescent="0.2">
      <c r="C2989" s="5"/>
    </row>
    <row r="2990" spans="3:3" x14ac:dyDescent="0.2">
      <c r="C2990" s="5"/>
    </row>
    <row r="2991" spans="3:3" x14ac:dyDescent="0.2">
      <c r="C2991" s="5"/>
    </row>
    <row r="2992" spans="3:3" x14ac:dyDescent="0.2">
      <c r="C2992" s="5"/>
    </row>
    <row r="2993" spans="3:3" x14ac:dyDescent="0.2">
      <c r="C2993" s="5"/>
    </row>
    <row r="2994" spans="3:3" x14ac:dyDescent="0.2">
      <c r="C2994" s="5"/>
    </row>
    <row r="2995" spans="3:3" x14ac:dyDescent="0.2">
      <c r="C2995" s="5"/>
    </row>
    <row r="2996" spans="3:3" x14ac:dyDescent="0.2">
      <c r="C2996" s="5"/>
    </row>
    <row r="2997" spans="3:3" x14ac:dyDescent="0.2">
      <c r="C2997" s="5"/>
    </row>
    <row r="2998" spans="3:3" x14ac:dyDescent="0.2">
      <c r="C2998" s="5"/>
    </row>
    <row r="2999" spans="3:3" x14ac:dyDescent="0.2">
      <c r="C2999" s="5"/>
    </row>
    <row r="3000" spans="3:3" x14ac:dyDescent="0.2">
      <c r="C3000" s="5"/>
    </row>
    <row r="3001" spans="3:3" x14ac:dyDescent="0.2">
      <c r="C3001" s="5"/>
    </row>
    <row r="3002" spans="3:3" x14ac:dyDescent="0.2">
      <c r="C3002" s="5"/>
    </row>
    <row r="3003" spans="3:3" x14ac:dyDescent="0.2">
      <c r="C3003" s="5"/>
    </row>
    <row r="3004" spans="3:3" x14ac:dyDescent="0.2">
      <c r="C3004" s="5"/>
    </row>
    <row r="3005" spans="3:3" x14ac:dyDescent="0.2">
      <c r="C3005" s="5"/>
    </row>
    <row r="3006" spans="3:3" x14ac:dyDescent="0.2">
      <c r="C3006" s="5"/>
    </row>
    <row r="3007" spans="3:3" x14ac:dyDescent="0.2">
      <c r="C3007" s="5"/>
    </row>
    <row r="3008" spans="3:3" x14ac:dyDescent="0.2">
      <c r="C3008" s="5"/>
    </row>
    <row r="3009" spans="3:3" x14ac:dyDescent="0.2">
      <c r="C3009" s="5"/>
    </row>
    <row r="3010" spans="3:3" x14ac:dyDescent="0.2">
      <c r="C3010" s="5"/>
    </row>
    <row r="3011" spans="3:3" x14ac:dyDescent="0.2">
      <c r="C3011" s="5"/>
    </row>
    <row r="3012" spans="3:3" x14ac:dyDescent="0.2">
      <c r="C3012" s="5"/>
    </row>
    <row r="3013" spans="3:3" x14ac:dyDescent="0.2">
      <c r="C3013" s="5"/>
    </row>
    <row r="3014" spans="3:3" x14ac:dyDescent="0.2">
      <c r="C3014" s="5"/>
    </row>
    <row r="3015" spans="3:3" x14ac:dyDescent="0.2">
      <c r="C3015" s="5"/>
    </row>
    <row r="3016" spans="3:3" x14ac:dyDescent="0.2">
      <c r="C3016" s="5"/>
    </row>
    <row r="3017" spans="3:3" x14ac:dyDescent="0.2">
      <c r="C3017" s="5"/>
    </row>
    <row r="3018" spans="3:3" x14ac:dyDescent="0.2">
      <c r="C3018" s="5"/>
    </row>
    <row r="3019" spans="3:3" x14ac:dyDescent="0.2">
      <c r="C3019" s="5"/>
    </row>
    <row r="3020" spans="3:3" x14ac:dyDescent="0.2">
      <c r="C3020" s="5"/>
    </row>
    <row r="3021" spans="3:3" x14ac:dyDescent="0.2">
      <c r="C3021" s="5"/>
    </row>
    <row r="3022" spans="3:3" x14ac:dyDescent="0.2">
      <c r="C3022" s="5"/>
    </row>
    <row r="3023" spans="3:3" x14ac:dyDescent="0.2">
      <c r="C3023" s="5"/>
    </row>
    <row r="3024" spans="3:3" x14ac:dyDescent="0.2">
      <c r="C3024" s="5"/>
    </row>
    <row r="3025" spans="3:3" x14ac:dyDescent="0.2">
      <c r="C3025" s="5"/>
    </row>
    <row r="3026" spans="3:3" x14ac:dyDescent="0.2">
      <c r="C3026" s="5"/>
    </row>
    <row r="3027" spans="3:3" x14ac:dyDescent="0.2">
      <c r="C3027" s="5"/>
    </row>
    <row r="3028" spans="3:3" x14ac:dyDescent="0.2">
      <c r="C3028" s="5"/>
    </row>
    <row r="3029" spans="3:3" x14ac:dyDescent="0.2">
      <c r="C3029" s="5"/>
    </row>
    <row r="3030" spans="3:3" x14ac:dyDescent="0.2">
      <c r="C3030" s="5"/>
    </row>
    <row r="3031" spans="3:3" x14ac:dyDescent="0.2">
      <c r="C3031" s="5"/>
    </row>
    <row r="3032" spans="3:3" x14ac:dyDescent="0.2">
      <c r="C3032" s="5"/>
    </row>
    <row r="3033" spans="3:3" x14ac:dyDescent="0.2">
      <c r="C3033" s="5"/>
    </row>
    <row r="3034" spans="3:3" x14ac:dyDescent="0.2">
      <c r="C3034" s="5"/>
    </row>
    <row r="3035" spans="3:3" x14ac:dyDescent="0.2">
      <c r="C3035" s="5"/>
    </row>
    <row r="3036" spans="3:3" x14ac:dyDescent="0.2">
      <c r="C3036" s="5"/>
    </row>
    <row r="3037" spans="3:3" x14ac:dyDescent="0.2">
      <c r="C3037" s="5"/>
    </row>
    <row r="3038" spans="3:3" x14ac:dyDescent="0.2">
      <c r="C3038" s="5"/>
    </row>
    <row r="3039" spans="3:3" x14ac:dyDescent="0.2">
      <c r="C3039" s="5"/>
    </row>
    <row r="3040" spans="3:3" x14ac:dyDescent="0.2">
      <c r="C3040" s="5"/>
    </row>
    <row r="3041" spans="3:3" x14ac:dyDescent="0.2">
      <c r="C3041" s="5"/>
    </row>
    <row r="3042" spans="3:3" x14ac:dyDescent="0.2">
      <c r="C3042" s="5"/>
    </row>
    <row r="3043" spans="3:3" x14ac:dyDescent="0.2">
      <c r="C3043" s="5"/>
    </row>
    <row r="3044" spans="3:3" x14ac:dyDescent="0.2">
      <c r="C3044" s="5"/>
    </row>
    <row r="3045" spans="3:3" x14ac:dyDescent="0.2">
      <c r="C3045" s="5"/>
    </row>
    <row r="3046" spans="3:3" x14ac:dyDescent="0.2">
      <c r="C3046" s="5"/>
    </row>
    <row r="3047" spans="3:3" x14ac:dyDescent="0.2">
      <c r="C3047" s="5"/>
    </row>
    <row r="3048" spans="3:3" x14ac:dyDescent="0.2">
      <c r="C3048" s="5"/>
    </row>
    <row r="3049" spans="3:3" x14ac:dyDescent="0.2">
      <c r="C3049" s="5"/>
    </row>
    <row r="3050" spans="3:3" x14ac:dyDescent="0.2">
      <c r="C3050" s="5"/>
    </row>
    <row r="3051" spans="3:3" x14ac:dyDescent="0.2">
      <c r="C3051" s="5"/>
    </row>
    <row r="3052" spans="3:3" x14ac:dyDescent="0.2">
      <c r="C3052" s="5"/>
    </row>
    <row r="3053" spans="3:3" x14ac:dyDescent="0.2">
      <c r="C3053" s="5"/>
    </row>
    <row r="3054" spans="3:3" x14ac:dyDescent="0.2">
      <c r="C3054" s="5"/>
    </row>
    <row r="3055" spans="3:3" x14ac:dyDescent="0.2">
      <c r="C3055" s="5"/>
    </row>
    <row r="3056" spans="3:3" x14ac:dyDescent="0.2">
      <c r="C3056" s="5"/>
    </row>
    <row r="3057" spans="3:3" x14ac:dyDescent="0.2">
      <c r="C3057" s="5"/>
    </row>
    <row r="3058" spans="3:3" x14ac:dyDescent="0.2">
      <c r="C3058" s="5"/>
    </row>
    <row r="3059" spans="3:3" x14ac:dyDescent="0.2">
      <c r="C3059" s="5"/>
    </row>
    <row r="3060" spans="3:3" x14ac:dyDescent="0.2">
      <c r="C3060" s="5"/>
    </row>
    <row r="3061" spans="3:3" x14ac:dyDescent="0.2">
      <c r="C3061" s="5"/>
    </row>
    <row r="3062" spans="3:3" x14ac:dyDescent="0.2">
      <c r="C3062" s="5"/>
    </row>
    <row r="3063" spans="3:3" x14ac:dyDescent="0.2">
      <c r="C3063" s="5"/>
    </row>
    <row r="3064" spans="3:3" x14ac:dyDescent="0.2">
      <c r="C3064" s="5"/>
    </row>
    <row r="3065" spans="3:3" x14ac:dyDescent="0.2">
      <c r="C3065" s="5"/>
    </row>
    <row r="3066" spans="3:3" x14ac:dyDescent="0.2">
      <c r="C3066" s="5"/>
    </row>
    <row r="3067" spans="3:3" x14ac:dyDescent="0.2">
      <c r="C3067" s="5"/>
    </row>
    <row r="3068" spans="3:3" x14ac:dyDescent="0.2">
      <c r="C3068" s="5"/>
    </row>
    <row r="3069" spans="3:3" x14ac:dyDescent="0.2">
      <c r="C3069" s="5"/>
    </row>
    <row r="3070" spans="3:3" x14ac:dyDescent="0.2">
      <c r="C3070" s="5"/>
    </row>
    <row r="3071" spans="3:3" x14ac:dyDescent="0.2">
      <c r="C3071" s="5"/>
    </row>
    <row r="3072" spans="3:3" x14ac:dyDescent="0.2">
      <c r="C3072" s="5"/>
    </row>
    <row r="3073" spans="3:3" x14ac:dyDescent="0.2">
      <c r="C3073" s="5"/>
    </row>
    <row r="3074" spans="3:3" x14ac:dyDescent="0.2">
      <c r="C3074" s="5"/>
    </row>
    <row r="3075" spans="3:3" x14ac:dyDescent="0.2">
      <c r="C3075" s="5"/>
    </row>
    <row r="3076" spans="3:3" x14ac:dyDescent="0.2">
      <c r="C3076" s="5"/>
    </row>
    <row r="3077" spans="3:3" x14ac:dyDescent="0.2">
      <c r="C3077" s="5"/>
    </row>
    <row r="3078" spans="3:3" x14ac:dyDescent="0.2">
      <c r="C3078" s="5"/>
    </row>
    <row r="3079" spans="3:3" x14ac:dyDescent="0.2">
      <c r="C3079" s="5"/>
    </row>
    <row r="3080" spans="3:3" x14ac:dyDescent="0.2">
      <c r="C3080" s="5"/>
    </row>
    <row r="3081" spans="3:3" x14ac:dyDescent="0.2">
      <c r="C3081" s="5"/>
    </row>
    <row r="3082" spans="3:3" x14ac:dyDescent="0.2">
      <c r="C3082" s="5"/>
    </row>
    <row r="3083" spans="3:3" x14ac:dyDescent="0.2">
      <c r="C3083" s="5"/>
    </row>
    <row r="3084" spans="3:3" x14ac:dyDescent="0.2">
      <c r="C3084" s="5"/>
    </row>
    <row r="3085" spans="3:3" x14ac:dyDescent="0.2">
      <c r="C3085" s="5"/>
    </row>
    <row r="3086" spans="3:3" x14ac:dyDescent="0.2">
      <c r="C3086" s="5"/>
    </row>
    <row r="3087" spans="3:3" x14ac:dyDescent="0.2">
      <c r="C3087" s="5"/>
    </row>
    <row r="3088" spans="3:3" x14ac:dyDescent="0.2">
      <c r="C3088" s="5"/>
    </row>
    <row r="3089" spans="3:3" x14ac:dyDescent="0.2">
      <c r="C3089" s="5"/>
    </row>
    <row r="3090" spans="3:3" x14ac:dyDescent="0.2">
      <c r="C3090" s="5"/>
    </row>
    <row r="3091" spans="3:3" x14ac:dyDescent="0.2">
      <c r="C3091" s="5"/>
    </row>
    <row r="3092" spans="3:3" x14ac:dyDescent="0.2">
      <c r="C3092" s="5"/>
    </row>
    <row r="3093" spans="3:3" x14ac:dyDescent="0.2">
      <c r="C3093" s="5"/>
    </row>
    <row r="3094" spans="3:3" x14ac:dyDescent="0.2">
      <c r="C3094" s="5"/>
    </row>
    <row r="3095" spans="3:3" x14ac:dyDescent="0.2">
      <c r="C3095" s="5"/>
    </row>
    <row r="3096" spans="3:3" x14ac:dyDescent="0.2">
      <c r="C3096" s="5"/>
    </row>
    <row r="3097" spans="3:3" x14ac:dyDescent="0.2">
      <c r="C3097" s="5"/>
    </row>
    <row r="3098" spans="3:3" x14ac:dyDescent="0.2">
      <c r="C3098" s="5"/>
    </row>
    <row r="3099" spans="3:3" x14ac:dyDescent="0.2">
      <c r="C3099" s="5"/>
    </row>
    <row r="3100" spans="3:3" x14ac:dyDescent="0.2">
      <c r="C3100" s="5"/>
    </row>
    <row r="3101" spans="3:3" x14ac:dyDescent="0.2">
      <c r="C3101" s="5"/>
    </row>
    <row r="3102" spans="3:3" x14ac:dyDescent="0.2">
      <c r="C3102" s="5"/>
    </row>
    <row r="3103" spans="3:3" x14ac:dyDescent="0.2">
      <c r="C3103" s="5"/>
    </row>
    <row r="3104" spans="3:3" x14ac:dyDescent="0.2">
      <c r="C3104" s="5"/>
    </row>
    <row r="3105" spans="3:3" x14ac:dyDescent="0.2">
      <c r="C3105" s="5"/>
    </row>
    <row r="3106" spans="3:3" x14ac:dyDescent="0.2">
      <c r="C3106" s="5"/>
    </row>
    <row r="3107" spans="3:3" x14ac:dyDescent="0.2">
      <c r="C3107" s="5"/>
    </row>
    <row r="3108" spans="3:3" x14ac:dyDescent="0.2">
      <c r="C3108" s="5"/>
    </row>
    <row r="3109" spans="3:3" x14ac:dyDescent="0.2">
      <c r="C3109" s="5"/>
    </row>
    <row r="3110" spans="3:3" x14ac:dyDescent="0.2">
      <c r="C3110" s="5"/>
    </row>
    <row r="3111" spans="3:3" x14ac:dyDescent="0.2">
      <c r="C3111" s="5"/>
    </row>
    <row r="3112" spans="3:3" x14ac:dyDescent="0.2">
      <c r="C3112" s="5"/>
    </row>
    <row r="3113" spans="3:3" x14ac:dyDescent="0.2">
      <c r="C3113" s="5"/>
    </row>
    <row r="3114" spans="3:3" x14ac:dyDescent="0.2">
      <c r="C3114" s="5"/>
    </row>
    <row r="3115" spans="3:3" x14ac:dyDescent="0.2">
      <c r="C3115" s="5"/>
    </row>
    <row r="3116" spans="3:3" x14ac:dyDescent="0.2">
      <c r="C3116" s="5"/>
    </row>
    <row r="3117" spans="3:3" x14ac:dyDescent="0.2">
      <c r="C3117" s="5"/>
    </row>
    <row r="3118" spans="3:3" x14ac:dyDescent="0.2">
      <c r="C3118" s="5"/>
    </row>
    <row r="3119" spans="3:3" x14ac:dyDescent="0.2">
      <c r="C3119" s="5"/>
    </row>
    <row r="3120" spans="3:3" x14ac:dyDescent="0.2">
      <c r="C3120" s="5"/>
    </row>
    <row r="3121" spans="3:3" x14ac:dyDescent="0.2">
      <c r="C3121" s="5"/>
    </row>
    <row r="3122" spans="3:3" x14ac:dyDescent="0.2">
      <c r="C3122" s="5"/>
    </row>
    <row r="3123" spans="3:3" x14ac:dyDescent="0.2">
      <c r="C3123" s="5"/>
    </row>
    <row r="3124" spans="3:3" x14ac:dyDescent="0.2">
      <c r="C3124" s="5"/>
    </row>
    <row r="3125" spans="3:3" x14ac:dyDescent="0.2">
      <c r="C3125" s="5"/>
    </row>
    <row r="3126" spans="3:3" x14ac:dyDescent="0.2">
      <c r="C3126" s="5"/>
    </row>
    <row r="3127" spans="3:3" x14ac:dyDescent="0.2">
      <c r="C3127" s="5"/>
    </row>
    <row r="3128" spans="3:3" x14ac:dyDescent="0.2">
      <c r="C3128" s="5"/>
    </row>
    <row r="3129" spans="3:3" x14ac:dyDescent="0.2">
      <c r="C3129" s="5"/>
    </row>
    <row r="3130" spans="3:3" x14ac:dyDescent="0.2">
      <c r="C3130" s="5"/>
    </row>
    <row r="3131" spans="3:3" x14ac:dyDescent="0.2">
      <c r="C3131" s="5"/>
    </row>
    <row r="3132" spans="3:3" x14ac:dyDescent="0.2">
      <c r="C3132" s="5"/>
    </row>
    <row r="3133" spans="3:3" x14ac:dyDescent="0.2">
      <c r="C3133" s="5"/>
    </row>
    <row r="3134" spans="3:3" x14ac:dyDescent="0.2">
      <c r="C3134" s="5"/>
    </row>
    <row r="3135" spans="3:3" x14ac:dyDescent="0.2">
      <c r="C3135" s="5"/>
    </row>
    <row r="3136" spans="3:3" x14ac:dyDescent="0.2">
      <c r="C3136" s="5"/>
    </row>
    <row r="3137" spans="3:3" x14ac:dyDescent="0.2">
      <c r="C3137" s="5"/>
    </row>
    <row r="3138" spans="3:3" x14ac:dyDescent="0.2">
      <c r="C3138" s="5"/>
    </row>
    <row r="3139" spans="3:3" x14ac:dyDescent="0.2">
      <c r="C3139" s="5"/>
    </row>
    <row r="3140" spans="3:3" x14ac:dyDescent="0.2">
      <c r="C3140" s="5"/>
    </row>
    <row r="3141" spans="3:3" x14ac:dyDescent="0.2">
      <c r="C3141" s="5"/>
    </row>
    <row r="3142" spans="3:3" x14ac:dyDescent="0.2">
      <c r="C3142" s="5"/>
    </row>
    <row r="3143" spans="3:3" x14ac:dyDescent="0.2">
      <c r="C3143" s="5"/>
    </row>
    <row r="3144" spans="3:3" x14ac:dyDescent="0.2">
      <c r="C3144" s="5"/>
    </row>
    <row r="3145" spans="3:3" x14ac:dyDescent="0.2">
      <c r="C3145" s="5"/>
    </row>
    <row r="3146" spans="3:3" x14ac:dyDescent="0.2">
      <c r="C3146" s="5"/>
    </row>
    <row r="3147" spans="3:3" x14ac:dyDescent="0.2">
      <c r="C3147" s="5"/>
    </row>
    <row r="3148" spans="3:3" x14ac:dyDescent="0.2">
      <c r="C3148" s="5"/>
    </row>
    <row r="3149" spans="3:3" x14ac:dyDescent="0.2">
      <c r="C3149" s="5"/>
    </row>
    <row r="3150" spans="3:3" x14ac:dyDescent="0.2">
      <c r="C3150" s="5"/>
    </row>
    <row r="3151" spans="3:3" x14ac:dyDescent="0.2">
      <c r="C3151" s="5"/>
    </row>
    <row r="3152" spans="3:3" x14ac:dyDescent="0.2">
      <c r="C3152" s="5"/>
    </row>
    <row r="3153" spans="3:3" x14ac:dyDescent="0.2">
      <c r="C3153" s="5"/>
    </row>
    <row r="3154" spans="3:3" x14ac:dyDescent="0.2">
      <c r="C3154" s="5"/>
    </row>
    <row r="3155" spans="3:3" x14ac:dyDescent="0.2">
      <c r="C3155" s="5"/>
    </row>
    <row r="3156" spans="3:3" x14ac:dyDescent="0.2">
      <c r="C3156" s="5"/>
    </row>
    <row r="3157" spans="3:3" x14ac:dyDescent="0.2">
      <c r="C3157" s="5"/>
    </row>
    <row r="3158" spans="3:3" x14ac:dyDescent="0.2">
      <c r="C3158" s="5"/>
    </row>
    <row r="3159" spans="3:3" x14ac:dyDescent="0.2">
      <c r="C3159" s="5"/>
    </row>
    <row r="3160" spans="3:3" x14ac:dyDescent="0.2">
      <c r="C3160" s="5"/>
    </row>
    <row r="3161" spans="3:3" x14ac:dyDescent="0.2">
      <c r="C3161" s="5"/>
    </row>
    <row r="3162" spans="3:3" x14ac:dyDescent="0.2">
      <c r="C3162" s="5"/>
    </row>
    <row r="3163" spans="3:3" x14ac:dyDescent="0.2">
      <c r="C3163" s="5"/>
    </row>
    <row r="3164" spans="3:3" x14ac:dyDescent="0.2">
      <c r="C3164" s="5"/>
    </row>
    <row r="3165" spans="3:3" x14ac:dyDescent="0.2">
      <c r="C3165" s="5"/>
    </row>
    <row r="3166" spans="3:3" x14ac:dyDescent="0.2">
      <c r="C3166" s="5"/>
    </row>
    <row r="3167" spans="3:3" x14ac:dyDescent="0.2">
      <c r="C3167" s="5"/>
    </row>
    <row r="3168" spans="3:3" x14ac:dyDescent="0.2">
      <c r="C3168" s="5"/>
    </row>
    <row r="3169" spans="3:3" x14ac:dyDescent="0.2">
      <c r="C3169" s="5"/>
    </row>
    <row r="3170" spans="3:3" x14ac:dyDescent="0.2">
      <c r="C3170" s="5"/>
    </row>
    <row r="3171" spans="3:3" x14ac:dyDescent="0.2">
      <c r="C3171" s="5"/>
    </row>
    <row r="3172" spans="3:3" x14ac:dyDescent="0.2">
      <c r="C3172" s="5"/>
    </row>
    <row r="3173" spans="3:3" x14ac:dyDescent="0.2">
      <c r="C3173" s="5"/>
    </row>
    <row r="3174" spans="3:3" x14ac:dyDescent="0.2">
      <c r="C3174" s="5"/>
    </row>
    <row r="3175" spans="3:3" x14ac:dyDescent="0.2">
      <c r="C3175" s="5"/>
    </row>
    <row r="3176" spans="3:3" x14ac:dyDescent="0.2">
      <c r="C3176" s="5"/>
    </row>
    <row r="3177" spans="3:3" x14ac:dyDescent="0.2">
      <c r="C3177" s="5"/>
    </row>
    <row r="3178" spans="3:3" x14ac:dyDescent="0.2">
      <c r="C3178" s="5"/>
    </row>
    <row r="3179" spans="3:3" x14ac:dyDescent="0.2">
      <c r="C3179" s="5"/>
    </row>
    <row r="3180" spans="3:3" x14ac:dyDescent="0.2">
      <c r="C3180" s="5"/>
    </row>
    <row r="3181" spans="3:3" x14ac:dyDescent="0.2">
      <c r="C3181" s="5"/>
    </row>
    <row r="3182" spans="3:3" x14ac:dyDescent="0.2">
      <c r="C3182" s="5"/>
    </row>
    <row r="3183" spans="3:3" x14ac:dyDescent="0.2">
      <c r="C3183" s="5"/>
    </row>
    <row r="3184" spans="3:3" x14ac:dyDescent="0.2">
      <c r="C3184" s="5"/>
    </row>
    <row r="3185" spans="3:3" x14ac:dyDescent="0.2">
      <c r="C3185" s="5"/>
    </row>
    <row r="3186" spans="3:3" x14ac:dyDescent="0.2">
      <c r="C3186" s="5"/>
    </row>
    <row r="3187" spans="3:3" x14ac:dyDescent="0.2">
      <c r="C3187" s="5"/>
    </row>
    <row r="3188" spans="3:3" x14ac:dyDescent="0.2">
      <c r="C3188" s="5"/>
    </row>
    <row r="3189" spans="3:3" x14ac:dyDescent="0.2">
      <c r="C3189" s="5"/>
    </row>
    <row r="3190" spans="3:3" x14ac:dyDescent="0.2">
      <c r="C3190" s="5"/>
    </row>
    <row r="3191" spans="3:3" x14ac:dyDescent="0.2">
      <c r="C3191" s="5"/>
    </row>
    <row r="3192" spans="3:3" x14ac:dyDescent="0.2">
      <c r="C3192" s="5"/>
    </row>
    <row r="3193" spans="3:3" x14ac:dyDescent="0.2">
      <c r="C3193" s="5"/>
    </row>
    <row r="3194" spans="3:3" x14ac:dyDescent="0.2">
      <c r="C3194" s="5"/>
    </row>
    <row r="3195" spans="3:3" x14ac:dyDescent="0.2">
      <c r="C3195" s="5"/>
    </row>
    <row r="3196" spans="3:3" x14ac:dyDescent="0.2">
      <c r="C3196" s="5"/>
    </row>
    <row r="3197" spans="3:3" x14ac:dyDescent="0.2">
      <c r="C3197" s="5"/>
    </row>
    <row r="3198" spans="3:3" x14ac:dyDescent="0.2">
      <c r="C3198" s="5"/>
    </row>
    <row r="3199" spans="3:3" x14ac:dyDescent="0.2">
      <c r="C3199" s="5"/>
    </row>
    <row r="3200" spans="3:3" x14ac:dyDescent="0.2">
      <c r="C3200" s="5"/>
    </row>
    <row r="3201" spans="3:3" x14ac:dyDescent="0.2">
      <c r="C3201" s="5"/>
    </row>
    <row r="3202" spans="3:3" x14ac:dyDescent="0.2">
      <c r="C3202" s="5"/>
    </row>
    <row r="3203" spans="3:3" x14ac:dyDescent="0.2">
      <c r="C3203" s="5"/>
    </row>
    <row r="3204" spans="3:3" x14ac:dyDescent="0.2">
      <c r="C3204" s="5"/>
    </row>
    <row r="3205" spans="3:3" x14ac:dyDescent="0.2">
      <c r="C3205" s="5"/>
    </row>
    <row r="3206" spans="3:3" x14ac:dyDescent="0.2">
      <c r="C3206" s="5"/>
    </row>
    <row r="3207" spans="3:3" x14ac:dyDescent="0.2">
      <c r="C3207" s="5"/>
    </row>
    <row r="3208" spans="3:3" x14ac:dyDescent="0.2">
      <c r="C3208" s="5"/>
    </row>
    <row r="3209" spans="3:3" x14ac:dyDescent="0.2">
      <c r="C3209" s="5"/>
    </row>
    <row r="3210" spans="3:3" x14ac:dyDescent="0.2">
      <c r="C3210" s="5"/>
    </row>
    <row r="3211" spans="3:3" x14ac:dyDescent="0.2">
      <c r="C3211" s="5"/>
    </row>
    <row r="3212" spans="3:3" x14ac:dyDescent="0.2">
      <c r="C3212" s="5"/>
    </row>
    <row r="3213" spans="3:3" x14ac:dyDescent="0.2">
      <c r="C3213" s="5"/>
    </row>
    <row r="3214" spans="3:3" x14ac:dyDescent="0.2">
      <c r="C3214" s="5"/>
    </row>
    <row r="3215" spans="3:3" x14ac:dyDescent="0.2">
      <c r="C3215" s="5"/>
    </row>
    <row r="3216" spans="3:3" x14ac:dyDescent="0.2">
      <c r="C3216" s="5"/>
    </row>
    <row r="3217" spans="3:3" x14ac:dyDescent="0.2">
      <c r="C3217" s="5"/>
    </row>
    <row r="3218" spans="3:3" x14ac:dyDescent="0.2">
      <c r="C3218" s="5"/>
    </row>
    <row r="3219" spans="3:3" x14ac:dyDescent="0.2">
      <c r="C3219" s="5"/>
    </row>
    <row r="3220" spans="3:3" x14ac:dyDescent="0.2">
      <c r="C3220" s="5"/>
    </row>
    <row r="3221" spans="3:3" x14ac:dyDescent="0.2">
      <c r="C3221" s="5"/>
    </row>
    <row r="3222" spans="3:3" x14ac:dyDescent="0.2">
      <c r="C3222" s="5"/>
    </row>
    <row r="3223" spans="3:3" x14ac:dyDescent="0.2">
      <c r="C3223" s="5"/>
    </row>
    <row r="3224" spans="3:3" x14ac:dyDescent="0.2">
      <c r="C3224" s="5"/>
    </row>
    <row r="3225" spans="3:3" x14ac:dyDescent="0.2">
      <c r="C3225" s="5"/>
    </row>
    <row r="3226" spans="3:3" x14ac:dyDescent="0.2">
      <c r="C3226" s="5"/>
    </row>
    <row r="3227" spans="3:3" x14ac:dyDescent="0.2">
      <c r="C3227" s="5"/>
    </row>
    <row r="3228" spans="3:3" x14ac:dyDescent="0.2">
      <c r="C3228" s="5"/>
    </row>
    <row r="3229" spans="3:3" x14ac:dyDescent="0.2">
      <c r="C3229" s="5"/>
    </row>
    <row r="3230" spans="3:3" x14ac:dyDescent="0.2">
      <c r="C3230" s="5"/>
    </row>
    <row r="3231" spans="3:3" x14ac:dyDescent="0.2">
      <c r="C3231" s="5"/>
    </row>
    <row r="3232" spans="3:3" x14ac:dyDescent="0.2">
      <c r="C3232" s="5"/>
    </row>
    <row r="3233" spans="3:3" x14ac:dyDescent="0.2">
      <c r="C3233" s="5"/>
    </row>
    <row r="3234" spans="3:3" x14ac:dyDescent="0.2">
      <c r="C3234" s="5"/>
    </row>
    <row r="3235" spans="3:3" x14ac:dyDescent="0.2">
      <c r="C3235" s="5"/>
    </row>
    <row r="3236" spans="3:3" x14ac:dyDescent="0.2">
      <c r="C3236" s="5"/>
    </row>
    <row r="3237" spans="3:3" x14ac:dyDescent="0.2">
      <c r="C3237" s="5"/>
    </row>
    <row r="3238" spans="3:3" x14ac:dyDescent="0.2">
      <c r="C3238" s="5"/>
    </row>
    <row r="3239" spans="3:3" x14ac:dyDescent="0.2">
      <c r="C3239" s="5"/>
    </row>
    <row r="3240" spans="3:3" x14ac:dyDescent="0.2">
      <c r="C3240" s="5"/>
    </row>
    <row r="3241" spans="3:3" x14ac:dyDescent="0.2">
      <c r="C3241" s="5"/>
    </row>
    <row r="3242" spans="3:3" x14ac:dyDescent="0.2">
      <c r="C3242" s="5"/>
    </row>
    <row r="3243" spans="3:3" x14ac:dyDescent="0.2">
      <c r="C3243" s="5"/>
    </row>
    <row r="3244" spans="3:3" x14ac:dyDescent="0.2">
      <c r="C3244" s="5"/>
    </row>
    <row r="3245" spans="3:3" x14ac:dyDescent="0.2">
      <c r="C3245" s="5"/>
    </row>
    <row r="3246" spans="3:3" x14ac:dyDescent="0.2">
      <c r="C3246" s="5"/>
    </row>
    <row r="3247" spans="3:3" x14ac:dyDescent="0.2">
      <c r="C3247" s="5"/>
    </row>
    <row r="3248" spans="3:3" x14ac:dyDescent="0.2">
      <c r="C3248" s="5"/>
    </row>
    <row r="3249" spans="3:3" x14ac:dyDescent="0.2">
      <c r="C3249" s="5"/>
    </row>
    <row r="3250" spans="3:3" x14ac:dyDescent="0.2">
      <c r="C3250" s="5"/>
    </row>
    <row r="3251" spans="3:3" x14ac:dyDescent="0.2">
      <c r="C3251" s="5"/>
    </row>
    <row r="3252" spans="3:3" x14ac:dyDescent="0.2">
      <c r="C3252" s="5"/>
    </row>
    <row r="3253" spans="3:3" x14ac:dyDescent="0.2">
      <c r="C3253" s="5"/>
    </row>
    <row r="3254" spans="3:3" x14ac:dyDescent="0.2">
      <c r="C3254" s="5"/>
    </row>
    <row r="3255" spans="3:3" x14ac:dyDescent="0.2">
      <c r="C3255" s="5"/>
    </row>
    <row r="3256" spans="3:3" x14ac:dyDescent="0.2">
      <c r="C3256" s="5"/>
    </row>
    <row r="3257" spans="3:3" x14ac:dyDescent="0.2">
      <c r="C3257" s="5"/>
    </row>
    <row r="3258" spans="3:3" x14ac:dyDescent="0.2">
      <c r="C3258" s="5"/>
    </row>
    <row r="3259" spans="3:3" x14ac:dyDescent="0.2">
      <c r="C3259" s="5"/>
    </row>
    <row r="3260" spans="3:3" x14ac:dyDescent="0.2">
      <c r="C3260" s="5"/>
    </row>
    <row r="3261" spans="3:3" x14ac:dyDescent="0.2">
      <c r="C3261" s="5"/>
    </row>
    <row r="3262" spans="3:3" x14ac:dyDescent="0.2">
      <c r="C3262" s="5"/>
    </row>
    <row r="3263" spans="3:3" x14ac:dyDescent="0.2">
      <c r="C3263" s="5"/>
    </row>
    <row r="3264" spans="3:3" x14ac:dyDescent="0.2">
      <c r="C3264" s="5"/>
    </row>
    <row r="3265" spans="3:3" x14ac:dyDescent="0.2">
      <c r="C3265" s="5"/>
    </row>
    <row r="3266" spans="3:3" x14ac:dyDescent="0.2">
      <c r="C3266" s="5"/>
    </row>
    <row r="3267" spans="3:3" x14ac:dyDescent="0.2">
      <c r="C3267" s="5"/>
    </row>
    <row r="3268" spans="3:3" x14ac:dyDescent="0.2">
      <c r="C3268" s="5"/>
    </row>
    <row r="3269" spans="3:3" x14ac:dyDescent="0.2">
      <c r="C3269" s="5"/>
    </row>
    <row r="3270" spans="3:3" x14ac:dyDescent="0.2">
      <c r="C3270" s="5"/>
    </row>
    <row r="3271" spans="3:3" x14ac:dyDescent="0.2">
      <c r="C3271" s="5"/>
    </row>
    <row r="3272" spans="3:3" x14ac:dyDescent="0.2">
      <c r="C3272" s="5"/>
    </row>
    <row r="3273" spans="3:3" x14ac:dyDescent="0.2">
      <c r="C3273" s="5"/>
    </row>
    <row r="3274" spans="3:3" x14ac:dyDescent="0.2">
      <c r="C3274" s="5"/>
    </row>
    <row r="3275" spans="3:3" x14ac:dyDescent="0.2">
      <c r="C3275" s="5"/>
    </row>
    <row r="3276" spans="3:3" x14ac:dyDescent="0.2">
      <c r="C3276" s="5"/>
    </row>
    <row r="3277" spans="3:3" x14ac:dyDescent="0.2">
      <c r="C3277" s="5"/>
    </row>
    <row r="3278" spans="3:3" x14ac:dyDescent="0.2">
      <c r="C3278" s="5"/>
    </row>
    <row r="3279" spans="3:3" x14ac:dyDescent="0.2">
      <c r="C3279" s="5"/>
    </row>
    <row r="3280" spans="3:3" x14ac:dyDescent="0.2">
      <c r="C3280" s="5"/>
    </row>
    <row r="3281" spans="3:3" x14ac:dyDescent="0.2">
      <c r="C3281" s="5"/>
    </row>
    <row r="3282" spans="3:3" x14ac:dyDescent="0.2">
      <c r="C3282" s="5"/>
    </row>
    <row r="3283" spans="3:3" x14ac:dyDescent="0.2">
      <c r="C3283" s="5"/>
    </row>
    <row r="3284" spans="3:3" x14ac:dyDescent="0.2">
      <c r="C3284" s="5"/>
    </row>
    <row r="3285" spans="3:3" x14ac:dyDescent="0.2">
      <c r="C3285" s="5"/>
    </row>
    <row r="3286" spans="3:3" x14ac:dyDescent="0.2">
      <c r="C3286" s="5"/>
    </row>
    <row r="3287" spans="3:3" x14ac:dyDescent="0.2">
      <c r="C3287" s="5"/>
    </row>
    <row r="3288" spans="3:3" x14ac:dyDescent="0.2">
      <c r="C3288" s="5"/>
    </row>
    <row r="3289" spans="3:3" x14ac:dyDescent="0.2">
      <c r="C3289" s="5"/>
    </row>
    <row r="3290" spans="3:3" x14ac:dyDescent="0.2">
      <c r="C3290" s="5"/>
    </row>
    <row r="3291" spans="3:3" x14ac:dyDescent="0.2">
      <c r="C3291" s="5"/>
    </row>
    <row r="3292" spans="3:3" x14ac:dyDescent="0.2">
      <c r="C3292" s="5"/>
    </row>
    <row r="3293" spans="3:3" x14ac:dyDescent="0.2">
      <c r="C3293" s="5"/>
    </row>
    <row r="3294" spans="3:3" x14ac:dyDescent="0.2">
      <c r="C3294" s="5"/>
    </row>
    <row r="3295" spans="3:3" x14ac:dyDescent="0.2">
      <c r="C3295" s="5"/>
    </row>
    <row r="3296" spans="3:3" x14ac:dyDescent="0.2">
      <c r="C3296" s="5"/>
    </row>
    <row r="3297" spans="3:3" x14ac:dyDescent="0.2">
      <c r="C3297" s="5"/>
    </row>
    <row r="3298" spans="3:3" x14ac:dyDescent="0.2">
      <c r="C3298" s="5"/>
    </row>
    <row r="3299" spans="3:3" x14ac:dyDescent="0.2">
      <c r="C3299" s="5"/>
    </row>
    <row r="3300" spans="3:3" x14ac:dyDescent="0.2">
      <c r="C3300" s="5"/>
    </row>
    <row r="3301" spans="3:3" x14ac:dyDescent="0.2">
      <c r="C3301" s="5"/>
    </row>
    <row r="3302" spans="3:3" x14ac:dyDescent="0.2">
      <c r="C3302" s="5"/>
    </row>
    <row r="3303" spans="3:3" x14ac:dyDescent="0.2">
      <c r="C3303" s="5"/>
    </row>
    <row r="3304" spans="3:3" x14ac:dyDescent="0.2">
      <c r="C3304" s="5"/>
    </row>
    <row r="3305" spans="3:3" x14ac:dyDescent="0.2">
      <c r="C3305" s="5"/>
    </row>
    <row r="3306" spans="3:3" x14ac:dyDescent="0.2">
      <c r="C3306" s="5"/>
    </row>
    <row r="3307" spans="3:3" x14ac:dyDescent="0.2">
      <c r="C3307" s="5"/>
    </row>
    <row r="3308" spans="3:3" x14ac:dyDescent="0.2">
      <c r="C3308" s="5"/>
    </row>
    <row r="3309" spans="3:3" x14ac:dyDescent="0.2">
      <c r="C3309" s="5"/>
    </row>
    <row r="3310" spans="3:3" x14ac:dyDescent="0.2">
      <c r="C3310" s="5"/>
    </row>
    <row r="3311" spans="3:3" x14ac:dyDescent="0.2">
      <c r="C3311" s="5"/>
    </row>
    <row r="3312" spans="3:3" x14ac:dyDescent="0.2">
      <c r="C3312" s="5"/>
    </row>
    <row r="3313" spans="3:3" x14ac:dyDescent="0.2">
      <c r="C3313" s="5"/>
    </row>
    <row r="3314" spans="3:3" x14ac:dyDescent="0.2">
      <c r="C3314" s="5"/>
    </row>
    <row r="3315" spans="3:3" x14ac:dyDescent="0.2">
      <c r="C3315" s="5"/>
    </row>
    <row r="3316" spans="3:3" x14ac:dyDescent="0.2">
      <c r="C3316" s="5"/>
    </row>
    <row r="3317" spans="3:3" x14ac:dyDescent="0.2">
      <c r="C3317" s="5"/>
    </row>
    <row r="3318" spans="3:3" x14ac:dyDescent="0.2">
      <c r="C3318" s="5"/>
    </row>
    <row r="3319" spans="3:3" x14ac:dyDescent="0.2">
      <c r="C3319" s="5"/>
    </row>
    <row r="3320" spans="3:3" x14ac:dyDescent="0.2">
      <c r="C3320" s="5"/>
    </row>
    <row r="3321" spans="3:3" x14ac:dyDescent="0.2">
      <c r="C3321" s="5"/>
    </row>
    <row r="3322" spans="3:3" x14ac:dyDescent="0.2">
      <c r="C3322" s="5"/>
    </row>
    <row r="3323" spans="3:3" x14ac:dyDescent="0.2">
      <c r="C3323" s="5"/>
    </row>
    <row r="3324" spans="3:3" x14ac:dyDescent="0.2">
      <c r="C3324" s="5"/>
    </row>
    <row r="3325" spans="3:3" x14ac:dyDescent="0.2">
      <c r="C3325" s="5"/>
    </row>
    <row r="3326" spans="3:3" x14ac:dyDescent="0.2">
      <c r="C3326" s="5"/>
    </row>
    <row r="3327" spans="3:3" x14ac:dyDescent="0.2">
      <c r="C3327" s="5"/>
    </row>
    <row r="3328" spans="3:3" x14ac:dyDescent="0.2">
      <c r="C3328" s="5"/>
    </row>
    <row r="3329" spans="3:3" x14ac:dyDescent="0.2">
      <c r="C3329" s="5"/>
    </row>
    <row r="3330" spans="3:3" x14ac:dyDescent="0.2">
      <c r="C3330" s="5"/>
    </row>
    <row r="3331" spans="3:3" x14ac:dyDescent="0.2">
      <c r="C3331" s="5"/>
    </row>
    <row r="3332" spans="3:3" x14ac:dyDescent="0.2">
      <c r="C3332" s="5"/>
    </row>
    <row r="3333" spans="3:3" x14ac:dyDescent="0.2">
      <c r="C3333" s="5"/>
    </row>
    <row r="3334" spans="3:3" x14ac:dyDescent="0.2">
      <c r="C3334" s="5"/>
    </row>
    <row r="3335" spans="3:3" x14ac:dyDescent="0.2">
      <c r="C3335" s="5"/>
    </row>
    <row r="3336" spans="3:3" x14ac:dyDescent="0.2">
      <c r="C3336" s="5"/>
    </row>
    <row r="3337" spans="3:3" x14ac:dyDescent="0.2">
      <c r="C3337" s="5"/>
    </row>
    <row r="3338" spans="3:3" x14ac:dyDescent="0.2">
      <c r="C3338" s="5"/>
    </row>
    <row r="3339" spans="3:3" x14ac:dyDescent="0.2">
      <c r="C3339" s="5"/>
    </row>
    <row r="3340" spans="3:3" x14ac:dyDescent="0.2">
      <c r="C3340" s="5"/>
    </row>
    <row r="3341" spans="3:3" x14ac:dyDescent="0.2">
      <c r="C3341" s="5"/>
    </row>
    <row r="3342" spans="3:3" x14ac:dyDescent="0.2">
      <c r="C3342" s="5"/>
    </row>
    <row r="3343" spans="3:3" x14ac:dyDescent="0.2">
      <c r="C3343" s="5"/>
    </row>
    <row r="3344" spans="3:3" x14ac:dyDescent="0.2">
      <c r="C3344" s="5"/>
    </row>
    <row r="3345" spans="3:3" x14ac:dyDescent="0.2">
      <c r="C3345" s="5"/>
    </row>
    <row r="3346" spans="3:3" x14ac:dyDescent="0.2">
      <c r="C3346" s="5"/>
    </row>
    <row r="3347" spans="3:3" x14ac:dyDescent="0.2">
      <c r="C3347" s="5"/>
    </row>
    <row r="3348" spans="3:3" x14ac:dyDescent="0.2">
      <c r="C3348" s="5"/>
    </row>
    <row r="3349" spans="3:3" x14ac:dyDescent="0.2">
      <c r="C3349" s="5"/>
    </row>
    <row r="3350" spans="3:3" x14ac:dyDescent="0.2">
      <c r="C3350" s="5"/>
    </row>
    <row r="3351" spans="3:3" x14ac:dyDescent="0.2">
      <c r="C3351" s="5"/>
    </row>
    <row r="3352" spans="3:3" x14ac:dyDescent="0.2">
      <c r="C3352" s="5"/>
    </row>
    <row r="3353" spans="3:3" x14ac:dyDescent="0.2">
      <c r="C3353" s="5"/>
    </row>
    <row r="3354" spans="3:3" x14ac:dyDescent="0.2">
      <c r="C3354" s="5"/>
    </row>
    <row r="3355" spans="3:3" x14ac:dyDescent="0.2">
      <c r="C3355" s="5"/>
    </row>
    <row r="3356" spans="3:3" x14ac:dyDescent="0.2">
      <c r="C3356" s="5"/>
    </row>
    <row r="3357" spans="3:3" x14ac:dyDescent="0.2">
      <c r="C3357" s="5"/>
    </row>
    <row r="3358" spans="3:3" x14ac:dyDescent="0.2">
      <c r="C3358" s="5"/>
    </row>
    <row r="3359" spans="3:3" x14ac:dyDescent="0.2">
      <c r="C3359" s="5"/>
    </row>
    <row r="3360" spans="3:3" x14ac:dyDescent="0.2">
      <c r="C3360" s="5"/>
    </row>
    <row r="3361" spans="3:3" x14ac:dyDescent="0.2">
      <c r="C3361" s="5"/>
    </row>
    <row r="3362" spans="3:3" x14ac:dyDescent="0.2">
      <c r="C3362" s="5"/>
    </row>
    <row r="3363" spans="3:3" x14ac:dyDescent="0.2">
      <c r="C3363" s="5"/>
    </row>
    <row r="3364" spans="3:3" x14ac:dyDescent="0.2">
      <c r="C3364" s="5"/>
    </row>
    <row r="3365" spans="3:3" x14ac:dyDescent="0.2">
      <c r="C3365" s="5"/>
    </row>
    <row r="3366" spans="3:3" x14ac:dyDescent="0.2">
      <c r="C3366" s="5"/>
    </row>
    <row r="3367" spans="3:3" x14ac:dyDescent="0.2">
      <c r="C3367" s="5"/>
    </row>
    <row r="3368" spans="3:3" x14ac:dyDescent="0.2">
      <c r="C3368" s="5"/>
    </row>
    <row r="3369" spans="3:3" x14ac:dyDescent="0.2">
      <c r="C3369" s="5"/>
    </row>
    <row r="3370" spans="3:3" x14ac:dyDescent="0.2">
      <c r="C3370" s="5"/>
    </row>
    <row r="3371" spans="3:3" x14ac:dyDescent="0.2">
      <c r="C3371" s="5"/>
    </row>
    <row r="3372" spans="3:3" x14ac:dyDescent="0.2">
      <c r="C3372" s="5"/>
    </row>
    <row r="3373" spans="3:3" x14ac:dyDescent="0.2">
      <c r="C3373" s="5"/>
    </row>
    <row r="3374" spans="3:3" x14ac:dyDescent="0.2">
      <c r="C3374" s="5"/>
    </row>
    <row r="3375" spans="3:3" x14ac:dyDescent="0.2">
      <c r="C3375" s="5"/>
    </row>
    <row r="3376" spans="3:3" x14ac:dyDescent="0.2">
      <c r="C3376" s="5"/>
    </row>
    <row r="3377" spans="3:3" x14ac:dyDescent="0.2">
      <c r="C3377" s="5"/>
    </row>
    <row r="3378" spans="3:3" x14ac:dyDescent="0.2">
      <c r="C3378" s="5"/>
    </row>
    <row r="3379" spans="3:3" x14ac:dyDescent="0.2">
      <c r="C3379" s="5"/>
    </row>
    <row r="3380" spans="3:3" x14ac:dyDescent="0.2">
      <c r="C3380" s="5"/>
    </row>
    <row r="3381" spans="3:3" x14ac:dyDescent="0.2">
      <c r="C3381" s="5"/>
    </row>
    <row r="3382" spans="3:3" x14ac:dyDescent="0.2">
      <c r="C3382" s="5"/>
    </row>
    <row r="3383" spans="3:3" x14ac:dyDescent="0.2">
      <c r="C3383" s="5"/>
    </row>
    <row r="3384" spans="3:3" x14ac:dyDescent="0.2">
      <c r="C3384" s="5"/>
    </row>
    <row r="3385" spans="3:3" x14ac:dyDescent="0.2">
      <c r="C3385" s="5"/>
    </row>
    <row r="3386" spans="3:3" x14ac:dyDescent="0.2">
      <c r="C3386" s="5"/>
    </row>
    <row r="3387" spans="3:3" x14ac:dyDescent="0.2">
      <c r="C3387" s="5"/>
    </row>
    <row r="3388" spans="3:3" x14ac:dyDescent="0.2">
      <c r="C3388" s="5"/>
    </row>
    <row r="3389" spans="3:3" x14ac:dyDescent="0.2">
      <c r="C3389" s="5"/>
    </row>
    <row r="3390" spans="3:3" x14ac:dyDescent="0.2">
      <c r="C3390" s="5"/>
    </row>
    <row r="3391" spans="3:3" x14ac:dyDescent="0.2">
      <c r="C3391" s="5"/>
    </row>
    <row r="3392" spans="3:3" x14ac:dyDescent="0.2">
      <c r="C3392" s="5"/>
    </row>
    <row r="3393" spans="3:3" x14ac:dyDescent="0.2">
      <c r="C3393" s="5"/>
    </row>
    <row r="3394" spans="3:3" x14ac:dyDescent="0.2">
      <c r="C3394" s="5"/>
    </row>
    <row r="3395" spans="3:3" x14ac:dyDescent="0.2">
      <c r="C3395" s="5"/>
    </row>
    <row r="3396" spans="3:3" x14ac:dyDescent="0.2">
      <c r="C3396" s="5"/>
    </row>
    <row r="3397" spans="3:3" x14ac:dyDescent="0.2">
      <c r="C3397" s="5"/>
    </row>
    <row r="3398" spans="3:3" x14ac:dyDescent="0.2">
      <c r="C3398" s="5"/>
    </row>
    <row r="3399" spans="3:3" x14ac:dyDescent="0.2">
      <c r="C3399" s="5"/>
    </row>
    <row r="3400" spans="3:3" x14ac:dyDescent="0.2">
      <c r="C3400" s="5"/>
    </row>
    <row r="3401" spans="3:3" x14ac:dyDescent="0.2">
      <c r="C3401" s="5"/>
    </row>
    <row r="3402" spans="3:3" x14ac:dyDescent="0.2">
      <c r="C3402" s="5"/>
    </row>
    <row r="3403" spans="3:3" x14ac:dyDescent="0.2">
      <c r="C3403" s="5"/>
    </row>
    <row r="3404" spans="3:3" x14ac:dyDescent="0.2">
      <c r="C3404" s="5"/>
    </row>
    <row r="3405" spans="3:3" x14ac:dyDescent="0.2">
      <c r="C3405" s="5"/>
    </row>
    <row r="3406" spans="3:3" x14ac:dyDescent="0.2">
      <c r="C3406" s="5"/>
    </row>
    <row r="3407" spans="3:3" x14ac:dyDescent="0.2">
      <c r="C3407" s="5"/>
    </row>
    <row r="3408" spans="3:3" x14ac:dyDescent="0.2">
      <c r="C3408" s="5"/>
    </row>
    <row r="3409" spans="3:3" x14ac:dyDescent="0.2">
      <c r="C3409" s="5"/>
    </row>
    <row r="3410" spans="3:3" x14ac:dyDescent="0.2">
      <c r="C3410" s="5"/>
    </row>
    <row r="3411" spans="3:3" x14ac:dyDescent="0.2">
      <c r="C3411" s="5"/>
    </row>
    <row r="3412" spans="3:3" x14ac:dyDescent="0.2">
      <c r="C3412" s="5"/>
    </row>
    <row r="3413" spans="3:3" x14ac:dyDescent="0.2">
      <c r="C3413" s="5"/>
    </row>
    <row r="3414" spans="3:3" x14ac:dyDescent="0.2">
      <c r="C3414" s="5"/>
    </row>
    <row r="3415" spans="3:3" x14ac:dyDescent="0.2">
      <c r="C3415" s="5"/>
    </row>
    <row r="3416" spans="3:3" x14ac:dyDescent="0.2">
      <c r="C3416" s="5"/>
    </row>
    <row r="3417" spans="3:3" x14ac:dyDescent="0.2">
      <c r="C3417" s="5"/>
    </row>
    <row r="3418" spans="3:3" x14ac:dyDescent="0.2">
      <c r="C3418" s="5"/>
    </row>
    <row r="3419" spans="3:3" x14ac:dyDescent="0.2">
      <c r="C3419" s="5"/>
    </row>
    <row r="3420" spans="3:3" x14ac:dyDescent="0.2">
      <c r="C3420" s="5"/>
    </row>
    <row r="3421" spans="3:3" x14ac:dyDescent="0.2">
      <c r="C3421" s="5"/>
    </row>
    <row r="3422" spans="3:3" x14ac:dyDescent="0.2">
      <c r="C3422" s="5"/>
    </row>
    <row r="3423" spans="3:3" x14ac:dyDescent="0.2">
      <c r="C3423" s="5"/>
    </row>
    <row r="3424" spans="3:3" x14ac:dyDescent="0.2">
      <c r="C3424" s="5"/>
    </row>
    <row r="3425" spans="3:3" x14ac:dyDescent="0.2">
      <c r="C3425" s="5"/>
    </row>
    <row r="3426" spans="3:3" x14ac:dyDescent="0.2">
      <c r="C3426" s="5"/>
    </row>
    <row r="3427" spans="3:3" x14ac:dyDescent="0.2">
      <c r="C3427" s="5"/>
    </row>
    <row r="3428" spans="3:3" x14ac:dyDescent="0.2">
      <c r="C3428" s="5"/>
    </row>
    <row r="3429" spans="3:3" x14ac:dyDescent="0.2">
      <c r="C3429" s="5"/>
    </row>
    <row r="3430" spans="3:3" x14ac:dyDescent="0.2">
      <c r="C3430" s="5"/>
    </row>
    <row r="3431" spans="3:3" x14ac:dyDescent="0.2">
      <c r="C3431" s="5"/>
    </row>
    <row r="3432" spans="3:3" x14ac:dyDescent="0.2">
      <c r="C3432" s="5"/>
    </row>
    <row r="3433" spans="3:3" x14ac:dyDescent="0.2">
      <c r="C3433" s="5"/>
    </row>
    <row r="3434" spans="3:3" x14ac:dyDescent="0.2">
      <c r="C3434" s="5"/>
    </row>
    <row r="3435" spans="3:3" x14ac:dyDescent="0.2">
      <c r="C3435" s="5"/>
    </row>
    <row r="3436" spans="3:3" x14ac:dyDescent="0.2">
      <c r="C3436" s="5"/>
    </row>
    <row r="3437" spans="3:3" x14ac:dyDescent="0.2">
      <c r="C3437" s="5"/>
    </row>
    <row r="3438" spans="3:3" x14ac:dyDescent="0.2">
      <c r="C3438" s="5"/>
    </row>
    <row r="3439" spans="3:3" x14ac:dyDescent="0.2">
      <c r="C3439" s="5"/>
    </row>
    <row r="3440" spans="3:3" x14ac:dyDescent="0.2">
      <c r="C3440" s="5"/>
    </row>
    <row r="3441" spans="3:3" x14ac:dyDescent="0.2">
      <c r="C3441" s="5"/>
    </row>
    <row r="3442" spans="3:3" x14ac:dyDescent="0.2">
      <c r="C3442" s="5"/>
    </row>
    <row r="3443" spans="3:3" x14ac:dyDescent="0.2">
      <c r="C3443" s="5"/>
    </row>
    <row r="3444" spans="3:3" x14ac:dyDescent="0.2">
      <c r="C3444" s="5"/>
    </row>
    <row r="3445" spans="3:3" x14ac:dyDescent="0.2">
      <c r="C3445" s="5"/>
    </row>
    <row r="3446" spans="3:3" x14ac:dyDescent="0.2">
      <c r="C3446" s="5"/>
    </row>
    <row r="3447" spans="3:3" x14ac:dyDescent="0.2">
      <c r="C3447" s="5"/>
    </row>
    <row r="3448" spans="3:3" x14ac:dyDescent="0.2">
      <c r="C3448" s="5"/>
    </row>
    <row r="3449" spans="3:3" x14ac:dyDescent="0.2">
      <c r="C3449" s="5"/>
    </row>
    <row r="3450" spans="3:3" x14ac:dyDescent="0.2">
      <c r="C3450" s="5"/>
    </row>
    <row r="3451" spans="3:3" x14ac:dyDescent="0.2">
      <c r="C3451" s="5"/>
    </row>
    <row r="3452" spans="3:3" x14ac:dyDescent="0.2">
      <c r="C3452" s="5"/>
    </row>
    <row r="3453" spans="3:3" x14ac:dyDescent="0.2">
      <c r="C3453" s="5"/>
    </row>
    <row r="3454" spans="3:3" x14ac:dyDescent="0.2">
      <c r="C3454" s="5"/>
    </row>
    <row r="3455" spans="3:3" x14ac:dyDescent="0.2">
      <c r="C3455" s="5"/>
    </row>
    <row r="3456" spans="3:3" x14ac:dyDescent="0.2">
      <c r="C3456" s="5"/>
    </row>
    <row r="3457" spans="3:3" x14ac:dyDescent="0.2">
      <c r="C3457" s="5"/>
    </row>
    <row r="3458" spans="3:3" x14ac:dyDescent="0.2">
      <c r="C3458" s="5"/>
    </row>
    <row r="3459" spans="3:3" x14ac:dyDescent="0.2">
      <c r="C3459" s="5"/>
    </row>
    <row r="3460" spans="3:3" x14ac:dyDescent="0.2">
      <c r="C3460" s="5"/>
    </row>
    <row r="3461" spans="3:3" x14ac:dyDescent="0.2">
      <c r="C3461" s="5"/>
    </row>
    <row r="3462" spans="3:3" x14ac:dyDescent="0.2">
      <c r="C3462" s="5"/>
    </row>
    <row r="3463" spans="3:3" x14ac:dyDescent="0.2">
      <c r="C3463" s="5"/>
    </row>
    <row r="3464" spans="3:3" x14ac:dyDescent="0.2">
      <c r="C3464" s="5"/>
    </row>
    <row r="3465" spans="3:3" x14ac:dyDescent="0.2">
      <c r="C3465" s="5"/>
    </row>
    <row r="3466" spans="3:3" x14ac:dyDescent="0.2">
      <c r="C3466" s="5"/>
    </row>
    <row r="3467" spans="3:3" x14ac:dyDescent="0.2">
      <c r="C3467" s="5"/>
    </row>
    <row r="3468" spans="3:3" x14ac:dyDescent="0.2">
      <c r="C3468" s="5"/>
    </row>
    <row r="3469" spans="3:3" x14ac:dyDescent="0.2">
      <c r="C3469" s="5"/>
    </row>
    <row r="3470" spans="3:3" x14ac:dyDescent="0.2">
      <c r="C3470" s="5"/>
    </row>
    <row r="3471" spans="3:3" x14ac:dyDescent="0.2">
      <c r="C3471" s="5"/>
    </row>
    <row r="3472" spans="3:3" x14ac:dyDescent="0.2">
      <c r="C3472" s="5"/>
    </row>
    <row r="3473" spans="3:3" x14ac:dyDescent="0.2">
      <c r="C3473" s="5"/>
    </row>
    <row r="3474" spans="3:3" x14ac:dyDescent="0.2">
      <c r="C3474" s="5"/>
    </row>
    <row r="3475" spans="3:3" x14ac:dyDescent="0.2">
      <c r="C3475" s="5"/>
    </row>
    <row r="3476" spans="3:3" x14ac:dyDescent="0.2">
      <c r="C3476" s="5"/>
    </row>
    <row r="3477" spans="3:3" x14ac:dyDescent="0.2">
      <c r="C3477" s="5"/>
    </row>
    <row r="3478" spans="3:3" x14ac:dyDescent="0.2">
      <c r="C3478" s="5"/>
    </row>
    <row r="3479" spans="3:3" x14ac:dyDescent="0.2">
      <c r="C3479" s="5"/>
    </row>
    <row r="3480" spans="3:3" x14ac:dyDescent="0.2">
      <c r="C3480" s="5"/>
    </row>
    <row r="3481" spans="3:3" x14ac:dyDescent="0.2">
      <c r="C3481" s="5"/>
    </row>
    <row r="3482" spans="3:3" x14ac:dyDescent="0.2">
      <c r="C3482" s="5"/>
    </row>
    <row r="3483" spans="3:3" x14ac:dyDescent="0.2">
      <c r="C3483" s="5"/>
    </row>
    <row r="3484" spans="3:3" x14ac:dyDescent="0.2">
      <c r="C3484" s="5"/>
    </row>
    <row r="3485" spans="3:3" x14ac:dyDescent="0.2">
      <c r="C3485" s="5"/>
    </row>
    <row r="3486" spans="3:3" x14ac:dyDescent="0.2">
      <c r="C3486" s="5"/>
    </row>
    <row r="3487" spans="3:3" x14ac:dyDescent="0.2">
      <c r="C3487" s="5"/>
    </row>
    <row r="3488" spans="3:3" x14ac:dyDescent="0.2">
      <c r="C3488" s="5"/>
    </row>
    <row r="3489" spans="3:3" x14ac:dyDescent="0.2">
      <c r="C3489" s="5"/>
    </row>
    <row r="3490" spans="3:3" x14ac:dyDescent="0.2">
      <c r="C3490" s="5"/>
    </row>
    <row r="3491" spans="3:3" x14ac:dyDescent="0.2">
      <c r="C3491" s="5"/>
    </row>
    <row r="3492" spans="3:3" x14ac:dyDescent="0.2">
      <c r="C3492" s="5"/>
    </row>
    <row r="3493" spans="3:3" x14ac:dyDescent="0.2">
      <c r="C3493" s="5"/>
    </row>
    <row r="3494" spans="3:3" x14ac:dyDescent="0.2">
      <c r="C3494" s="5"/>
    </row>
    <row r="3495" spans="3:3" x14ac:dyDescent="0.2">
      <c r="C3495" s="5"/>
    </row>
    <row r="3496" spans="3:3" x14ac:dyDescent="0.2">
      <c r="C3496" s="5"/>
    </row>
    <row r="3497" spans="3:3" x14ac:dyDescent="0.2">
      <c r="C3497" s="5"/>
    </row>
    <row r="3498" spans="3:3" x14ac:dyDescent="0.2">
      <c r="C3498" s="5"/>
    </row>
    <row r="3499" spans="3:3" x14ac:dyDescent="0.2">
      <c r="C3499" s="5"/>
    </row>
    <row r="3500" spans="3:3" x14ac:dyDescent="0.2">
      <c r="C3500" s="5"/>
    </row>
    <row r="3501" spans="3:3" x14ac:dyDescent="0.2">
      <c r="C3501" s="5"/>
    </row>
    <row r="3502" spans="3:3" x14ac:dyDescent="0.2">
      <c r="C3502" s="5"/>
    </row>
    <row r="3503" spans="3:3" x14ac:dyDescent="0.2">
      <c r="C3503" s="5"/>
    </row>
    <row r="3504" spans="3:3" x14ac:dyDescent="0.2">
      <c r="C3504" s="5"/>
    </row>
    <row r="3505" spans="3:3" x14ac:dyDescent="0.2">
      <c r="C3505" s="5"/>
    </row>
    <row r="3506" spans="3:3" x14ac:dyDescent="0.2">
      <c r="C3506" s="5"/>
    </row>
    <row r="3507" spans="3:3" x14ac:dyDescent="0.2">
      <c r="C3507" s="5"/>
    </row>
    <row r="3508" spans="3:3" x14ac:dyDescent="0.2">
      <c r="C3508" s="5"/>
    </row>
    <row r="3509" spans="3:3" x14ac:dyDescent="0.2">
      <c r="C3509" s="5"/>
    </row>
    <row r="3510" spans="3:3" x14ac:dyDescent="0.2">
      <c r="C3510" s="5"/>
    </row>
    <row r="3511" spans="3:3" x14ac:dyDescent="0.2">
      <c r="C3511" s="5"/>
    </row>
    <row r="3512" spans="3:3" x14ac:dyDescent="0.2">
      <c r="C3512" s="5"/>
    </row>
    <row r="3513" spans="3:3" x14ac:dyDescent="0.2">
      <c r="C3513" s="5"/>
    </row>
    <row r="3514" spans="3:3" x14ac:dyDescent="0.2">
      <c r="C3514" s="5"/>
    </row>
    <row r="3515" spans="3:3" x14ac:dyDescent="0.2">
      <c r="C3515" s="5"/>
    </row>
    <row r="3516" spans="3:3" x14ac:dyDescent="0.2">
      <c r="C3516" s="5"/>
    </row>
    <row r="3517" spans="3:3" x14ac:dyDescent="0.2">
      <c r="C3517" s="5"/>
    </row>
    <row r="3518" spans="3:3" x14ac:dyDescent="0.2">
      <c r="C3518" s="5"/>
    </row>
    <row r="3519" spans="3:3" x14ac:dyDescent="0.2">
      <c r="C3519" s="5"/>
    </row>
    <row r="3520" spans="3:3" x14ac:dyDescent="0.2">
      <c r="C3520" s="5"/>
    </row>
    <row r="3521" spans="3:3" x14ac:dyDescent="0.2">
      <c r="C3521" s="5"/>
    </row>
    <row r="3522" spans="3:3" x14ac:dyDescent="0.2">
      <c r="C3522" s="5"/>
    </row>
    <row r="3523" spans="3:3" x14ac:dyDescent="0.2">
      <c r="C3523" s="5"/>
    </row>
    <row r="3524" spans="3:3" x14ac:dyDescent="0.2">
      <c r="C3524" s="5"/>
    </row>
    <row r="3525" spans="3:3" x14ac:dyDescent="0.2">
      <c r="C3525" s="5"/>
    </row>
    <row r="3526" spans="3:3" x14ac:dyDescent="0.2">
      <c r="C3526" s="5"/>
    </row>
    <row r="3527" spans="3:3" x14ac:dyDescent="0.2">
      <c r="C3527" s="5"/>
    </row>
    <row r="3528" spans="3:3" x14ac:dyDescent="0.2">
      <c r="C3528" s="5"/>
    </row>
    <row r="3529" spans="3:3" x14ac:dyDescent="0.2">
      <c r="C3529" s="5"/>
    </row>
    <row r="3530" spans="3:3" x14ac:dyDescent="0.2">
      <c r="C3530" s="5"/>
    </row>
    <row r="3531" spans="3:3" x14ac:dyDescent="0.2">
      <c r="C3531" s="5"/>
    </row>
    <row r="3532" spans="3:3" x14ac:dyDescent="0.2">
      <c r="C3532" s="5"/>
    </row>
    <row r="3533" spans="3:3" x14ac:dyDescent="0.2">
      <c r="C3533" s="5"/>
    </row>
    <row r="3534" spans="3:3" x14ac:dyDescent="0.2">
      <c r="C3534" s="5"/>
    </row>
    <row r="3535" spans="3:3" x14ac:dyDescent="0.2">
      <c r="C3535" s="5"/>
    </row>
    <row r="3536" spans="3:3" x14ac:dyDescent="0.2">
      <c r="C3536" s="5"/>
    </row>
    <row r="3537" spans="3:3" x14ac:dyDescent="0.2">
      <c r="C3537" s="5"/>
    </row>
    <row r="3538" spans="3:3" x14ac:dyDescent="0.2">
      <c r="C3538" s="5"/>
    </row>
    <row r="3539" spans="3:3" x14ac:dyDescent="0.2">
      <c r="C3539" s="5"/>
    </row>
    <row r="3540" spans="3:3" x14ac:dyDescent="0.2">
      <c r="C3540" s="5"/>
    </row>
    <row r="3541" spans="3:3" x14ac:dyDescent="0.2">
      <c r="C3541" s="5"/>
    </row>
    <row r="3542" spans="3:3" x14ac:dyDescent="0.2">
      <c r="C3542" s="5"/>
    </row>
    <row r="3543" spans="3:3" x14ac:dyDescent="0.2">
      <c r="C3543" s="5"/>
    </row>
    <row r="3544" spans="3:3" x14ac:dyDescent="0.2">
      <c r="C3544" s="5"/>
    </row>
    <row r="3545" spans="3:3" x14ac:dyDescent="0.2">
      <c r="C3545" s="5"/>
    </row>
    <row r="3546" spans="3:3" x14ac:dyDescent="0.2">
      <c r="C3546" s="5"/>
    </row>
    <row r="3547" spans="3:3" x14ac:dyDescent="0.2">
      <c r="C3547" s="5"/>
    </row>
    <row r="3548" spans="3:3" x14ac:dyDescent="0.2">
      <c r="C3548" s="5"/>
    </row>
    <row r="3549" spans="3:3" x14ac:dyDescent="0.2">
      <c r="C3549" s="5"/>
    </row>
    <row r="3550" spans="3:3" x14ac:dyDescent="0.2">
      <c r="C3550" s="5"/>
    </row>
    <row r="3551" spans="3:3" x14ac:dyDescent="0.2">
      <c r="C3551" s="5"/>
    </row>
    <row r="3552" spans="3:3" x14ac:dyDescent="0.2">
      <c r="C3552" s="5"/>
    </row>
    <row r="3553" spans="3:3" x14ac:dyDescent="0.2">
      <c r="C3553" s="5"/>
    </row>
    <row r="3554" spans="3:3" x14ac:dyDescent="0.2">
      <c r="C3554" s="5"/>
    </row>
    <row r="3555" spans="3:3" x14ac:dyDescent="0.2">
      <c r="C3555" s="5"/>
    </row>
    <row r="3556" spans="3:3" x14ac:dyDescent="0.2">
      <c r="C3556" s="5"/>
    </row>
    <row r="3557" spans="3:3" x14ac:dyDescent="0.2">
      <c r="C3557" s="5"/>
    </row>
    <row r="3558" spans="3:3" x14ac:dyDescent="0.2">
      <c r="C3558" s="5"/>
    </row>
    <row r="3559" spans="3:3" x14ac:dyDescent="0.2">
      <c r="C3559" s="5"/>
    </row>
    <row r="3560" spans="3:3" x14ac:dyDescent="0.2">
      <c r="C3560" s="5"/>
    </row>
    <row r="3561" spans="3:3" x14ac:dyDescent="0.2">
      <c r="C3561" s="5"/>
    </row>
    <row r="3562" spans="3:3" x14ac:dyDescent="0.2">
      <c r="C3562" s="5"/>
    </row>
    <row r="3563" spans="3:3" x14ac:dyDescent="0.2">
      <c r="C3563" s="5"/>
    </row>
    <row r="3564" spans="3:3" x14ac:dyDescent="0.2">
      <c r="C3564" s="5"/>
    </row>
    <row r="3565" spans="3:3" x14ac:dyDescent="0.2">
      <c r="C3565" s="5"/>
    </row>
    <row r="3566" spans="3:3" x14ac:dyDescent="0.2">
      <c r="C3566" s="5"/>
    </row>
    <row r="3567" spans="3:3" x14ac:dyDescent="0.2">
      <c r="C3567" s="5"/>
    </row>
    <row r="3568" spans="3:3" x14ac:dyDescent="0.2">
      <c r="C3568" s="5"/>
    </row>
    <row r="3569" spans="3:3" x14ac:dyDescent="0.2">
      <c r="C3569" s="5"/>
    </row>
    <row r="3570" spans="3:3" x14ac:dyDescent="0.2">
      <c r="C3570" s="5"/>
    </row>
    <row r="3571" spans="3:3" x14ac:dyDescent="0.2">
      <c r="C3571" s="5"/>
    </row>
    <row r="3572" spans="3:3" x14ac:dyDescent="0.2">
      <c r="C3572" s="5"/>
    </row>
    <row r="3573" spans="3:3" x14ac:dyDescent="0.2">
      <c r="C3573" s="5"/>
    </row>
    <row r="3574" spans="3:3" x14ac:dyDescent="0.2">
      <c r="C3574" s="5"/>
    </row>
    <row r="3575" spans="3:3" x14ac:dyDescent="0.2">
      <c r="C3575" s="5"/>
    </row>
    <row r="3576" spans="3:3" x14ac:dyDescent="0.2">
      <c r="C3576" s="5"/>
    </row>
    <row r="3577" spans="3:3" x14ac:dyDescent="0.2">
      <c r="C3577" s="5"/>
    </row>
    <row r="3578" spans="3:3" x14ac:dyDescent="0.2">
      <c r="C3578" s="5"/>
    </row>
    <row r="3579" spans="3:3" x14ac:dyDescent="0.2">
      <c r="C3579" s="5"/>
    </row>
    <row r="3580" spans="3:3" x14ac:dyDescent="0.2">
      <c r="C3580" s="5"/>
    </row>
    <row r="3581" spans="3:3" x14ac:dyDescent="0.2">
      <c r="C3581" s="5"/>
    </row>
    <row r="3582" spans="3:3" x14ac:dyDescent="0.2">
      <c r="C3582" s="5"/>
    </row>
    <row r="3583" spans="3:3" x14ac:dyDescent="0.2">
      <c r="C3583" s="5"/>
    </row>
    <row r="3584" spans="3:3" x14ac:dyDescent="0.2">
      <c r="C3584" s="5"/>
    </row>
    <row r="3585" spans="3:3" x14ac:dyDescent="0.2">
      <c r="C3585" s="5"/>
    </row>
    <row r="3586" spans="3:3" x14ac:dyDescent="0.2">
      <c r="C3586" s="5"/>
    </row>
    <row r="3587" spans="3:3" x14ac:dyDescent="0.2">
      <c r="C3587" s="5"/>
    </row>
    <row r="3588" spans="3:3" x14ac:dyDescent="0.2">
      <c r="C3588" s="5"/>
    </row>
    <row r="3589" spans="3:3" x14ac:dyDescent="0.2">
      <c r="C3589" s="5"/>
    </row>
    <row r="3590" spans="3:3" x14ac:dyDescent="0.2">
      <c r="C3590" s="5"/>
    </row>
    <row r="3591" spans="3:3" x14ac:dyDescent="0.2">
      <c r="C3591" s="5"/>
    </row>
    <row r="3592" spans="3:3" x14ac:dyDescent="0.2">
      <c r="C3592" s="5"/>
    </row>
    <row r="3593" spans="3:3" x14ac:dyDescent="0.2">
      <c r="C3593" s="5"/>
    </row>
    <row r="3594" spans="3:3" x14ac:dyDescent="0.2">
      <c r="C3594" s="5"/>
    </row>
    <row r="3595" spans="3:3" x14ac:dyDescent="0.2">
      <c r="C3595" s="5"/>
    </row>
    <row r="3596" spans="3:3" x14ac:dyDescent="0.2">
      <c r="C3596" s="5"/>
    </row>
    <row r="3597" spans="3:3" x14ac:dyDescent="0.2">
      <c r="C3597" s="5"/>
    </row>
    <row r="3598" spans="3:3" x14ac:dyDescent="0.2">
      <c r="C3598" s="5"/>
    </row>
    <row r="3599" spans="3:3" x14ac:dyDescent="0.2">
      <c r="C3599" s="5"/>
    </row>
    <row r="3600" spans="3:3" x14ac:dyDescent="0.2">
      <c r="C3600" s="5"/>
    </row>
    <row r="3601" spans="3:3" x14ac:dyDescent="0.2">
      <c r="C3601" s="5"/>
    </row>
    <row r="3602" spans="3:3" x14ac:dyDescent="0.2">
      <c r="C3602" s="5"/>
    </row>
    <row r="3603" spans="3:3" x14ac:dyDescent="0.2">
      <c r="C3603" s="5"/>
    </row>
    <row r="3604" spans="3:3" x14ac:dyDescent="0.2">
      <c r="C3604" s="5"/>
    </row>
    <row r="3605" spans="3:3" x14ac:dyDescent="0.2">
      <c r="C3605" s="5"/>
    </row>
    <row r="3606" spans="3:3" x14ac:dyDescent="0.2">
      <c r="C3606" s="5"/>
    </row>
    <row r="3607" spans="3:3" x14ac:dyDescent="0.2">
      <c r="C3607" s="5"/>
    </row>
    <row r="3608" spans="3:3" x14ac:dyDescent="0.2">
      <c r="C3608" s="5"/>
    </row>
    <row r="3609" spans="3:3" x14ac:dyDescent="0.2">
      <c r="C3609" s="5"/>
    </row>
    <row r="3610" spans="3:3" x14ac:dyDescent="0.2">
      <c r="C3610" s="5"/>
    </row>
    <row r="3611" spans="3:3" x14ac:dyDescent="0.2">
      <c r="C3611" s="5"/>
    </row>
    <row r="3612" spans="3:3" x14ac:dyDescent="0.2">
      <c r="C3612" s="5"/>
    </row>
    <row r="3613" spans="3:3" x14ac:dyDescent="0.2">
      <c r="C3613" s="5"/>
    </row>
    <row r="3614" spans="3:3" x14ac:dyDescent="0.2">
      <c r="C3614" s="5"/>
    </row>
    <row r="3615" spans="3:3" x14ac:dyDescent="0.2">
      <c r="C3615" s="5"/>
    </row>
    <row r="3616" spans="3:3" x14ac:dyDescent="0.2">
      <c r="C3616" s="5"/>
    </row>
    <row r="3617" spans="3:3" x14ac:dyDescent="0.2">
      <c r="C3617" s="5"/>
    </row>
    <row r="3618" spans="3:3" x14ac:dyDescent="0.2">
      <c r="C3618" s="5"/>
    </row>
    <row r="3619" spans="3:3" x14ac:dyDescent="0.2">
      <c r="C3619" s="5"/>
    </row>
    <row r="3620" spans="3:3" x14ac:dyDescent="0.2">
      <c r="C3620" s="5"/>
    </row>
    <row r="3621" spans="3:3" x14ac:dyDescent="0.2">
      <c r="C3621" s="5"/>
    </row>
    <row r="3622" spans="3:3" x14ac:dyDescent="0.2">
      <c r="C3622" s="5"/>
    </row>
    <row r="3623" spans="3:3" x14ac:dyDescent="0.2">
      <c r="C3623" s="5"/>
    </row>
    <row r="3624" spans="3:3" x14ac:dyDescent="0.2">
      <c r="C3624" s="5"/>
    </row>
    <row r="3625" spans="3:3" x14ac:dyDescent="0.2">
      <c r="C3625" s="5"/>
    </row>
    <row r="3626" spans="3:3" x14ac:dyDescent="0.2">
      <c r="C3626" s="5"/>
    </row>
    <row r="3627" spans="3:3" x14ac:dyDescent="0.2">
      <c r="C3627" s="5"/>
    </row>
    <row r="3628" spans="3:3" x14ac:dyDescent="0.2">
      <c r="C3628" s="5"/>
    </row>
    <row r="3629" spans="3:3" x14ac:dyDescent="0.2">
      <c r="C3629" s="5"/>
    </row>
    <row r="3630" spans="3:3" x14ac:dyDescent="0.2">
      <c r="C3630" s="5"/>
    </row>
    <row r="3631" spans="3:3" x14ac:dyDescent="0.2">
      <c r="C3631" s="5"/>
    </row>
    <row r="3632" spans="3:3" x14ac:dyDescent="0.2">
      <c r="C3632" s="5"/>
    </row>
    <row r="3633" spans="3:3" x14ac:dyDescent="0.2">
      <c r="C3633" s="5"/>
    </row>
    <row r="3634" spans="3:3" x14ac:dyDescent="0.2">
      <c r="C3634" s="5"/>
    </row>
    <row r="3635" spans="3:3" x14ac:dyDescent="0.2">
      <c r="C3635" s="5"/>
    </row>
    <row r="3636" spans="3:3" x14ac:dyDescent="0.2">
      <c r="C3636" s="5"/>
    </row>
    <row r="3637" spans="3:3" x14ac:dyDescent="0.2">
      <c r="C3637" s="5"/>
    </row>
    <row r="3638" spans="3:3" x14ac:dyDescent="0.2">
      <c r="C3638" s="5"/>
    </row>
    <row r="3639" spans="3:3" x14ac:dyDescent="0.2">
      <c r="C3639" s="5"/>
    </row>
    <row r="3640" spans="3:3" x14ac:dyDescent="0.2">
      <c r="C3640" s="5"/>
    </row>
    <row r="3641" spans="3:3" x14ac:dyDescent="0.2">
      <c r="C3641" s="5"/>
    </row>
    <row r="3642" spans="3:3" x14ac:dyDescent="0.2">
      <c r="C3642" s="5"/>
    </row>
    <row r="3643" spans="3:3" x14ac:dyDescent="0.2">
      <c r="C3643" s="5"/>
    </row>
    <row r="3644" spans="3:3" x14ac:dyDescent="0.2">
      <c r="C3644" s="5"/>
    </row>
    <row r="3645" spans="3:3" x14ac:dyDescent="0.2">
      <c r="C3645" s="5"/>
    </row>
    <row r="3646" spans="3:3" x14ac:dyDescent="0.2">
      <c r="C3646" s="5"/>
    </row>
    <row r="3647" spans="3:3" x14ac:dyDescent="0.2">
      <c r="C3647" s="5"/>
    </row>
    <row r="3648" spans="3:3" x14ac:dyDescent="0.2">
      <c r="C3648" s="5"/>
    </row>
    <row r="3649" spans="3:3" x14ac:dyDescent="0.2">
      <c r="C3649" s="5"/>
    </row>
    <row r="3650" spans="3:3" x14ac:dyDescent="0.2">
      <c r="C3650" s="5"/>
    </row>
    <row r="3651" spans="3:3" x14ac:dyDescent="0.2">
      <c r="C3651" s="5"/>
    </row>
    <row r="3652" spans="3:3" x14ac:dyDescent="0.2">
      <c r="C3652" s="5"/>
    </row>
    <row r="3653" spans="3:3" x14ac:dyDescent="0.2">
      <c r="C3653" s="5"/>
    </row>
    <row r="3654" spans="3:3" x14ac:dyDescent="0.2">
      <c r="C3654" s="5"/>
    </row>
    <row r="3655" spans="3:3" x14ac:dyDescent="0.2">
      <c r="C3655" s="5"/>
    </row>
    <row r="3656" spans="3:3" x14ac:dyDescent="0.2">
      <c r="C3656" s="5"/>
    </row>
    <row r="3657" spans="3:3" x14ac:dyDescent="0.2">
      <c r="C3657" s="5"/>
    </row>
    <row r="3658" spans="3:3" x14ac:dyDescent="0.2">
      <c r="C3658" s="5"/>
    </row>
    <row r="3659" spans="3:3" x14ac:dyDescent="0.2">
      <c r="C3659" s="5"/>
    </row>
    <row r="3660" spans="3:3" x14ac:dyDescent="0.2">
      <c r="C3660" s="5"/>
    </row>
    <row r="3661" spans="3:3" x14ac:dyDescent="0.2">
      <c r="C3661" s="5"/>
    </row>
    <row r="3662" spans="3:3" x14ac:dyDescent="0.2">
      <c r="C3662" s="5"/>
    </row>
    <row r="3663" spans="3:3" x14ac:dyDescent="0.2">
      <c r="C3663" s="5"/>
    </row>
    <row r="3664" spans="3:3" x14ac:dyDescent="0.2">
      <c r="C3664" s="5"/>
    </row>
    <row r="3665" spans="3:3" x14ac:dyDescent="0.2">
      <c r="C3665" s="5"/>
    </row>
    <row r="3666" spans="3:3" x14ac:dyDescent="0.2">
      <c r="C3666" s="5"/>
    </row>
    <row r="3667" spans="3:3" x14ac:dyDescent="0.2">
      <c r="C3667" s="5"/>
    </row>
    <row r="3668" spans="3:3" x14ac:dyDescent="0.2">
      <c r="C3668" s="5"/>
    </row>
    <row r="3669" spans="3:3" x14ac:dyDescent="0.2">
      <c r="C3669" s="5"/>
    </row>
    <row r="3670" spans="3:3" x14ac:dyDescent="0.2">
      <c r="C3670" s="5"/>
    </row>
    <row r="3671" spans="3:3" x14ac:dyDescent="0.2">
      <c r="C3671" s="5"/>
    </row>
    <row r="3672" spans="3:3" x14ac:dyDescent="0.2">
      <c r="C3672" s="5"/>
    </row>
    <row r="3673" spans="3:3" x14ac:dyDescent="0.2">
      <c r="C3673" s="5"/>
    </row>
    <row r="3674" spans="3:3" x14ac:dyDescent="0.2">
      <c r="C3674" s="5"/>
    </row>
    <row r="3675" spans="3:3" x14ac:dyDescent="0.2">
      <c r="C3675" s="5"/>
    </row>
    <row r="3676" spans="3:3" x14ac:dyDescent="0.2">
      <c r="C3676" s="5"/>
    </row>
    <row r="3677" spans="3:3" x14ac:dyDescent="0.2">
      <c r="C3677" s="5"/>
    </row>
    <row r="3678" spans="3:3" x14ac:dyDescent="0.2">
      <c r="C3678" s="5"/>
    </row>
    <row r="3679" spans="3:3" x14ac:dyDescent="0.2">
      <c r="C3679" s="5"/>
    </row>
    <row r="3680" spans="3:3" x14ac:dyDescent="0.2">
      <c r="C3680" s="5"/>
    </row>
    <row r="3681" spans="3:3" x14ac:dyDescent="0.2">
      <c r="C3681" s="5"/>
    </row>
    <row r="3682" spans="3:3" x14ac:dyDescent="0.2">
      <c r="C3682" s="5"/>
    </row>
    <row r="3683" spans="3:3" x14ac:dyDescent="0.2">
      <c r="C3683" s="5"/>
    </row>
    <row r="3684" spans="3:3" x14ac:dyDescent="0.2">
      <c r="C3684" s="5"/>
    </row>
    <row r="3685" spans="3:3" x14ac:dyDescent="0.2">
      <c r="C3685" s="5"/>
    </row>
    <row r="3686" spans="3:3" x14ac:dyDescent="0.2">
      <c r="C3686" s="5"/>
    </row>
    <row r="3687" spans="3:3" x14ac:dyDescent="0.2">
      <c r="C3687" s="5"/>
    </row>
    <row r="3688" spans="3:3" x14ac:dyDescent="0.2">
      <c r="C3688" s="5"/>
    </row>
    <row r="3689" spans="3:3" x14ac:dyDescent="0.2">
      <c r="C3689" s="5"/>
    </row>
    <row r="3690" spans="3:3" x14ac:dyDescent="0.2">
      <c r="C3690" s="5"/>
    </row>
    <row r="3691" spans="3:3" x14ac:dyDescent="0.2">
      <c r="C3691" s="5"/>
    </row>
    <row r="3692" spans="3:3" x14ac:dyDescent="0.2">
      <c r="C3692" s="5"/>
    </row>
    <row r="3693" spans="3:3" x14ac:dyDescent="0.2">
      <c r="C3693" s="5"/>
    </row>
    <row r="3694" spans="3:3" x14ac:dyDescent="0.2">
      <c r="C3694" s="5"/>
    </row>
    <row r="3695" spans="3:3" x14ac:dyDescent="0.2">
      <c r="C3695" s="5"/>
    </row>
    <row r="3696" spans="3:3" x14ac:dyDescent="0.2">
      <c r="C3696" s="5"/>
    </row>
    <row r="3697" spans="3:3" x14ac:dyDescent="0.2">
      <c r="C3697" s="5"/>
    </row>
    <row r="3698" spans="3:3" x14ac:dyDescent="0.2">
      <c r="C3698" s="5"/>
    </row>
    <row r="3699" spans="3:3" x14ac:dyDescent="0.2">
      <c r="C3699" s="5"/>
    </row>
    <row r="3700" spans="3:3" x14ac:dyDescent="0.2">
      <c r="C3700" s="5"/>
    </row>
    <row r="3701" spans="3:3" x14ac:dyDescent="0.2">
      <c r="C3701" s="5"/>
    </row>
    <row r="3702" spans="3:3" x14ac:dyDescent="0.2">
      <c r="C3702" s="5"/>
    </row>
    <row r="3703" spans="3:3" x14ac:dyDescent="0.2">
      <c r="C3703" s="5"/>
    </row>
    <row r="3704" spans="3:3" x14ac:dyDescent="0.2">
      <c r="C3704" s="5"/>
    </row>
    <row r="3705" spans="3:3" x14ac:dyDescent="0.2">
      <c r="C3705" s="5"/>
    </row>
    <row r="3706" spans="3:3" x14ac:dyDescent="0.2">
      <c r="C3706" s="5"/>
    </row>
    <row r="3707" spans="3:3" x14ac:dyDescent="0.2">
      <c r="C3707" s="5"/>
    </row>
    <row r="3708" spans="3:3" x14ac:dyDescent="0.2">
      <c r="C3708" s="5"/>
    </row>
    <row r="3709" spans="3:3" x14ac:dyDescent="0.2">
      <c r="C3709" s="5"/>
    </row>
    <row r="3710" spans="3:3" x14ac:dyDescent="0.2">
      <c r="C3710" s="5"/>
    </row>
    <row r="3711" spans="3:3" x14ac:dyDescent="0.2">
      <c r="C3711" s="5"/>
    </row>
    <row r="3712" spans="3:3" x14ac:dyDescent="0.2">
      <c r="C3712" s="5"/>
    </row>
    <row r="3713" spans="3:3" x14ac:dyDescent="0.2">
      <c r="C3713" s="5"/>
    </row>
    <row r="3714" spans="3:3" x14ac:dyDescent="0.2">
      <c r="C3714" s="5"/>
    </row>
    <row r="3715" spans="3:3" x14ac:dyDescent="0.2">
      <c r="C3715" s="5"/>
    </row>
    <row r="3716" spans="3:3" x14ac:dyDescent="0.2">
      <c r="C3716" s="5"/>
    </row>
    <row r="3717" spans="3:3" x14ac:dyDescent="0.2">
      <c r="C3717" s="5"/>
    </row>
    <row r="3718" spans="3:3" x14ac:dyDescent="0.2">
      <c r="C3718" s="5"/>
    </row>
    <row r="3719" spans="3:3" x14ac:dyDescent="0.2">
      <c r="C3719" s="5"/>
    </row>
    <row r="3720" spans="3:3" x14ac:dyDescent="0.2">
      <c r="C3720" s="5"/>
    </row>
    <row r="3721" spans="3:3" x14ac:dyDescent="0.2">
      <c r="C3721" s="5"/>
    </row>
    <row r="3722" spans="3:3" x14ac:dyDescent="0.2">
      <c r="C3722" s="5"/>
    </row>
    <row r="3723" spans="3:3" x14ac:dyDescent="0.2">
      <c r="C3723" s="5"/>
    </row>
    <row r="3724" spans="3:3" x14ac:dyDescent="0.2">
      <c r="C3724" s="5"/>
    </row>
    <row r="3725" spans="3:3" x14ac:dyDescent="0.2">
      <c r="C3725" s="5"/>
    </row>
    <row r="3726" spans="3:3" x14ac:dyDescent="0.2">
      <c r="C3726" s="5"/>
    </row>
    <row r="3727" spans="3:3" x14ac:dyDescent="0.2">
      <c r="C3727" s="5"/>
    </row>
    <row r="3728" spans="3:3" x14ac:dyDescent="0.2">
      <c r="C3728" s="5"/>
    </row>
    <row r="3729" spans="3:3" x14ac:dyDescent="0.2">
      <c r="C3729" s="5"/>
    </row>
    <row r="3730" spans="3:3" x14ac:dyDescent="0.2">
      <c r="C3730" s="5"/>
    </row>
    <row r="3731" spans="3:3" x14ac:dyDescent="0.2">
      <c r="C3731" s="5"/>
    </row>
    <row r="3732" spans="3:3" x14ac:dyDescent="0.2">
      <c r="C3732" s="5"/>
    </row>
    <row r="3733" spans="3:3" x14ac:dyDescent="0.2">
      <c r="C3733" s="5"/>
    </row>
    <row r="3734" spans="3:3" x14ac:dyDescent="0.2">
      <c r="C3734" s="5"/>
    </row>
    <row r="3735" spans="3:3" x14ac:dyDescent="0.2">
      <c r="C3735" s="5"/>
    </row>
    <row r="3736" spans="3:3" x14ac:dyDescent="0.2">
      <c r="C3736" s="5"/>
    </row>
    <row r="3737" spans="3:3" x14ac:dyDescent="0.2">
      <c r="C3737" s="5"/>
    </row>
    <row r="3738" spans="3:3" x14ac:dyDescent="0.2">
      <c r="C3738" s="5"/>
    </row>
    <row r="3739" spans="3:3" x14ac:dyDescent="0.2">
      <c r="C3739" s="5"/>
    </row>
    <row r="3740" spans="3:3" x14ac:dyDescent="0.2">
      <c r="C3740" s="5"/>
    </row>
    <row r="3741" spans="3:3" x14ac:dyDescent="0.2">
      <c r="C3741" s="5"/>
    </row>
    <row r="3742" spans="3:3" x14ac:dyDescent="0.2">
      <c r="C3742" s="5"/>
    </row>
    <row r="3743" spans="3:3" x14ac:dyDescent="0.2">
      <c r="C3743" s="5"/>
    </row>
    <row r="3744" spans="3:3" x14ac:dyDescent="0.2">
      <c r="C3744" s="5"/>
    </row>
    <row r="3745" spans="3:3" x14ac:dyDescent="0.2">
      <c r="C3745" s="5"/>
    </row>
    <row r="3746" spans="3:3" x14ac:dyDescent="0.2">
      <c r="C3746" s="5"/>
    </row>
    <row r="3747" spans="3:3" x14ac:dyDescent="0.2">
      <c r="C3747" s="5"/>
    </row>
    <row r="3748" spans="3:3" x14ac:dyDescent="0.2">
      <c r="C3748" s="5"/>
    </row>
    <row r="3749" spans="3:3" x14ac:dyDescent="0.2">
      <c r="C3749" s="5"/>
    </row>
    <row r="3750" spans="3:3" x14ac:dyDescent="0.2">
      <c r="C3750" s="5"/>
    </row>
    <row r="3751" spans="3:3" x14ac:dyDescent="0.2">
      <c r="C3751" s="5"/>
    </row>
    <row r="3752" spans="3:3" x14ac:dyDescent="0.2">
      <c r="C3752" s="5"/>
    </row>
    <row r="3753" spans="3:3" x14ac:dyDescent="0.2">
      <c r="C3753" s="5"/>
    </row>
    <row r="3754" spans="3:3" x14ac:dyDescent="0.2">
      <c r="C3754" s="5"/>
    </row>
    <row r="3755" spans="3:3" x14ac:dyDescent="0.2">
      <c r="C3755" s="5"/>
    </row>
    <row r="3756" spans="3:3" x14ac:dyDescent="0.2">
      <c r="C3756" s="5"/>
    </row>
    <row r="3757" spans="3:3" x14ac:dyDescent="0.2">
      <c r="C3757" s="5"/>
    </row>
    <row r="3758" spans="3:3" x14ac:dyDescent="0.2">
      <c r="C3758" s="5"/>
    </row>
    <row r="3759" spans="3:3" x14ac:dyDescent="0.2">
      <c r="C3759" s="5"/>
    </row>
    <row r="3760" spans="3:3" x14ac:dyDescent="0.2">
      <c r="C3760" s="5"/>
    </row>
    <row r="3761" spans="3:3" x14ac:dyDescent="0.2">
      <c r="C3761" s="5"/>
    </row>
    <row r="3762" spans="3:3" x14ac:dyDescent="0.2">
      <c r="C3762" s="5"/>
    </row>
    <row r="3763" spans="3:3" x14ac:dyDescent="0.2">
      <c r="C3763" s="5"/>
    </row>
    <row r="3764" spans="3:3" x14ac:dyDescent="0.2">
      <c r="C3764" s="5"/>
    </row>
    <row r="3765" spans="3:3" x14ac:dyDescent="0.2">
      <c r="C3765" s="5"/>
    </row>
    <row r="3766" spans="3:3" x14ac:dyDescent="0.2">
      <c r="C3766" s="5"/>
    </row>
    <row r="3767" spans="3:3" x14ac:dyDescent="0.2">
      <c r="C3767" s="5"/>
    </row>
    <row r="3768" spans="3:3" x14ac:dyDescent="0.2">
      <c r="C3768" s="5"/>
    </row>
    <row r="3769" spans="3:3" x14ac:dyDescent="0.2">
      <c r="C3769" s="5"/>
    </row>
    <row r="3770" spans="3:3" x14ac:dyDescent="0.2">
      <c r="C3770" s="5"/>
    </row>
    <row r="3771" spans="3:3" x14ac:dyDescent="0.2">
      <c r="C3771" s="5"/>
    </row>
    <row r="3772" spans="3:3" x14ac:dyDescent="0.2">
      <c r="C3772" s="5"/>
    </row>
    <row r="3773" spans="3:3" x14ac:dyDescent="0.2">
      <c r="C3773" s="5"/>
    </row>
    <row r="3774" spans="3:3" x14ac:dyDescent="0.2">
      <c r="C3774" s="5"/>
    </row>
    <row r="3775" spans="3:3" x14ac:dyDescent="0.2">
      <c r="C3775" s="5"/>
    </row>
    <row r="3776" spans="3:3" x14ac:dyDescent="0.2">
      <c r="C3776" s="5"/>
    </row>
    <row r="3777" spans="3:3" x14ac:dyDescent="0.2">
      <c r="C3777" s="5"/>
    </row>
    <row r="3778" spans="3:3" x14ac:dyDescent="0.2">
      <c r="C3778" s="5"/>
    </row>
    <row r="3779" spans="3:3" x14ac:dyDescent="0.2">
      <c r="C3779" s="5"/>
    </row>
    <row r="3780" spans="3:3" x14ac:dyDescent="0.2">
      <c r="C3780" s="5"/>
    </row>
    <row r="3781" spans="3:3" x14ac:dyDescent="0.2">
      <c r="C3781" s="5"/>
    </row>
    <row r="3782" spans="3:3" x14ac:dyDescent="0.2">
      <c r="C3782" s="5"/>
    </row>
    <row r="3783" spans="3:3" x14ac:dyDescent="0.2">
      <c r="C3783" s="5"/>
    </row>
    <row r="3784" spans="3:3" x14ac:dyDescent="0.2">
      <c r="C3784" s="5"/>
    </row>
    <row r="3785" spans="3:3" x14ac:dyDescent="0.2">
      <c r="C3785" s="5"/>
    </row>
    <row r="3786" spans="3:3" x14ac:dyDescent="0.2">
      <c r="C3786" s="5"/>
    </row>
    <row r="3787" spans="3:3" x14ac:dyDescent="0.2">
      <c r="C3787" s="5"/>
    </row>
    <row r="3788" spans="3:3" x14ac:dyDescent="0.2">
      <c r="C3788" s="5"/>
    </row>
    <row r="3789" spans="3:3" x14ac:dyDescent="0.2">
      <c r="C3789" s="5"/>
    </row>
    <row r="3790" spans="3:3" x14ac:dyDescent="0.2">
      <c r="C3790" s="5"/>
    </row>
    <row r="3791" spans="3:3" x14ac:dyDescent="0.2">
      <c r="C3791" s="5"/>
    </row>
    <row r="3792" spans="3:3" x14ac:dyDescent="0.2">
      <c r="C3792" s="5"/>
    </row>
    <row r="3793" spans="3:3" x14ac:dyDescent="0.2">
      <c r="C3793" s="5"/>
    </row>
    <row r="3794" spans="3:3" x14ac:dyDescent="0.2">
      <c r="C3794" s="5"/>
    </row>
    <row r="3795" spans="3:3" x14ac:dyDescent="0.2">
      <c r="C3795" s="5"/>
    </row>
    <row r="3796" spans="3:3" x14ac:dyDescent="0.2">
      <c r="C3796" s="5"/>
    </row>
    <row r="3797" spans="3:3" x14ac:dyDescent="0.2">
      <c r="C3797" s="5"/>
    </row>
    <row r="3798" spans="3:3" x14ac:dyDescent="0.2">
      <c r="C3798" s="5"/>
    </row>
    <row r="3799" spans="3:3" x14ac:dyDescent="0.2">
      <c r="C3799" s="5"/>
    </row>
    <row r="3800" spans="3:3" x14ac:dyDescent="0.2">
      <c r="C3800" s="5"/>
    </row>
    <row r="3801" spans="3:3" x14ac:dyDescent="0.2">
      <c r="C3801" s="5"/>
    </row>
    <row r="3802" spans="3:3" x14ac:dyDescent="0.2">
      <c r="C3802" s="5"/>
    </row>
    <row r="3803" spans="3:3" x14ac:dyDescent="0.2">
      <c r="C3803" s="5"/>
    </row>
    <row r="3804" spans="3:3" x14ac:dyDescent="0.2">
      <c r="C3804" s="5"/>
    </row>
    <row r="3805" spans="3:3" x14ac:dyDescent="0.2">
      <c r="C3805" s="5"/>
    </row>
    <row r="3806" spans="3:3" x14ac:dyDescent="0.2">
      <c r="C3806" s="5"/>
    </row>
    <row r="3807" spans="3:3" x14ac:dyDescent="0.2">
      <c r="C3807" s="5"/>
    </row>
    <row r="3808" spans="3:3" x14ac:dyDescent="0.2">
      <c r="C3808" s="5"/>
    </row>
    <row r="3809" spans="3:3" x14ac:dyDescent="0.2">
      <c r="C3809" s="5"/>
    </row>
    <row r="3810" spans="3:3" x14ac:dyDescent="0.2">
      <c r="C3810" s="5"/>
    </row>
    <row r="3811" spans="3:3" x14ac:dyDescent="0.2">
      <c r="C3811" s="5"/>
    </row>
    <row r="3812" spans="3:3" x14ac:dyDescent="0.2">
      <c r="C3812" s="5"/>
    </row>
    <row r="3813" spans="3:3" x14ac:dyDescent="0.2">
      <c r="C3813" s="5"/>
    </row>
    <row r="3814" spans="3:3" x14ac:dyDescent="0.2">
      <c r="C3814" s="5"/>
    </row>
    <row r="3815" spans="3:3" x14ac:dyDescent="0.2">
      <c r="C3815" s="5"/>
    </row>
    <row r="3816" spans="3:3" x14ac:dyDescent="0.2">
      <c r="C3816" s="5"/>
    </row>
    <row r="3817" spans="3:3" x14ac:dyDescent="0.2">
      <c r="C3817" s="5"/>
    </row>
    <row r="3818" spans="3:3" x14ac:dyDescent="0.2">
      <c r="C3818" s="5"/>
    </row>
    <row r="3819" spans="3:3" x14ac:dyDescent="0.2">
      <c r="C3819" s="5"/>
    </row>
    <row r="3820" spans="3:3" x14ac:dyDescent="0.2">
      <c r="C3820" s="5"/>
    </row>
    <row r="3821" spans="3:3" x14ac:dyDescent="0.2">
      <c r="C3821" s="5"/>
    </row>
    <row r="3822" spans="3:3" x14ac:dyDescent="0.2">
      <c r="C3822" s="5"/>
    </row>
    <row r="3823" spans="3:3" x14ac:dyDescent="0.2">
      <c r="C3823" s="5"/>
    </row>
    <row r="3824" spans="3:3" x14ac:dyDescent="0.2">
      <c r="C3824" s="5"/>
    </row>
    <row r="3825" spans="3:3" x14ac:dyDescent="0.2">
      <c r="C3825" s="5"/>
    </row>
    <row r="3826" spans="3:3" x14ac:dyDescent="0.2">
      <c r="C3826" s="5"/>
    </row>
    <row r="3827" spans="3:3" x14ac:dyDescent="0.2">
      <c r="C3827" s="5"/>
    </row>
    <row r="3828" spans="3:3" x14ac:dyDescent="0.2">
      <c r="C3828" s="5"/>
    </row>
    <row r="3829" spans="3:3" x14ac:dyDescent="0.2">
      <c r="C3829" s="5"/>
    </row>
    <row r="3830" spans="3:3" x14ac:dyDescent="0.2">
      <c r="C3830" s="5"/>
    </row>
    <row r="3831" spans="3:3" x14ac:dyDescent="0.2">
      <c r="C3831" s="5"/>
    </row>
    <row r="3832" spans="3:3" x14ac:dyDescent="0.2">
      <c r="C3832" s="5"/>
    </row>
    <row r="3833" spans="3:3" x14ac:dyDescent="0.2">
      <c r="C3833" s="5"/>
    </row>
    <row r="3834" spans="3:3" x14ac:dyDescent="0.2">
      <c r="C3834" s="5"/>
    </row>
    <row r="3835" spans="3:3" x14ac:dyDescent="0.2">
      <c r="C3835" s="5"/>
    </row>
    <row r="3836" spans="3:3" x14ac:dyDescent="0.2">
      <c r="C3836" s="5"/>
    </row>
    <row r="3837" spans="3:3" x14ac:dyDescent="0.2">
      <c r="C3837" s="5"/>
    </row>
    <row r="3838" spans="3:3" x14ac:dyDescent="0.2">
      <c r="C3838" s="5"/>
    </row>
    <row r="3839" spans="3:3" x14ac:dyDescent="0.2">
      <c r="C3839" s="5"/>
    </row>
    <row r="3840" spans="3:3" x14ac:dyDescent="0.2">
      <c r="C3840" s="5"/>
    </row>
    <row r="3841" spans="3:3" x14ac:dyDescent="0.2">
      <c r="C3841" s="5"/>
    </row>
    <row r="3842" spans="3:3" x14ac:dyDescent="0.2">
      <c r="C3842" s="5"/>
    </row>
    <row r="3843" spans="3:3" x14ac:dyDescent="0.2">
      <c r="C3843" s="5"/>
    </row>
    <row r="3844" spans="3:3" x14ac:dyDescent="0.2">
      <c r="C3844" s="5"/>
    </row>
    <row r="3845" spans="3:3" x14ac:dyDescent="0.2">
      <c r="C3845" s="5"/>
    </row>
    <row r="3846" spans="3:3" x14ac:dyDescent="0.2">
      <c r="C3846" s="5"/>
    </row>
    <row r="3847" spans="3:3" x14ac:dyDescent="0.2">
      <c r="C3847" s="5"/>
    </row>
    <row r="3848" spans="3:3" x14ac:dyDescent="0.2">
      <c r="C3848" s="5"/>
    </row>
    <row r="3849" spans="3:3" x14ac:dyDescent="0.2">
      <c r="C3849" s="5"/>
    </row>
    <row r="3850" spans="3:3" x14ac:dyDescent="0.2">
      <c r="C3850" s="5"/>
    </row>
    <row r="3851" spans="3:3" x14ac:dyDescent="0.2">
      <c r="C3851" s="5"/>
    </row>
    <row r="3852" spans="3:3" x14ac:dyDescent="0.2">
      <c r="C3852" s="5"/>
    </row>
    <row r="3853" spans="3:3" x14ac:dyDescent="0.2">
      <c r="C3853" s="5"/>
    </row>
    <row r="3854" spans="3:3" x14ac:dyDescent="0.2">
      <c r="C3854" s="5"/>
    </row>
    <row r="3855" spans="3:3" x14ac:dyDescent="0.2">
      <c r="C3855" s="5"/>
    </row>
    <row r="3856" spans="3:3" x14ac:dyDescent="0.2">
      <c r="C3856" s="5"/>
    </row>
    <row r="3857" spans="3:3" x14ac:dyDescent="0.2">
      <c r="C3857" s="5"/>
    </row>
    <row r="3858" spans="3:3" x14ac:dyDescent="0.2">
      <c r="C3858" s="5"/>
    </row>
    <row r="3859" spans="3:3" x14ac:dyDescent="0.2">
      <c r="C3859" s="5"/>
    </row>
    <row r="3860" spans="3:3" x14ac:dyDescent="0.2">
      <c r="C3860" s="5"/>
    </row>
    <row r="3861" spans="3:3" x14ac:dyDescent="0.2">
      <c r="C3861" s="5"/>
    </row>
    <row r="3862" spans="3:3" x14ac:dyDescent="0.2">
      <c r="C3862" s="5"/>
    </row>
    <row r="3863" spans="3:3" x14ac:dyDescent="0.2">
      <c r="C3863" s="5"/>
    </row>
    <row r="3864" spans="3:3" x14ac:dyDescent="0.2">
      <c r="C3864" s="5"/>
    </row>
    <row r="3865" spans="3:3" x14ac:dyDescent="0.2">
      <c r="C3865" s="5"/>
    </row>
    <row r="3866" spans="3:3" x14ac:dyDescent="0.2">
      <c r="C3866" s="5"/>
    </row>
    <row r="3867" spans="3:3" x14ac:dyDescent="0.2">
      <c r="C3867" s="5"/>
    </row>
    <row r="3868" spans="3:3" x14ac:dyDescent="0.2">
      <c r="C3868" s="5"/>
    </row>
    <row r="3869" spans="3:3" x14ac:dyDescent="0.2">
      <c r="C3869" s="5"/>
    </row>
    <row r="3870" spans="3:3" x14ac:dyDescent="0.2">
      <c r="C3870" s="5"/>
    </row>
    <row r="3871" spans="3:3" x14ac:dyDescent="0.2">
      <c r="C3871" s="5"/>
    </row>
    <row r="3872" spans="3:3" x14ac:dyDescent="0.2">
      <c r="C3872" s="5"/>
    </row>
    <row r="3873" spans="3:3" x14ac:dyDescent="0.2">
      <c r="C3873" s="5"/>
    </row>
    <row r="3874" spans="3:3" x14ac:dyDescent="0.2">
      <c r="C3874" s="5"/>
    </row>
    <row r="3875" spans="3:3" x14ac:dyDescent="0.2">
      <c r="C3875" s="5"/>
    </row>
    <row r="3876" spans="3:3" x14ac:dyDescent="0.2">
      <c r="C3876" s="5"/>
    </row>
    <row r="3877" spans="3:3" x14ac:dyDescent="0.2">
      <c r="C3877" s="5"/>
    </row>
    <row r="3878" spans="3:3" x14ac:dyDescent="0.2">
      <c r="C3878" s="5"/>
    </row>
    <row r="3879" spans="3:3" x14ac:dyDescent="0.2">
      <c r="C3879" s="5"/>
    </row>
    <row r="3880" spans="3:3" x14ac:dyDescent="0.2">
      <c r="C3880" s="5"/>
    </row>
    <row r="3881" spans="3:3" x14ac:dyDescent="0.2">
      <c r="C3881" s="5"/>
    </row>
    <row r="3882" spans="3:3" x14ac:dyDescent="0.2">
      <c r="C3882" s="5"/>
    </row>
    <row r="3883" spans="3:3" x14ac:dyDescent="0.2">
      <c r="C3883" s="5"/>
    </row>
    <row r="3884" spans="3:3" x14ac:dyDescent="0.2">
      <c r="C3884" s="5"/>
    </row>
    <row r="3885" spans="3:3" x14ac:dyDescent="0.2">
      <c r="C3885" s="5"/>
    </row>
    <row r="3886" spans="3:3" x14ac:dyDescent="0.2">
      <c r="C3886" s="5"/>
    </row>
    <row r="3887" spans="3:3" x14ac:dyDescent="0.2">
      <c r="C3887" s="5"/>
    </row>
    <row r="3888" spans="3:3" x14ac:dyDescent="0.2">
      <c r="C3888" s="5"/>
    </row>
    <row r="3889" spans="3:3" x14ac:dyDescent="0.2">
      <c r="C3889" s="5"/>
    </row>
    <row r="3890" spans="3:3" x14ac:dyDescent="0.2">
      <c r="C3890" s="5"/>
    </row>
    <row r="3891" spans="3:3" x14ac:dyDescent="0.2">
      <c r="C3891" s="5"/>
    </row>
    <row r="3892" spans="3:3" x14ac:dyDescent="0.2">
      <c r="C3892" s="5"/>
    </row>
    <row r="3893" spans="3:3" x14ac:dyDescent="0.2">
      <c r="C3893" s="5"/>
    </row>
    <row r="3894" spans="3:3" x14ac:dyDescent="0.2">
      <c r="C3894" s="5"/>
    </row>
    <row r="3895" spans="3:3" x14ac:dyDescent="0.2">
      <c r="C3895" s="5"/>
    </row>
    <row r="3896" spans="3:3" x14ac:dyDescent="0.2">
      <c r="C3896" s="5"/>
    </row>
    <row r="3897" spans="3:3" x14ac:dyDescent="0.2">
      <c r="C3897" s="5"/>
    </row>
    <row r="3898" spans="3:3" x14ac:dyDescent="0.2">
      <c r="C3898" s="5"/>
    </row>
    <row r="3899" spans="3:3" x14ac:dyDescent="0.2">
      <c r="C3899" s="5"/>
    </row>
    <row r="3900" spans="3:3" x14ac:dyDescent="0.2">
      <c r="C3900" s="5"/>
    </row>
    <row r="3901" spans="3:3" x14ac:dyDescent="0.2">
      <c r="C3901" s="5"/>
    </row>
    <row r="3902" spans="3:3" x14ac:dyDescent="0.2">
      <c r="C3902" s="5"/>
    </row>
    <row r="3903" spans="3:3" x14ac:dyDescent="0.2">
      <c r="C3903" s="5"/>
    </row>
    <row r="3904" spans="3:3" x14ac:dyDescent="0.2">
      <c r="C3904" s="5"/>
    </row>
    <row r="3905" spans="3:3" x14ac:dyDescent="0.2">
      <c r="C3905" s="5"/>
    </row>
    <row r="3906" spans="3:3" x14ac:dyDescent="0.2">
      <c r="C3906" s="5"/>
    </row>
    <row r="3907" spans="3:3" x14ac:dyDescent="0.2">
      <c r="C3907" s="5"/>
    </row>
    <row r="3908" spans="3:3" x14ac:dyDescent="0.2">
      <c r="C3908" s="5"/>
    </row>
    <row r="3909" spans="3:3" x14ac:dyDescent="0.2">
      <c r="C3909" s="5"/>
    </row>
    <row r="3910" spans="3:3" x14ac:dyDescent="0.2">
      <c r="C3910" s="5"/>
    </row>
    <row r="3911" spans="3:3" x14ac:dyDescent="0.2">
      <c r="C3911" s="5"/>
    </row>
    <row r="3912" spans="3:3" x14ac:dyDescent="0.2">
      <c r="C3912" s="5"/>
    </row>
    <row r="3913" spans="3:3" x14ac:dyDescent="0.2">
      <c r="C3913" s="5"/>
    </row>
    <row r="3914" spans="3:3" x14ac:dyDescent="0.2">
      <c r="C3914" s="5"/>
    </row>
    <row r="3915" spans="3:3" x14ac:dyDescent="0.2">
      <c r="C3915" s="5"/>
    </row>
    <row r="3916" spans="3:3" x14ac:dyDescent="0.2">
      <c r="C3916" s="5"/>
    </row>
    <row r="3917" spans="3:3" x14ac:dyDescent="0.2">
      <c r="C3917" s="5"/>
    </row>
    <row r="3918" spans="3:3" x14ac:dyDescent="0.2">
      <c r="C3918" s="5"/>
    </row>
    <row r="3919" spans="3:3" x14ac:dyDescent="0.2">
      <c r="C3919" s="5"/>
    </row>
    <row r="3920" spans="3:3" x14ac:dyDescent="0.2">
      <c r="C3920" s="5"/>
    </row>
    <row r="3921" spans="3:3" x14ac:dyDescent="0.2">
      <c r="C3921" s="5"/>
    </row>
    <row r="3922" spans="3:3" x14ac:dyDescent="0.2">
      <c r="C3922" s="5"/>
    </row>
    <row r="3923" spans="3:3" x14ac:dyDescent="0.2">
      <c r="C3923" s="5"/>
    </row>
    <row r="3924" spans="3:3" x14ac:dyDescent="0.2">
      <c r="C3924" s="5"/>
    </row>
    <row r="3925" spans="3:3" x14ac:dyDescent="0.2">
      <c r="C3925" s="5"/>
    </row>
    <row r="3926" spans="3:3" x14ac:dyDescent="0.2">
      <c r="C3926" s="5"/>
    </row>
    <row r="3927" spans="3:3" x14ac:dyDescent="0.2">
      <c r="C3927" s="5"/>
    </row>
    <row r="3928" spans="3:3" x14ac:dyDescent="0.2">
      <c r="C3928" s="5"/>
    </row>
    <row r="3929" spans="3:3" x14ac:dyDescent="0.2">
      <c r="C3929" s="5"/>
    </row>
    <row r="3930" spans="3:3" x14ac:dyDescent="0.2">
      <c r="C3930" s="5"/>
    </row>
    <row r="3931" spans="3:3" x14ac:dyDescent="0.2">
      <c r="C3931" s="5"/>
    </row>
    <row r="3932" spans="3:3" x14ac:dyDescent="0.2">
      <c r="C3932" s="5"/>
    </row>
    <row r="3933" spans="3:3" x14ac:dyDescent="0.2">
      <c r="C3933" s="5"/>
    </row>
    <row r="3934" spans="3:3" x14ac:dyDescent="0.2">
      <c r="C3934" s="5"/>
    </row>
    <row r="3935" spans="3:3" x14ac:dyDescent="0.2">
      <c r="C3935" s="5"/>
    </row>
    <row r="3936" spans="3:3" x14ac:dyDescent="0.2">
      <c r="C3936" s="5"/>
    </row>
    <row r="3937" spans="3:3" x14ac:dyDescent="0.2">
      <c r="C3937" s="5"/>
    </row>
    <row r="3938" spans="3:3" x14ac:dyDescent="0.2">
      <c r="C3938" s="5"/>
    </row>
    <row r="3939" spans="3:3" x14ac:dyDescent="0.2">
      <c r="C3939" s="5"/>
    </row>
    <row r="3940" spans="3:3" x14ac:dyDescent="0.2">
      <c r="C3940" s="5"/>
    </row>
    <row r="3941" spans="3:3" x14ac:dyDescent="0.2">
      <c r="C3941" s="5"/>
    </row>
    <row r="3942" spans="3:3" x14ac:dyDescent="0.2">
      <c r="C3942" s="5"/>
    </row>
    <row r="3943" spans="3:3" x14ac:dyDescent="0.2">
      <c r="C3943" s="5"/>
    </row>
    <row r="3944" spans="3:3" x14ac:dyDescent="0.2">
      <c r="C3944" s="5"/>
    </row>
    <row r="3945" spans="3:3" x14ac:dyDescent="0.2">
      <c r="C3945" s="5"/>
    </row>
    <row r="3946" spans="3:3" x14ac:dyDescent="0.2">
      <c r="C3946" s="5"/>
    </row>
    <row r="3947" spans="3:3" x14ac:dyDescent="0.2">
      <c r="C3947" s="5"/>
    </row>
    <row r="3948" spans="3:3" x14ac:dyDescent="0.2">
      <c r="C3948" s="5"/>
    </row>
    <row r="3949" spans="3:3" x14ac:dyDescent="0.2">
      <c r="C3949" s="5"/>
    </row>
    <row r="3950" spans="3:3" x14ac:dyDescent="0.2">
      <c r="C3950" s="5"/>
    </row>
    <row r="3951" spans="3:3" x14ac:dyDescent="0.2">
      <c r="C3951" s="5"/>
    </row>
    <row r="3952" spans="3:3" x14ac:dyDescent="0.2">
      <c r="C3952" s="5"/>
    </row>
    <row r="3953" spans="3:3" x14ac:dyDescent="0.2">
      <c r="C3953" s="5"/>
    </row>
    <row r="3954" spans="3:3" x14ac:dyDescent="0.2">
      <c r="C3954" s="5"/>
    </row>
    <row r="3955" spans="3:3" x14ac:dyDescent="0.2">
      <c r="C3955" s="5"/>
    </row>
    <row r="3956" spans="3:3" x14ac:dyDescent="0.2">
      <c r="C3956" s="5"/>
    </row>
    <row r="3957" spans="3:3" x14ac:dyDescent="0.2">
      <c r="C3957" s="5"/>
    </row>
    <row r="3958" spans="3:3" x14ac:dyDescent="0.2">
      <c r="C3958" s="5"/>
    </row>
    <row r="3959" spans="3:3" x14ac:dyDescent="0.2">
      <c r="C3959" s="5"/>
    </row>
    <row r="3960" spans="3:3" x14ac:dyDescent="0.2">
      <c r="C3960" s="5"/>
    </row>
    <row r="3961" spans="3:3" x14ac:dyDescent="0.2">
      <c r="C3961" s="5"/>
    </row>
    <row r="3962" spans="3:3" x14ac:dyDescent="0.2">
      <c r="C3962" s="5"/>
    </row>
    <row r="3963" spans="3:3" x14ac:dyDescent="0.2">
      <c r="C3963" s="5"/>
    </row>
    <row r="3964" spans="3:3" x14ac:dyDescent="0.2">
      <c r="C3964" s="5"/>
    </row>
    <row r="3965" spans="3:3" x14ac:dyDescent="0.2">
      <c r="C3965" s="5"/>
    </row>
    <row r="3966" spans="3:3" x14ac:dyDescent="0.2">
      <c r="C3966" s="5"/>
    </row>
    <row r="3967" spans="3:3" x14ac:dyDescent="0.2">
      <c r="C3967" s="5"/>
    </row>
    <row r="3968" spans="3:3" x14ac:dyDescent="0.2">
      <c r="C3968" s="5"/>
    </row>
    <row r="3969" spans="3:3" x14ac:dyDescent="0.2">
      <c r="C3969" s="5"/>
    </row>
    <row r="3970" spans="3:3" x14ac:dyDescent="0.2">
      <c r="C3970" s="5"/>
    </row>
    <row r="3971" spans="3:3" x14ac:dyDescent="0.2">
      <c r="C3971" s="5"/>
    </row>
    <row r="3972" spans="3:3" x14ac:dyDescent="0.2">
      <c r="C3972" s="5"/>
    </row>
    <row r="3973" spans="3:3" x14ac:dyDescent="0.2">
      <c r="C3973" s="5"/>
    </row>
    <row r="3974" spans="3:3" x14ac:dyDescent="0.2">
      <c r="C3974" s="5"/>
    </row>
    <row r="3975" spans="3:3" x14ac:dyDescent="0.2">
      <c r="C3975" s="5"/>
    </row>
    <row r="3976" spans="3:3" x14ac:dyDescent="0.2">
      <c r="C3976" s="5"/>
    </row>
    <row r="3977" spans="3:3" x14ac:dyDescent="0.2">
      <c r="C3977" s="5"/>
    </row>
    <row r="3978" spans="3:3" x14ac:dyDescent="0.2">
      <c r="C3978" s="5"/>
    </row>
    <row r="3979" spans="3:3" x14ac:dyDescent="0.2">
      <c r="C3979" s="5"/>
    </row>
    <row r="3980" spans="3:3" x14ac:dyDescent="0.2">
      <c r="C3980" s="5"/>
    </row>
    <row r="3981" spans="3:3" x14ac:dyDescent="0.2">
      <c r="C3981" s="5"/>
    </row>
    <row r="3982" spans="3:3" x14ac:dyDescent="0.2">
      <c r="C3982" s="5"/>
    </row>
    <row r="3983" spans="3:3" x14ac:dyDescent="0.2">
      <c r="C3983" s="5"/>
    </row>
    <row r="3984" spans="3:3" x14ac:dyDescent="0.2">
      <c r="C3984" s="5"/>
    </row>
    <row r="3985" spans="3:3" x14ac:dyDescent="0.2">
      <c r="C3985" s="5"/>
    </row>
    <row r="3986" spans="3:3" x14ac:dyDescent="0.2">
      <c r="C3986" s="5"/>
    </row>
    <row r="3987" spans="3:3" x14ac:dyDescent="0.2">
      <c r="C3987" s="5"/>
    </row>
    <row r="3988" spans="3:3" x14ac:dyDescent="0.2">
      <c r="C3988" s="5"/>
    </row>
    <row r="3989" spans="3:3" x14ac:dyDescent="0.2">
      <c r="C3989" s="5"/>
    </row>
    <row r="3990" spans="3:3" x14ac:dyDescent="0.2">
      <c r="C3990" s="5"/>
    </row>
    <row r="3991" spans="3:3" x14ac:dyDescent="0.2">
      <c r="C3991" s="5"/>
    </row>
    <row r="3992" spans="3:3" x14ac:dyDescent="0.2">
      <c r="C3992" s="5"/>
    </row>
    <row r="3993" spans="3:3" x14ac:dyDescent="0.2">
      <c r="C3993" s="5"/>
    </row>
    <row r="3994" spans="3:3" x14ac:dyDescent="0.2">
      <c r="C3994" s="5"/>
    </row>
    <row r="3995" spans="3:3" x14ac:dyDescent="0.2">
      <c r="C3995" s="5"/>
    </row>
    <row r="3996" spans="3:3" x14ac:dyDescent="0.2">
      <c r="C3996" s="5"/>
    </row>
    <row r="3997" spans="3:3" x14ac:dyDescent="0.2">
      <c r="C3997" s="5"/>
    </row>
    <row r="3998" spans="3:3" x14ac:dyDescent="0.2">
      <c r="C3998" s="5"/>
    </row>
    <row r="3999" spans="3:3" x14ac:dyDescent="0.2">
      <c r="C3999" s="5"/>
    </row>
    <row r="4000" spans="3:3" x14ac:dyDescent="0.2">
      <c r="C4000" s="5"/>
    </row>
    <row r="4001" spans="3:3" x14ac:dyDescent="0.2">
      <c r="C4001" s="5"/>
    </row>
    <row r="4002" spans="3:3" x14ac:dyDescent="0.2">
      <c r="C4002" s="5"/>
    </row>
    <row r="4003" spans="3:3" x14ac:dyDescent="0.2">
      <c r="C4003" s="5"/>
    </row>
    <row r="4004" spans="3:3" x14ac:dyDescent="0.2">
      <c r="C4004" s="5"/>
    </row>
    <row r="4005" spans="3:3" x14ac:dyDescent="0.2">
      <c r="C4005" s="5"/>
    </row>
    <row r="4006" spans="3:3" x14ac:dyDescent="0.2">
      <c r="C4006" s="5"/>
    </row>
    <row r="4007" spans="3:3" x14ac:dyDescent="0.2">
      <c r="C4007" s="5"/>
    </row>
    <row r="4008" spans="3:3" x14ac:dyDescent="0.2">
      <c r="C4008" s="5"/>
    </row>
    <row r="4009" spans="3:3" x14ac:dyDescent="0.2">
      <c r="C4009" s="5"/>
    </row>
    <row r="4010" spans="3:3" x14ac:dyDescent="0.2">
      <c r="C4010" s="5"/>
    </row>
    <row r="4011" spans="3:3" x14ac:dyDescent="0.2">
      <c r="C4011" s="5"/>
    </row>
    <row r="4012" spans="3:3" x14ac:dyDescent="0.2">
      <c r="C4012" s="5"/>
    </row>
    <row r="4013" spans="3:3" x14ac:dyDescent="0.2">
      <c r="C4013" s="5"/>
    </row>
    <row r="4014" spans="3:3" x14ac:dyDescent="0.2">
      <c r="C4014" s="5"/>
    </row>
    <row r="4015" spans="3:3" x14ac:dyDescent="0.2">
      <c r="C4015" s="5"/>
    </row>
    <row r="4016" spans="3:3" x14ac:dyDescent="0.2">
      <c r="C4016" s="5"/>
    </row>
    <row r="4017" spans="3:3" x14ac:dyDescent="0.2">
      <c r="C4017" s="5"/>
    </row>
    <row r="4018" spans="3:3" x14ac:dyDescent="0.2">
      <c r="C4018" s="5"/>
    </row>
    <row r="4019" spans="3:3" x14ac:dyDescent="0.2">
      <c r="C4019" s="5"/>
    </row>
    <row r="4020" spans="3:3" x14ac:dyDescent="0.2">
      <c r="C4020" s="5"/>
    </row>
    <row r="4021" spans="3:3" x14ac:dyDescent="0.2">
      <c r="C4021" s="5"/>
    </row>
    <row r="4022" spans="3:3" x14ac:dyDescent="0.2">
      <c r="C4022" s="5"/>
    </row>
    <row r="4023" spans="3:3" x14ac:dyDescent="0.2">
      <c r="C4023" s="5"/>
    </row>
    <row r="4024" spans="3:3" x14ac:dyDescent="0.2">
      <c r="C4024" s="5"/>
    </row>
    <row r="4025" spans="3:3" x14ac:dyDescent="0.2">
      <c r="C4025" s="5"/>
    </row>
    <row r="4026" spans="3:3" x14ac:dyDescent="0.2">
      <c r="C4026" s="5"/>
    </row>
    <row r="4027" spans="3:3" x14ac:dyDescent="0.2">
      <c r="C4027" s="5"/>
    </row>
    <row r="4028" spans="3:3" x14ac:dyDescent="0.2">
      <c r="C4028" s="5"/>
    </row>
    <row r="4029" spans="3:3" x14ac:dyDescent="0.2">
      <c r="C4029" s="5"/>
    </row>
    <row r="4030" spans="3:3" x14ac:dyDescent="0.2">
      <c r="C4030" s="5"/>
    </row>
    <row r="4031" spans="3:3" x14ac:dyDescent="0.2">
      <c r="C4031" s="5"/>
    </row>
    <row r="4032" spans="3:3" x14ac:dyDescent="0.2">
      <c r="C4032" s="5"/>
    </row>
    <row r="4033" spans="3:3" x14ac:dyDescent="0.2">
      <c r="C4033" s="5"/>
    </row>
    <row r="4034" spans="3:3" x14ac:dyDescent="0.2">
      <c r="C4034" s="5"/>
    </row>
    <row r="4035" spans="3:3" x14ac:dyDescent="0.2">
      <c r="C4035" s="5"/>
    </row>
    <row r="12001" spans="1:169" x14ac:dyDescent="0.2">
      <c r="A12001">
        <f t="array" ref="A12001:CM12001">_xll.GDOT_QREFactorisation_Cols(KUR8000:KYD8090)</f>
        <v>1</v>
      </c>
      <c r="B12001">
        <v>2</v>
      </c>
      <c r="C12001">
        <v>3</v>
      </c>
      <c r="D12001">
        <v>4</v>
      </c>
      <c r="E12001">
        <v>5</v>
      </c>
      <c r="F12001">
        <v>6</v>
      </c>
      <c r="G12001">
        <v>7</v>
      </c>
      <c r="H12001">
        <v>8</v>
      </c>
      <c r="I12001">
        <v>9</v>
      </c>
      <c r="J12001">
        <v>10</v>
      </c>
      <c r="K12001">
        <v>11</v>
      </c>
      <c r="L12001">
        <v>12</v>
      </c>
      <c r="M12001">
        <v>13</v>
      </c>
      <c r="N12001">
        <v>14</v>
      </c>
      <c r="O12001">
        <v>15</v>
      </c>
      <c r="P12001">
        <v>16</v>
      </c>
      <c r="Q12001">
        <v>17</v>
      </c>
      <c r="R12001">
        <v>18</v>
      </c>
      <c r="S12001">
        <v>19</v>
      </c>
      <c r="T12001">
        <v>20</v>
      </c>
      <c r="U12001">
        <v>21</v>
      </c>
      <c r="V12001">
        <v>22</v>
      </c>
      <c r="W12001">
        <v>23</v>
      </c>
      <c r="X12001">
        <v>24</v>
      </c>
      <c r="Y12001">
        <v>25</v>
      </c>
      <c r="Z12001">
        <v>26</v>
      </c>
      <c r="AA12001">
        <v>27</v>
      </c>
      <c r="AB12001">
        <v>28</v>
      </c>
      <c r="AC12001">
        <v>29</v>
      </c>
      <c r="AD12001">
        <v>30</v>
      </c>
      <c r="AE12001">
        <v>31</v>
      </c>
      <c r="AF12001">
        <v>32</v>
      </c>
      <c r="AG12001">
        <v>33</v>
      </c>
      <c r="AH12001">
        <v>34</v>
      </c>
      <c r="AI12001">
        <v>35</v>
      </c>
      <c r="AJ12001">
        <v>36</v>
      </c>
      <c r="AK12001">
        <v>37</v>
      </c>
      <c r="AL12001">
        <v>38</v>
      </c>
      <c r="AM12001">
        <v>39</v>
      </c>
      <c r="AN12001">
        <v>40</v>
      </c>
      <c r="AO12001">
        <v>41</v>
      </c>
      <c r="AP12001">
        <v>42</v>
      </c>
      <c r="AQ12001">
        <v>43</v>
      </c>
      <c r="AR12001">
        <v>44</v>
      </c>
      <c r="AS12001">
        <v>45</v>
      </c>
      <c r="AT12001">
        <v>46</v>
      </c>
      <c r="AU12001">
        <v>47</v>
      </c>
      <c r="AV12001">
        <v>48</v>
      </c>
      <c r="AW12001">
        <v>49</v>
      </c>
      <c r="AX12001">
        <v>50</v>
      </c>
      <c r="AY12001">
        <v>51</v>
      </c>
      <c r="AZ12001">
        <v>52</v>
      </c>
      <c r="BA12001">
        <v>53</v>
      </c>
      <c r="BB12001">
        <v>54</v>
      </c>
      <c r="BC12001">
        <v>55</v>
      </c>
      <c r="BD12001">
        <v>56</v>
      </c>
      <c r="BE12001">
        <v>57</v>
      </c>
      <c r="BF12001">
        <v>58</v>
      </c>
      <c r="BG12001">
        <v>59</v>
      </c>
      <c r="BH12001">
        <v>60</v>
      </c>
      <c r="BI12001">
        <v>61</v>
      </c>
      <c r="BJ12001">
        <v>62</v>
      </c>
      <c r="BK12001">
        <v>63</v>
      </c>
      <c r="BL12001">
        <v>64</v>
      </c>
      <c r="BM12001">
        <v>65</v>
      </c>
      <c r="BN12001">
        <v>66</v>
      </c>
      <c r="BO12001">
        <v>67</v>
      </c>
      <c r="BP12001">
        <v>68</v>
      </c>
      <c r="BQ12001">
        <v>69</v>
      </c>
      <c r="BR12001">
        <v>70</v>
      </c>
      <c r="BS12001">
        <v>71</v>
      </c>
      <c r="BT12001">
        <v>72</v>
      </c>
      <c r="BU12001">
        <v>73</v>
      </c>
      <c r="BV12001">
        <v>74</v>
      </c>
      <c r="BW12001">
        <v>75</v>
      </c>
      <c r="BX12001">
        <v>76</v>
      </c>
      <c r="BY12001">
        <v>77</v>
      </c>
      <c r="BZ12001">
        <v>78</v>
      </c>
      <c r="CA12001">
        <v>79</v>
      </c>
      <c r="CB12001">
        <v>80</v>
      </c>
      <c r="CC12001">
        <v>81</v>
      </c>
      <c r="CD12001">
        <v>82</v>
      </c>
      <c r="CE12001">
        <v>83</v>
      </c>
      <c r="CF12001">
        <v>84</v>
      </c>
      <c r="CG12001">
        <v>85</v>
      </c>
      <c r="CH12001">
        <v>86</v>
      </c>
      <c r="CI12001">
        <v>87</v>
      </c>
      <c r="CJ12001">
        <v>88</v>
      </c>
      <c r="CK12001">
        <v>89</v>
      </c>
      <c r="CL12001">
        <v>90</v>
      </c>
      <c r="CM12001">
        <v>91</v>
      </c>
    </row>
    <row r="12002" spans="1:169" x14ac:dyDescent="0.2">
      <c r="A12002">
        <f t="array" ref="A12002:EF12002">_xll.GDOT_Get_ABCD_to_CVindex_ON()</f>
        <v>0</v>
      </c>
      <c r="B12002">
        <v>1</v>
      </c>
      <c r="C12002">
        <v>2</v>
      </c>
      <c r="D12002">
        <v>3</v>
      </c>
      <c r="E12002">
        <v>4</v>
      </c>
      <c r="F12002">
        <v>5</v>
      </c>
      <c r="G12002">
        <v>6</v>
      </c>
      <c r="H12002">
        <v>26</v>
      </c>
      <c r="I12002">
        <v>27</v>
      </c>
      <c r="J12002">
        <v>28</v>
      </c>
      <c r="K12002">
        <v>32</v>
      </c>
      <c r="L12002">
        <v>33</v>
      </c>
      <c r="M12002">
        <v>34</v>
      </c>
      <c r="N12002">
        <v>35</v>
      </c>
      <c r="O12002">
        <v>36</v>
      </c>
      <c r="P12002">
        <v>37</v>
      </c>
      <c r="Q12002">
        <v>38</v>
      </c>
      <c r="R12002">
        <v>39</v>
      </c>
      <c r="S12002">
        <v>40</v>
      </c>
      <c r="T12002">
        <v>41</v>
      </c>
      <c r="U12002">
        <v>42</v>
      </c>
      <c r="V12002">
        <v>43</v>
      </c>
      <c r="W12002">
        <v>44</v>
      </c>
      <c r="X12002">
        <v>45</v>
      </c>
      <c r="Y12002">
        <v>46</v>
      </c>
      <c r="Z12002">
        <v>47</v>
      </c>
      <c r="AA12002">
        <v>48</v>
      </c>
      <c r="AB12002">
        <v>49</v>
      </c>
      <c r="AC12002">
        <v>50</v>
      </c>
      <c r="AD12002">
        <v>51</v>
      </c>
      <c r="AE12002">
        <v>52</v>
      </c>
      <c r="AF12002">
        <v>53</v>
      </c>
      <c r="AG12002">
        <v>54</v>
      </c>
      <c r="AH12002">
        <v>55</v>
      </c>
      <c r="AI12002">
        <v>56</v>
      </c>
      <c r="AJ12002">
        <v>57</v>
      </c>
      <c r="AK12002">
        <v>58</v>
      </c>
      <c r="AL12002">
        <v>59</v>
      </c>
      <c r="AM12002">
        <v>60</v>
      </c>
      <c r="AN12002">
        <v>61</v>
      </c>
      <c r="AO12002">
        <v>62</v>
      </c>
      <c r="AP12002">
        <v>63</v>
      </c>
      <c r="AQ12002">
        <v>64</v>
      </c>
      <c r="AR12002">
        <v>65</v>
      </c>
      <c r="AS12002">
        <v>66</v>
      </c>
      <c r="AT12002">
        <v>67</v>
      </c>
      <c r="AU12002">
        <v>81</v>
      </c>
      <c r="AV12002">
        <v>82</v>
      </c>
      <c r="AW12002">
        <v>83</v>
      </c>
      <c r="AX12002">
        <v>84</v>
      </c>
      <c r="AY12002">
        <v>85</v>
      </c>
      <c r="AZ12002">
        <v>86</v>
      </c>
      <c r="BA12002">
        <v>87</v>
      </c>
      <c r="BB12002">
        <v>88</v>
      </c>
      <c r="BC12002">
        <v>89</v>
      </c>
      <c r="BD12002">
        <v>90</v>
      </c>
      <c r="BE12002">
        <v>91</v>
      </c>
      <c r="BF12002">
        <v>92</v>
      </c>
      <c r="BG12002">
        <v>93</v>
      </c>
      <c r="BH12002">
        <v>94</v>
      </c>
      <c r="BI12002">
        <v>95</v>
      </c>
      <c r="BJ12002">
        <v>96</v>
      </c>
      <c r="BK12002">
        <v>97</v>
      </c>
      <c r="BL12002">
        <v>98</v>
      </c>
      <c r="BM12002">
        <v>99</v>
      </c>
      <c r="BN12002">
        <v>100</v>
      </c>
      <c r="BO12002">
        <v>101</v>
      </c>
      <c r="BP12002">
        <v>102</v>
      </c>
      <c r="BQ12002">
        <v>108</v>
      </c>
      <c r="BR12002">
        <v>109</v>
      </c>
      <c r="BS12002">
        <v>110</v>
      </c>
      <c r="BT12002">
        <v>111</v>
      </c>
      <c r="BU12002">
        <v>112</v>
      </c>
      <c r="BV12002">
        <v>113</v>
      </c>
      <c r="BW12002">
        <v>114</v>
      </c>
      <c r="BX12002">
        <v>115</v>
      </c>
      <c r="BY12002">
        <v>116</v>
      </c>
      <c r="BZ12002">
        <v>117</v>
      </c>
      <c r="CA12002">
        <v>118</v>
      </c>
      <c r="CB12002">
        <v>119</v>
      </c>
      <c r="CC12002">
        <v>120</v>
      </c>
      <c r="CD12002">
        <v>126</v>
      </c>
      <c r="CE12002">
        <v>127</v>
      </c>
      <c r="CF12002">
        <v>128</v>
      </c>
      <c r="CG12002">
        <v>129</v>
      </c>
      <c r="CH12002">
        <v>130</v>
      </c>
      <c r="CI12002">
        <v>131</v>
      </c>
      <c r="CJ12002">
        <v>132</v>
      </c>
      <c r="CK12002">
        <v>133</v>
      </c>
      <c r="CL12002">
        <v>134</v>
      </c>
      <c r="CM12002">
        <v>135</v>
      </c>
      <c r="CN12002">
        <v>12</v>
      </c>
      <c r="CO12002">
        <v>13</v>
      </c>
      <c r="CP12002">
        <v>14</v>
      </c>
      <c r="CQ12002">
        <v>15</v>
      </c>
      <c r="CR12002">
        <v>16</v>
      </c>
      <c r="CS12002">
        <v>17</v>
      </c>
      <c r="CT12002">
        <v>18</v>
      </c>
      <c r="CU12002">
        <v>19</v>
      </c>
      <c r="CV12002">
        <v>20</v>
      </c>
      <c r="CW12002">
        <v>21</v>
      </c>
      <c r="CX12002">
        <v>22</v>
      </c>
      <c r="CY12002">
        <v>23</v>
      </c>
      <c r="CZ12002">
        <v>103</v>
      </c>
      <c r="DA12002">
        <v>104</v>
      </c>
      <c r="DB12002">
        <v>105</v>
      </c>
      <c r="DC12002">
        <v>106</v>
      </c>
      <c r="DD12002">
        <v>107</v>
      </c>
      <c r="DE12002">
        <v>68</v>
      </c>
      <c r="DF12002">
        <v>69</v>
      </c>
      <c r="DG12002">
        <v>70</v>
      </c>
      <c r="DH12002">
        <v>71</v>
      </c>
      <c r="DI12002">
        <v>72</v>
      </c>
      <c r="DJ12002">
        <v>73</v>
      </c>
      <c r="DK12002">
        <v>74</v>
      </c>
      <c r="DL12002">
        <v>75</v>
      </c>
      <c r="DM12002">
        <v>76</v>
      </c>
      <c r="DN12002">
        <v>77</v>
      </c>
      <c r="DO12002">
        <v>78</v>
      </c>
      <c r="DP12002">
        <v>79</v>
      </c>
      <c r="DQ12002">
        <v>80</v>
      </c>
      <c r="DR12002">
        <v>121</v>
      </c>
      <c r="DS12002">
        <v>122</v>
      </c>
      <c r="DT12002">
        <v>123</v>
      </c>
      <c r="DU12002">
        <v>124</v>
      </c>
      <c r="DV12002">
        <v>125</v>
      </c>
      <c r="DW12002">
        <v>24</v>
      </c>
      <c r="DX12002">
        <v>25</v>
      </c>
      <c r="DY12002">
        <v>7</v>
      </c>
      <c r="DZ12002">
        <v>8</v>
      </c>
      <c r="EA12002">
        <v>9</v>
      </c>
      <c r="EB12002">
        <v>29</v>
      </c>
      <c r="EC12002">
        <v>30</v>
      </c>
      <c r="ED12002">
        <v>31</v>
      </c>
      <c r="EE12002">
        <v>10</v>
      </c>
      <c r="EF12002">
        <v>11</v>
      </c>
    </row>
    <row r="12003" spans="1:169" x14ac:dyDescent="0.2">
      <c r="A12003">
        <f t="array" ref="A12003:FM12003">_xll.GDOT_Get_ABCD_to_MVindex_ON()</f>
        <v>3</v>
      </c>
      <c r="B12003">
        <v>7</v>
      </c>
      <c r="C12003">
        <v>8</v>
      </c>
      <c r="D12003">
        <v>9</v>
      </c>
      <c r="E12003">
        <v>10</v>
      </c>
      <c r="F12003">
        <v>11</v>
      </c>
      <c r="G12003">
        <v>12</v>
      </c>
      <c r="H12003">
        <v>13</v>
      </c>
      <c r="I12003">
        <v>14</v>
      </c>
      <c r="J12003">
        <v>15</v>
      </c>
      <c r="K12003">
        <v>16</v>
      </c>
      <c r="L12003">
        <v>17</v>
      </c>
      <c r="M12003">
        <v>18</v>
      </c>
      <c r="N12003">
        <v>19</v>
      </c>
      <c r="O12003">
        <v>20</v>
      </c>
      <c r="P12003">
        <v>21</v>
      </c>
      <c r="Q12003">
        <v>22</v>
      </c>
      <c r="R12003">
        <v>23</v>
      </c>
      <c r="S12003">
        <v>24</v>
      </c>
      <c r="T12003">
        <v>25</v>
      </c>
      <c r="U12003">
        <v>26</v>
      </c>
      <c r="V12003">
        <v>27</v>
      </c>
      <c r="W12003">
        <v>28</v>
      </c>
      <c r="X12003">
        <v>29</v>
      </c>
      <c r="Y12003">
        <v>30</v>
      </c>
      <c r="Z12003">
        <v>31</v>
      </c>
      <c r="AA12003">
        <v>32</v>
      </c>
      <c r="AB12003">
        <v>47</v>
      </c>
      <c r="AC12003">
        <v>48</v>
      </c>
      <c r="AD12003">
        <v>49</v>
      </c>
      <c r="AE12003">
        <v>50</v>
      </c>
      <c r="AF12003">
        <v>51</v>
      </c>
      <c r="AG12003">
        <v>52</v>
      </c>
      <c r="AH12003">
        <v>53</v>
      </c>
      <c r="AI12003">
        <v>54</v>
      </c>
      <c r="AJ12003">
        <v>55</v>
      </c>
      <c r="AK12003">
        <v>56</v>
      </c>
      <c r="AL12003">
        <v>58</v>
      </c>
      <c r="AM12003">
        <v>66</v>
      </c>
      <c r="AN12003">
        <v>67</v>
      </c>
      <c r="AO12003">
        <v>73</v>
      </c>
      <c r="AP12003">
        <v>74</v>
      </c>
      <c r="AQ12003">
        <v>75</v>
      </c>
      <c r="AR12003">
        <v>76</v>
      </c>
      <c r="AS12003">
        <v>77</v>
      </c>
      <c r="AT12003">
        <v>78</v>
      </c>
      <c r="AU12003">
        <v>79</v>
      </c>
      <c r="AV12003">
        <v>81</v>
      </c>
      <c r="AW12003">
        <v>82</v>
      </c>
      <c r="AX12003">
        <v>83</v>
      </c>
      <c r="AY12003">
        <v>84</v>
      </c>
      <c r="AZ12003">
        <v>85</v>
      </c>
      <c r="BA12003">
        <v>86</v>
      </c>
      <c r="BB12003">
        <v>95</v>
      </c>
      <c r="BC12003">
        <v>96</v>
      </c>
      <c r="BD12003">
        <v>97</v>
      </c>
      <c r="BE12003">
        <v>98</v>
      </c>
      <c r="BF12003">
        <v>99</v>
      </c>
      <c r="BG12003">
        <v>100</v>
      </c>
      <c r="BH12003">
        <v>101</v>
      </c>
      <c r="BI12003">
        <v>102</v>
      </c>
      <c r="BJ12003">
        <v>103</v>
      </c>
      <c r="BK12003">
        <v>104</v>
      </c>
      <c r="BL12003">
        <v>105</v>
      </c>
      <c r="BM12003">
        <v>106</v>
      </c>
      <c r="BN12003">
        <v>107</v>
      </c>
      <c r="BO12003">
        <v>108</v>
      </c>
      <c r="BP12003">
        <v>109</v>
      </c>
      <c r="BQ12003">
        <v>110</v>
      </c>
      <c r="BR12003">
        <v>113</v>
      </c>
      <c r="BS12003">
        <v>115</v>
      </c>
      <c r="BT12003">
        <v>116</v>
      </c>
      <c r="BU12003">
        <v>117</v>
      </c>
      <c r="BV12003">
        <v>118</v>
      </c>
      <c r="BW12003">
        <v>122</v>
      </c>
      <c r="BX12003">
        <v>125</v>
      </c>
      <c r="BY12003">
        <v>134</v>
      </c>
      <c r="BZ12003">
        <v>135</v>
      </c>
      <c r="CA12003">
        <v>136</v>
      </c>
      <c r="CB12003">
        <v>137</v>
      </c>
      <c r="CC12003">
        <v>138</v>
      </c>
      <c r="CD12003">
        <v>139</v>
      </c>
      <c r="CE12003">
        <v>142</v>
      </c>
      <c r="CF12003">
        <v>144</v>
      </c>
      <c r="CG12003">
        <v>145</v>
      </c>
      <c r="CH12003">
        <v>146</v>
      </c>
      <c r="CI12003">
        <v>147</v>
      </c>
      <c r="CJ12003">
        <v>153</v>
      </c>
      <c r="CK12003">
        <v>156</v>
      </c>
      <c r="CL12003">
        <v>159</v>
      </c>
      <c r="CM12003">
        <v>162</v>
      </c>
      <c r="CN12003">
        <v>91</v>
      </c>
      <c r="CO12003">
        <v>92</v>
      </c>
      <c r="CP12003">
        <v>93</v>
      </c>
      <c r="CQ12003">
        <v>94</v>
      </c>
      <c r="CR12003">
        <v>33</v>
      </c>
      <c r="CS12003">
        <v>34</v>
      </c>
      <c r="CT12003">
        <v>35</v>
      </c>
      <c r="CU12003">
        <v>36</v>
      </c>
      <c r="CV12003">
        <v>57</v>
      </c>
      <c r="CW12003">
        <v>37</v>
      </c>
      <c r="CX12003">
        <v>59</v>
      </c>
      <c r="CY12003">
        <v>60</v>
      </c>
      <c r="CZ12003">
        <v>61</v>
      </c>
      <c r="DA12003">
        <v>62</v>
      </c>
      <c r="DB12003">
        <v>63</v>
      </c>
      <c r="DC12003">
        <v>64</v>
      </c>
      <c r="DD12003">
        <v>65</v>
      </c>
      <c r="DE12003">
        <v>38</v>
      </c>
      <c r="DF12003">
        <v>39</v>
      </c>
      <c r="DG12003">
        <v>68</v>
      </c>
      <c r="DH12003">
        <v>111</v>
      </c>
      <c r="DI12003">
        <v>112</v>
      </c>
      <c r="DJ12003">
        <v>69</v>
      </c>
      <c r="DK12003">
        <v>114</v>
      </c>
      <c r="DL12003">
        <v>70</v>
      </c>
      <c r="DM12003">
        <v>71</v>
      </c>
      <c r="DN12003">
        <v>72</v>
      </c>
      <c r="DO12003">
        <v>40</v>
      </c>
      <c r="DP12003">
        <v>119</v>
      </c>
      <c r="DQ12003">
        <v>120</v>
      </c>
      <c r="DR12003">
        <v>121</v>
      </c>
      <c r="DS12003">
        <v>41</v>
      </c>
      <c r="DT12003">
        <v>123</v>
      </c>
      <c r="DU12003">
        <v>124</v>
      </c>
      <c r="DV12003">
        <v>42</v>
      </c>
      <c r="DW12003">
        <v>126</v>
      </c>
      <c r="DX12003">
        <v>127</v>
      </c>
      <c r="DY12003">
        <v>128</v>
      </c>
      <c r="DZ12003">
        <v>129</v>
      </c>
      <c r="EA12003">
        <v>130</v>
      </c>
      <c r="EB12003">
        <v>131</v>
      </c>
      <c r="EC12003">
        <v>132</v>
      </c>
      <c r="ED12003">
        <v>133</v>
      </c>
      <c r="EE12003">
        <v>43</v>
      </c>
      <c r="EF12003">
        <v>44</v>
      </c>
      <c r="EG12003">
        <v>45</v>
      </c>
      <c r="EH12003">
        <v>46</v>
      </c>
      <c r="EI12003">
        <v>80</v>
      </c>
      <c r="EJ12003">
        <v>0</v>
      </c>
      <c r="EK12003">
        <v>140</v>
      </c>
      <c r="EL12003">
        <v>141</v>
      </c>
      <c r="EM12003">
        <v>4</v>
      </c>
      <c r="EN12003">
        <v>143</v>
      </c>
      <c r="EO12003">
        <v>5</v>
      </c>
      <c r="EP12003">
        <v>6</v>
      </c>
      <c r="EQ12003">
        <v>1</v>
      </c>
      <c r="ER12003">
        <v>2</v>
      </c>
      <c r="ES12003">
        <v>148</v>
      </c>
      <c r="ET12003">
        <v>149</v>
      </c>
      <c r="EU12003">
        <v>150</v>
      </c>
      <c r="EV12003">
        <v>151</v>
      </c>
      <c r="EW12003">
        <v>152</v>
      </c>
      <c r="EX12003">
        <v>87</v>
      </c>
      <c r="EY12003">
        <v>154</v>
      </c>
      <c r="EZ12003">
        <v>155</v>
      </c>
      <c r="FA12003">
        <v>88</v>
      </c>
      <c r="FB12003">
        <v>157</v>
      </c>
      <c r="FC12003">
        <v>158</v>
      </c>
      <c r="FD12003">
        <v>89</v>
      </c>
      <c r="FE12003">
        <v>160</v>
      </c>
      <c r="FF12003">
        <v>161</v>
      </c>
      <c r="FG12003">
        <v>90</v>
      </c>
      <c r="FH12003">
        <v>163</v>
      </c>
      <c r="FI12003">
        <v>164</v>
      </c>
      <c r="FJ12003">
        <v>165</v>
      </c>
      <c r="FK12003">
        <v>166</v>
      </c>
      <c r="FL12003">
        <v>167</v>
      </c>
      <c r="FM12003">
        <v>168</v>
      </c>
    </row>
    <row r="12004" spans="1:169" x14ac:dyDescent="0.2">
      <c r="A12004" t="s">
        <v>539</v>
      </c>
      <c r="B12004" t="s">
        <v>537</v>
      </c>
      <c r="C12004" t="s">
        <v>527</v>
      </c>
      <c r="D12004" t="s">
        <v>523</v>
      </c>
      <c r="E12004" t="s">
        <v>526</v>
      </c>
      <c r="F12004" t="s">
        <v>522</v>
      </c>
      <c r="G12004" t="s">
        <v>524</v>
      </c>
      <c r="H12004" t="s">
        <v>525</v>
      </c>
      <c r="I12004" t="s">
        <v>533</v>
      </c>
      <c r="J12004" t="s">
        <v>529</v>
      </c>
      <c r="K12004" t="s">
        <v>532</v>
      </c>
      <c r="L12004" t="s">
        <v>528</v>
      </c>
      <c r="M12004" t="s">
        <v>1290</v>
      </c>
      <c r="N12004" t="s">
        <v>1293</v>
      </c>
      <c r="O12004" t="s">
        <v>1294</v>
      </c>
      <c r="P12004" t="s">
        <v>1296</v>
      </c>
      <c r="Q12004" t="s">
        <v>1295</v>
      </c>
      <c r="R12004" t="s">
        <v>553</v>
      </c>
      <c r="S12004" t="s">
        <v>549</v>
      </c>
      <c r="T12004" t="s">
        <v>552</v>
      </c>
      <c r="U12004" t="s">
        <v>548</v>
      </c>
      <c r="V12004" t="s">
        <v>550</v>
      </c>
      <c r="W12004" t="s">
        <v>551</v>
      </c>
      <c r="X12004" t="s">
        <v>1503</v>
      </c>
      <c r="Y12004" t="s">
        <v>1497</v>
      </c>
      <c r="Z12004" t="s">
        <v>1501</v>
      </c>
      <c r="AA12004" t="s">
        <v>1498</v>
      </c>
      <c r="AB12004" t="s">
        <v>1499</v>
      </c>
      <c r="AC12004" t="s">
        <v>1500</v>
      </c>
      <c r="AD12004" t="s">
        <v>1502</v>
      </c>
      <c r="AE12004" t="s">
        <v>1287</v>
      </c>
      <c r="AF12004" t="s">
        <v>1300</v>
      </c>
      <c r="AG12004" t="s">
        <v>1297</v>
      </c>
      <c r="AH12004" t="s">
        <v>1298</v>
      </c>
      <c r="AI12004" t="s">
        <v>1299</v>
      </c>
      <c r="AJ12004" t="s">
        <v>530</v>
      </c>
      <c r="AK12004" t="s">
        <v>531</v>
      </c>
      <c r="AL12004" t="s">
        <v>521</v>
      </c>
      <c r="AM12004" t="s">
        <v>535</v>
      </c>
      <c r="AN12004" t="s">
        <v>538</v>
      </c>
      <c r="AO12004" t="s">
        <v>592</v>
      </c>
      <c r="AP12004" t="s">
        <v>593</v>
      </c>
      <c r="AQ12004" t="s">
        <v>594</v>
      </c>
      <c r="AR12004" t="s">
        <v>534</v>
      </c>
      <c r="AS12004" t="s">
        <v>536</v>
      </c>
    </row>
    <row r="12005" spans="1:169" x14ac:dyDescent="0.2">
      <c r="A12005" t="s">
        <v>1517</v>
      </c>
      <c r="B12005" t="s">
        <v>1518</v>
      </c>
      <c r="C12005" t="s">
        <v>1519</v>
      </c>
      <c r="D12005" t="s">
        <v>546</v>
      </c>
      <c r="E12005" t="s">
        <v>623</v>
      </c>
      <c r="F12005" t="s">
        <v>624</v>
      </c>
      <c r="G12005" t="s">
        <v>625</v>
      </c>
      <c r="H12005" t="s">
        <v>626</v>
      </c>
      <c r="I12005" t="s">
        <v>643</v>
      </c>
      <c r="J12005" t="s">
        <v>627</v>
      </c>
      <c r="K12005" t="s">
        <v>645</v>
      </c>
      <c r="L12005" t="s">
        <v>646</v>
      </c>
      <c r="M12005" t="s">
        <v>647</v>
      </c>
      <c r="N12005" t="s">
        <v>648</v>
      </c>
      <c r="O12005" t="s">
        <v>649</v>
      </c>
      <c r="P12005" t="s">
        <v>650</v>
      </c>
      <c r="Q12005" t="s">
        <v>651</v>
      </c>
      <c r="R12005" t="s">
        <v>628</v>
      </c>
      <c r="S12005" t="s">
        <v>629</v>
      </c>
      <c r="T12005" t="s">
        <v>654</v>
      </c>
      <c r="U12005" t="s">
        <v>1288</v>
      </c>
      <c r="V12005" t="s">
        <v>1289</v>
      </c>
      <c r="W12005" t="s">
        <v>655</v>
      </c>
      <c r="X12005" t="s">
        <v>1292</v>
      </c>
      <c r="Y12005" t="s">
        <v>656</v>
      </c>
      <c r="Z12005" t="s">
        <v>657</v>
      </c>
      <c r="AA12005" t="s">
        <v>554</v>
      </c>
      <c r="AB12005" t="s">
        <v>630</v>
      </c>
      <c r="AC12005" t="s">
        <v>1318</v>
      </c>
      <c r="AD12005" t="s">
        <v>1319</v>
      </c>
      <c r="AE12005" t="s">
        <v>1321</v>
      </c>
      <c r="AF12005" t="s">
        <v>1763</v>
      </c>
      <c r="AG12005" t="s">
        <v>1323</v>
      </c>
      <c r="AH12005" t="s">
        <v>1324</v>
      </c>
      <c r="AI12005" t="s">
        <v>631</v>
      </c>
      <c r="AJ12005" t="s">
        <v>1326</v>
      </c>
      <c r="AK12005" t="s">
        <v>1327</v>
      </c>
      <c r="AL12005" t="s">
        <v>1328</v>
      </c>
      <c r="AM12005" t="s">
        <v>1330</v>
      </c>
      <c r="AN12005" t="s">
        <v>1331</v>
      </c>
      <c r="AO12005" t="s">
        <v>1333</v>
      </c>
      <c r="AP12005" t="s">
        <v>1334</v>
      </c>
      <c r="AQ12005" t="s">
        <v>1336</v>
      </c>
      <c r="AR12005" t="s">
        <v>632</v>
      </c>
      <c r="AS12005" t="s">
        <v>633</v>
      </c>
      <c r="AT12005" t="s">
        <v>634</v>
      </c>
      <c r="AU12005" t="s">
        <v>1764</v>
      </c>
      <c r="AV12005" t="s">
        <v>1496</v>
      </c>
      <c r="AW12005" t="s">
        <v>512</v>
      </c>
      <c r="AX12005" t="s">
        <v>1283</v>
      </c>
      <c r="AY12005" t="s">
        <v>1284</v>
      </c>
      <c r="AZ12005" t="s">
        <v>516</v>
      </c>
      <c r="BA12005" t="s">
        <v>1286</v>
      </c>
      <c r="BB12005" t="s">
        <v>517</v>
      </c>
      <c r="BC12005" t="s">
        <v>519</v>
      </c>
      <c r="BD12005" t="s">
        <v>513</v>
      </c>
      <c r="BE12005" t="s">
        <v>514</v>
      </c>
      <c r="BF12005" t="s">
        <v>1546</v>
      </c>
      <c r="BG12005" t="s">
        <v>1547</v>
      </c>
      <c r="BH12005" t="s">
        <v>1549</v>
      </c>
      <c r="BI12005" t="s">
        <v>1551</v>
      </c>
      <c r="BJ12005" t="s">
        <v>1552</v>
      </c>
      <c r="BK12005" t="s">
        <v>1513</v>
      </c>
      <c r="BL12005" t="s">
        <v>1554</v>
      </c>
      <c r="BM12005" t="s">
        <v>1555</v>
      </c>
      <c r="BN12005" t="s">
        <v>1514</v>
      </c>
      <c r="BO12005" t="s">
        <v>1557</v>
      </c>
      <c r="BP12005" t="s">
        <v>1558</v>
      </c>
      <c r="BQ12005" t="s">
        <v>1515</v>
      </c>
      <c r="BR12005" t="s">
        <v>1560</v>
      </c>
      <c r="BS12005" t="s">
        <v>1561</v>
      </c>
      <c r="BT12005" t="s">
        <v>1516</v>
      </c>
      <c r="BU12005" t="s">
        <v>1773</v>
      </c>
      <c r="BV12005" t="s">
        <v>1774</v>
      </c>
      <c r="BW12005" t="s">
        <v>1562</v>
      </c>
      <c r="BX12005" t="s">
        <v>1564</v>
      </c>
      <c r="BY12005" t="s">
        <v>1565</v>
      </c>
      <c r="BZ12005" t="s">
        <v>1567</v>
      </c>
    </row>
    <row r="12010" spans="1:169" x14ac:dyDescent="0.2">
      <c r="A12010">
        <f t="array" ref="A12010:BZ12054">_xll.GDOT_Convolution(KUR8000:KYD8090,KUR8091:KYD8168,KYE8000:KZW8090,KYE8091:KZW11168)</f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  <c r="H12010">
        <v>0</v>
      </c>
      <c r="I12010">
        <v>0</v>
      </c>
      <c r="J12010">
        <v>0</v>
      </c>
      <c r="K12010">
        <v>0</v>
      </c>
      <c r="L12010">
        <v>0</v>
      </c>
      <c r="M12010">
        <v>0</v>
      </c>
      <c r="N12010">
        <v>0</v>
      </c>
      <c r="O12010">
        <v>0</v>
      </c>
      <c r="P12010">
        <v>0</v>
      </c>
      <c r="Q12010">
        <v>0</v>
      </c>
      <c r="R12010">
        <v>0</v>
      </c>
      <c r="S12010">
        <v>0</v>
      </c>
      <c r="T12010">
        <v>0</v>
      </c>
      <c r="U12010">
        <v>0</v>
      </c>
      <c r="V12010">
        <v>0</v>
      </c>
      <c r="W12010">
        <v>0</v>
      </c>
      <c r="X12010">
        <v>0</v>
      </c>
      <c r="Y12010">
        <v>0</v>
      </c>
      <c r="Z12010">
        <v>0</v>
      </c>
      <c r="AA12010">
        <v>0</v>
      </c>
      <c r="AB12010">
        <v>0</v>
      </c>
      <c r="AC12010">
        <v>0</v>
      </c>
      <c r="AD12010">
        <v>0</v>
      </c>
      <c r="AE12010">
        <v>0</v>
      </c>
      <c r="AF12010">
        <v>0</v>
      </c>
      <c r="AG12010">
        <v>0</v>
      </c>
      <c r="AH12010">
        <v>0</v>
      </c>
      <c r="AI12010">
        <v>0</v>
      </c>
      <c r="AJ12010">
        <v>0</v>
      </c>
      <c r="AK12010">
        <v>0</v>
      </c>
      <c r="AL12010">
        <v>0</v>
      </c>
      <c r="AM12010">
        <v>0</v>
      </c>
      <c r="AN12010">
        <v>0</v>
      </c>
      <c r="AO12010">
        <v>0</v>
      </c>
      <c r="AP12010">
        <v>0</v>
      </c>
      <c r="AQ12010">
        <v>0</v>
      </c>
      <c r="AR12010">
        <v>0</v>
      </c>
      <c r="AS12010">
        <v>0</v>
      </c>
      <c r="AT12010">
        <v>0</v>
      </c>
      <c r="AU12010">
        <v>0</v>
      </c>
      <c r="AV12010">
        <v>0</v>
      </c>
      <c r="AW12010">
        <v>0</v>
      </c>
      <c r="AX12010">
        <v>0</v>
      </c>
      <c r="AY12010">
        <v>0</v>
      </c>
      <c r="AZ12010">
        <v>0</v>
      </c>
      <c r="BA12010">
        <v>0</v>
      </c>
      <c r="BB12010">
        <v>0</v>
      </c>
      <c r="BC12010">
        <v>0</v>
      </c>
      <c r="BD12010">
        <v>0</v>
      </c>
      <c r="BE12010">
        <v>0</v>
      </c>
      <c r="BF12010">
        <v>0</v>
      </c>
      <c r="BG12010">
        <v>0</v>
      </c>
      <c r="BH12010">
        <v>0</v>
      </c>
      <c r="BI12010">
        <v>0</v>
      </c>
      <c r="BJ12010">
        <v>0</v>
      </c>
      <c r="BK12010">
        <v>0</v>
      </c>
      <c r="BL12010">
        <v>0</v>
      </c>
      <c r="BM12010">
        <v>0</v>
      </c>
      <c r="BN12010">
        <v>0</v>
      </c>
      <c r="BO12010">
        <v>0</v>
      </c>
      <c r="BP12010">
        <v>0</v>
      </c>
      <c r="BQ12010">
        <v>0</v>
      </c>
      <c r="BR12010">
        <v>0</v>
      </c>
      <c r="BS12010">
        <v>0</v>
      </c>
      <c r="BT12010">
        <v>0</v>
      </c>
      <c r="BU12010">
        <v>0</v>
      </c>
      <c r="BV12010">
        <v>0</v>
      </c>
      <c r="BW12010">
        <v>0</v>
      </c>
      <c r="BX12010">
        <v>0</v>
      </c>
      <c r="BY12010">
        <v>0</v>
      </c>
      <c r="BZ12010">
        <v>0</v>
      </c>
    </row>
    <row r="12011" spans="1:169" x14ac:dyDescent="0.2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  <c r="H12011">
        <v>0</v>
      </c>
      <c r="I12011">
        <v>0</v>
      </c>
      <c r="J12011">
        <v>0</v>
      </c>
      <c r="K12011">
        <v>0</v>
      </c>
      <c r="L12011">
        <v>0</v>
      </c>
      <c r="M12011">
        <v>0</v>
      </c>
      <c r="N12011">
        <v>0</v>
      </c>
      <c r="O12011">
        <v>0</v>
      </c>
      <c r="P12011">
        <v>0</v>
      </c>
      <c r="Q12011">
        <v>0</v>
      </c>
      <c r="R12011">
        <v>0</v>
      </c>
      <c r="S12011">
        <v>0</v>
      </c>
      <c r="T12011">
        <v>0</v>
      </c>
      <c r="U12011">
        <v>0</v>
      </c>
      <c r="V12011">
        <v>0</v>
      </c>
      <c r="W12011">
        <v>0</v>
      </c>
      <c r="X12011">
        <v>0</v>
      </c>
      <c r="Y12011">
        <v>0</v>
      </c>
      <c r="Z12011">
        <v>0</v>
      </c>
      <c r="AA12011">
        <v>0</v>
      </c>
      <c r="AB12011">
        <v>0</v>
      </c>
      <c r="AC12011">
        <v>0</v>
      </c>
      <c r="AD12011">
        <v>0</v>
      </c>
      <c r="AE12011">
        <v>0</v>
      </c>
      <c r="AF12011">
        <v>0</v>
      </c>
      <c r="AG12011">
        <v>0</v>
      </c>
      <c r="AH12011">
        <v>0</v>
      </c>
      <c r="AI12011">
        <v>0</v>
      </c>
      <c r="AJ12011">
        <v>0</v>
      </c>
      <c r="AK12011">
        <v>0</v>
      </c>
      <c r="AL12011">
        <v>0</v>
      </c>
      <c r="AM12011">
        <v>0</v>
      </c>
      <c r="AN12011">
        <v>0</v>
      </c>
      <c r="AO12011">
        <v>0</v>
      </c>
      <c r="AP12011">
        <v>0</v>
      </c>
      <c r="AQ12011">
        <v>0</v>
      </c>
      <c r="AR12011">
        <v>0</v>
      </c>
      <c r="AS12011">
        <v>0</v>
      </c>
      <c r="AT12011">
        <v>0</v>
      </c>
      <c r="AU12011">
        <v>0</v>
      </c>
      <c r="AV12011">
        <v>0</v>
      </c>
      <c r="AW12011">
        <v>0</v>
      </c>
      <c r="AX12011">
        <v>0</v>
      </c>
      <c r="AY12011">
        <v>0</v>
      </c>
      <c r="AZ12011">
        <v>0</v>
      </c>
      <c r="BA12011">
        <v>0</v>
      </c>
      <c r="BB12011">
        <v>0</v>
      </c>
      <c r="BC12011">
        <v>0</v>
      </c>
      <c r="BD12011">
        <v>0</v>
      </c>
      <c r="BE12011">
        <v>0</v>
      </c>
      <c r="BF12011">
        <v>0</v>
      </c>
      <c r="BG12011">
        <v>0</v>
      </c>
      <c r="BH12011">
        <v>0</v>
      </c>
      <c r="BI12011">
        <v>0</v>
      </c>
      <c r="BJ12011">
        <v>0</v>
      </c>
      <c r="BK12011">
        <v>0</v>
      </c>
      <c r="BL12011">
        <v>0</v>
      </c>
      <c r="BM12011">
        <v>0</v>
      </c>
      <c r="BN12011">
        <v>0</v>
      </c>
      <c r="BO12011">
        <v>0</v>
      </c>
      <c r="BP12011">
        <v>0</v>
      </c>
      <c r="BQ12011">
        <v>0</v>
      </c>
      <c r="BR12011">
        <v>0</v>
      </c>
      <c r="BS12011">
        <v>0</v>
      </c>
      <c r="BT12011">
        <v>0</v>
      </c>
      <c r="BU12011">
        <v>0</v>
      </c>
      <c r="BV12011">
        <v>0</v>
      </c>
      <c r="BW12011">
        <v>0</v>
      </c>
      <c r="BX12011">
        <v>0</v>
      </c>
      <c r="BY12011">
        <v>0</v>
      </c>
      <c r="BZ12011">
        <v>0</v>
      </c>
    </row>
    <row r="12012" spans="1:169" x14ac:dyDescent="0.2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  <c r="H12012">
        <v>0</v>
      </c>
      <c r="I12012">
        <v>0</v>
      </c>
      <c r="J12012">
        <v>0</v>
      </c>
      <c r="K12012">
        <v>0</v>
      </c>
      <c r="L12012">
        <v>0</v>
      </c>
      <c r="M12012">
        <v>0</v>
      </c>
      <c r="N12012">
        <v>0</v>
      </c>
      <c r="O12012">
        <v>0</v>
      </c>
      <c r="P12012">
        <v>0</v>
      </c>
      <c r="Q12012">
        <v>0</v>
      </c>
      <c r="R12012">
        <v>0</v>
      </c>
      <c r="S12012">
        <v>0</v>
      </c>
      <c r="T12012">
        <v>0</v>
      </c>
      <c r="U12012">
        <v>0</v>
      </c>
      <c r="V12012">
        <v>0</v>
      </c>
      <c r="W12012">
        <v>0</v>
      </c>
      <c r="X12012">
        <v>0</v>
      </c>
      <c r="Y12012">
        <v>0</v>
      </c>
      <c r="Z12012">
        <v>0</v>
      </c>
      <c r="AA12012">
        <v>0</v>
      </c>
      <c r="AB12012">
        <v>0</v>
      </c>
      <c r="AC12012">
        <v>0</v>
      </c>
      <c r="AD12012">
        <v>0</v>
      </c>
      <c r="AE12012">
        <v>0</v>
      </c>
      <c r="AF12012">
        <v>0</v>
      </c>
      <c r="AG12012">
        <v>0</v>
      </c>
      <c r="AH12012">
        <v>0</v>
      </c>
      <c r="AI12012">
        <v>0</v>
      </c>
      <c r="AJ12012">
        <v>0</v>
      </c>
      <c r="AK12012">
        <v>0</v>
      </c>
      <c r="AL12012">
        <v>0</v>
      </c>
      <c r="AM12012">
        <v>0</v>
      </c>
      <c r="AN12012">
        <v>0</v>
      </c>
      <c r="AO12012">
        <v>0</v>
      </c>
      <c r="AP12012">
        <v>0</v>
      </c>
      <c r="AQ12012">
        <v>0</v>
      </c>
      <c r="AR12012">
        <v>0</v>
      </c>
      <c r="AS12012">
        <v>0</v>
      </c>
      <c r="AT12012">
        <v>0</v>
      </c>
      <c r="AU12012">
        <v>0</v>
      </c>
      <c r="AV12012">
        <v>0</v>
      </c>
      <c r="AW12012">
        <v>0</v>
      </c>
      <c r="AX12012">
        <v>0</v>
      </c>
      <c r="AY12012">
        <v>0</v>
      </c>
      <c r="AZ12012">
        <v>0</v>
      </c>
      <c r="BA12012">
        <v>0</v>
      </c>
      <c r="BB12012">
        <v>0</v>
      </c>
      <c r="BC12012">
        <v>0</v>
      </c>
      <c r="BD12012">
        <v>0</v>
      </c>
      <c r="BE12012">
        <v>0</v>
      </c>
      <c r="BF12012">
        <v>0</v>
      </c>
      <c r="BG12012">
        <v>0</v>
      </c>
      <c r="BH12012">
        <v>0</v>
      </c>
      <c r="BI12012">
        <v>0</v>
      </c>
      <c r="BJ12012">
        <v>0</v>
      </c>
      <c r="BK12012">
        <v>0</v>
      </c>
      <c r="BL12012">
        <v>0</v>
      </c>
      <c r="BM12012">
        <v>0</v>
      </c>
      <c r="BN12012">
        <v>0</v>
      </c>
      <c r="BO12012">
        <v>0</v>
      </c>
      <c r="BP12012">
        <v>0</v>
      </c>
      <c r="BQ12012">
        <v>0</v>
      </c>
      <c r="BR12012">
        <v>0</v>
      </c>
      <c r="BS12012">
        <v>0</v>
      </c>
      <c r="BT12012">
        <v>0</v>
      </c>
      <c r="BU12012">
        <v>0</v>
      </c>
      <c r="BV12012">
        <v>0</v>
      </c>
      <c r="BW12012">
        <v>0</v>
      </c>
      <c r="BX12012">
        <v>0</v>
      </c>
      <c r="BY12012">
        <v>0</v>
      </c>
      <c r="BZ12012">
        <v>0</v>
      </c>
    </row>
    <row r="12013" spans="1:169" x14ac:dyDescent="0.2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  <c r="H12013">
        <v>0</v>
      </c>
      <c r="I12013">
        <v>0</v>
      </c>
      <c r="J12013">
        <v>0</v>
      </c>
      <c r="K12013">
        <v>0</v>
      </c>
      <c r="L12013">
        <v>0</v>
      </c>
      <c r="M12013">
        <v>0</v>
      </c>
      <c r="N12013">
        <v>0</v>
      </c>
      <c r="O12013">
        <v>0</v>
      </c>
      <c r="P12013">
        <v>0</v>
      </c>
      <c r="Q12013">
        <v>0</v>
      </c>
      <c r="R12013">
        <v>0</v>
      </c>
      <c r="S12013">
        <v>0</v>
      </c>
      <c r="T12013">
        <v>0</v>
      </c>
      <c r="U12013">
        <v>0</v>
      </c>
      <c r="V12013">
        <v>0</v>
      </c>
      <c r="W12013">
        <v>0</v>
      </c>
      <c r="X12013">
        <v>0</v>
      </c>
      <c r="Y12013">
        <v>0</v>
      </c>
      <c r="Z12013">
        <v>0</v>
      </c>
      <c r="AA12013">
        <v>0</v>
      </c>
      <c r="AB12013">
        <v>0</v>
      </c>
      <c r="AC12013">
        <v>0</v>
      </c>
      <c r="AD12013">
        <v>0</v>
      </c>
      <c r="AE12013">
        <v>0</v>
      </c>
      <c r="AF12013">
        <v>0</v>
      </c>
      <c r="AG12013">
        <v>0</v>
      </c>
      <c r="AH12013">
        <v>0</v>
      </c>
      <c r="AI12013">
        <v>0</v>
      </c>
      <c r="AJ12013">
        <v>0</v>
      </c>
      <c r="AK12013">
        <v>0</v>
      </c>
      <c r="AL12013">
        <v>0</v>
      </c>
      <c r="AM12013">
        <v>0</v>
      </c>
      <c r="AN12013">
        <v>0</v>
      </c>
      <c r="AO12013">
        <v>0</v>
      </c>
      <c r="AP12013">
        <v>0</v>
      </c>
      <c r="AQ12013">
        <v>0</v>
      </c>
      <c r="AR12013">
        <v>0</v>
      </c>
      <c r="AS12013">
        <v>0</v>
      </c>
      <c r="AT12013">
        <v>0</v>
      </c>
      <c r="AU12013">
        <v>0</v>
      </c>
      <c r="AV12013">
        <v>0</v>
      </c>
      <c r="AW12013">
        <v>0</v>
      </c>
      <c r="AX12013">
        <v>0</v>
      </c>
      <c r="AY12013">
        <v>0</v>
      </c>
      <c r="AZ12013">
        <v>0</v>
      </c>
      <c r="BA12013">
        <v>0</v>
      </c>
      <c r="BB12013">
        <v>0</v>
      </c>
      <c r="BC12013">
        <v>0</v>
      </c>
      <c r="BD12013">
        <v>0</v>
      </c>
      <c r="BE12013">
        <v>0</v>
      </c>
      <c r="BF12013">
        <v>0</v>
      </c>
      <c r="BG12013">
        <v>0</v>
      </c>
      <c r="BH12013">
        <v>0</v>
      </c>
      <c r="BI12013">
        <v>0</v>
      </c>
      <c r="BJ12013">
        <v>0</v>
      </c>
      <c r="BK12013">
        <v>0</v>
      </c>
      <c r="BL12013">
        <v>0</v>
      </c>
      <c r="BM12013">
        <v>0</v>
      </c>
      <c r="BN12013">
        <v>0</v>
      </c>
      <c r="BO12013">
        <v>0</v>
      </c>
      <c r="BP12013">
        <v>0</v>
      </c>
      <c r="BQ12013">
        <v>0</v>
      </c>
      <c r="BR12013">
        <v>0</v>
      </c>
      <c r="BS12013">
        <v>0</v>
      </c>
      <c r="BT12013">
        <v>0</v>
      </c>
      <c r="BU12013">
        <v>0</v>
      </c>
      <c r="BV12013">
        <v>0</v>
      </c>
      <c r="BW12013">
        <v>0</v>
      </c>
      <c r="BX12013">
        <v>0</v>
      </c>
      <c r="BY12013">
        <v>0</v>
      </c>
      <c r="BZ12013">
        <v>0</v>
      </c>
    </row>
    <row r="12014" spans="1:169" x14ac:dyDescent="0.2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  <c r="H12014">
        <v>0</v>
      </c>
      <c r="I12014">
        <v>0</v>
      </c>
      <c r="J12014">
        <v>0</v>
      </c>
      <c r="K12014">
        <v>0</v>
      </c>
      <c r="L12014">
        <v>0</v>
      </c>
      <c r="M12014">
        <v>0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  <c r="V12014">
        <v>0</v>
      </c>
      <c r="W12014">
        <v>0</v>
      </c>
      <c r="X12014">
        <v>0</v>
      </c>
      <c r="Y12014">
        <v>0</v>
      </c>
      <c r="Z12014">
        <v>0</v>
      </c>
      <c r="AA12014">
        <v>0</v>
      </c>
      <c r="AB12014">
        <v>0</v>
      </c>
      <c r="AC12014">
        <v>0</v>
      </c>
      <c r="AD12014">
        <v>0</v>
      </c>
      <c r="AE12014">
        <v>0</v>
      </c>
      <c r="AF12014">
        <v>0</v>
      </c>
      <c r="AG12014">
        <v>0</v>
      </c>
      <c r="AH12014">
        <v>0</v>
      </c>
      <c r="AI12014">
        <v>0</v>
      </c>
      <c r="AJ12014">
        <v>0</v>
      </c>
      <c r="AK12014">
        <v>0</v>
      </c>
      <c r="AL12014">
        <v>0</v>
      </c>
      <c r="AM12014">
        <v>0</v>
      </c>
      <c r="AN12014">
        <v>0</v>
      </c>
      <c r="AO12014">
        <v>0</v>
      </c>
      <c r="AP12014">
        <v>0</v>
      </c>
      <c r="AQ12014">
        <v>0</v>
      </c>
      <c r="AR12014">
        <v>0</v>
      </c>
      <c r="AS12014">
        <v>0</v>
      </c>
      <c r="AT12014">
        <v>0</v>
      </c>
      <c r="AU12014">
        <v>0</v>
      </c>
      <c r="AV12014">
        <v>0</v>
      </c>
      <c r="AW12014">
        <v>0</v>
      </c>
      <c r="AX12014">
        <v>0</v>
      </c>
      <c r="AY12014">
        <v>0</v>
      </c>
      <c r="AZ12014">
        <v>0</v>
      </c>
      <c r="BA12014">
        <v>0</v>
      </c>
      <c r="BB12014">
        <v>0</v>
      </c>
      <c r="BC12014">
        <v>0</v>
      </c>
      <c r="BD12014">
        <v>0</v>
      </c>
      <c r="BE12014">
        <v>0</v>
      </c>
      <c r="BF12014">
        <v>0</v>
      </c>
      <c r="BG12014">
        <v>0</v>
      </c>
      <c r="BH12014">
        <v>0</v>
      </c>
      <c r="BI12014">
        <v>0</v>
      </c>
      <c r="BJ12014">
        <v>0</v>
      </c>
      <c r="BK12014">
        <v>0</v>
      </c>
      <c r="BL12014">
        <v>0</v>
      </c>
      <c r="BM12014">
        <v>0</v>
      </c>
      <c r="BN12014">
        <v>0</v>
      </c>
      <c r="BO12014">
        <v>0</v>
      </c>
      <c r="BP12014">
        <v>0</v>
      </c>
      <c r="BQ12014">
        <v>0</v>
      </c>
      <c r="BR12014">
        <v>0</v>
      </c>
      <c r="BS12014">
        <v>0</v>
      </c>
      <c r="BT12014">
        <v>0</v>
      </c>
      <c r="BU12014">
        <v>0</v>
      </c>
      <c r="BV12014">
        <v>0</v>
      </c>
      <c r="BW12014">
        <v>0</v>
      </c>
      <c r="BX12014">
        <v>0</v>
      </c>
      <c r="BY12014">
        <v>0</v>
      </c>
      <c r="BZ12014">
        <v>0</v>
      </c>
    </row>
    <row r="12015" spans="1:169" x14ac:dyDescent="0.2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  <c r="H12015">
        <v>0</v>
      </c>
      <c r="I12015">
        <v>0</v>
      </c>
      <c r="J12015">
        <v>0</v>
      </c>
      <c r="K12015">
        <v>0</v>
      </c>
      <c r="L12015">
        <v>0</v>
      </c>
      <c r="M12015">
        <v>0</v>
      </c>
      <c r="N12015">
        <v>0</v>
      </c>
      <c r="O12015">
        <v>0</v>
      </c>
      <c r="P12015">
        <v>0</v>
      </c>
      <c r="Q12015">
        <v>0</v>
      </c>
      <c r="R12015">
        <v>0</v>
      </c>
      <c r="S12015">
        <v>0</v>
      </c>
      <c r="T12015">
        <v>0</v>
      </c>
      <c r="U12015">
        <v>0</v>
      </c>
      <c r="V12015">
        <v>0</v>
      </c>
      <c r="W12015">
        <v>0</v>
      </c>
      <c r="X12015">
        <v>0</v>
      </c>
      <c r="Y12015">
        <v>0</v>
      </c>
      <c r="Z12015">
        <v>0</v>
      </c>
      <c r="AA12015">
        <v>0</v>
      </c>
      <c r="AB12015">
        <v>0</v>
      </c>
      <c r="AC12015">
        <v>0</v>
      </c>
      <c r="AD12015">
        <v>0</v>
      </c>
      <c r="AE12015">
        <v>0</v>
      </c>
      <c r="AF12015">
        <v>0</v>
      </c>
      <c r="AG12015">
        <v>0</v>
      </c>
      <c r="AH12015">
        <v>0</v>
      </c>
      <c r="AI12015">
        <v>0</v>
      </c>
      <c r="AJ12015">
        <v>0</v>
      </c>
      <c r="AK12015">
        <v>0</v>
      </c>
      <c r="AL12015">
        <v>0</v>
      </c>
      <c r="AM12015">
        <v>0</v>
      </c>
      <c r="AN12015">
        <v>0</v>
      </c>
      <c r="AO12015">
        <v>0</v>
      </c>
      <c r="AP12015">
        <v>0</v>
      </c>
      <c r="AQ12015">
        <v>0</v>
      </c>
      <c r="AR12015">
        <v>0</v>
      </c>
      <c r="AS12015">
        <v>0</v>
      </c>
      <c r="AT12015">
        <v>0</v>
      </c>
      <c r="AU12015">
        <v>0</v>
      </c>
      <c r="AV12015">
        <v>0</v>
      </c>
      <c r="AW12015">
        <v>0</v>
      </c>
      <c r="AX12015">
        <v>0</v>
      </c>
      <c r="AY12015">
        <v>0</v>
      </c>
      <c r="AZ12015">
        <v>0</v>
      </c>
      <c r="BA12015">
        <v>0</v>
      </c>
      <c r="BB12015">
        <v>0</v>
      </c>
      <c r="BC12015">
        <v>0</v>
      </c>
      <c r="BD12015">
        <v>0</v>
      </c>
      <c r="BE12015">
        <v>0</v>
      </c>
      <c r="BF12015">
        <v>0</v>
      </c>
      <c r="BG12015">
        <v>0</v>
      </c>
      <c r="BH12015">
        <v>0</v>
      </c>
      <c r="BI12015">
        <v>0</v>
      </c>
      <c r="BJ12015">
        <v>0</v>
      </c>
      <c r="BK12015">
        <v>0</v>
      </c>
      <c r="BL12015">
        <v>0</v>
      </c>
      <c r="BM12015">
        <v>0</v>
      </c>
      <c r="BN12015">
        <v>0</v>
      </c>
      <c r="BO12015">
        <v>0</v>
      </c>
      <c r="BP12015">
        <v>0</v>
      </c>
      <c r="BQ12015">
        <v>0</v>
      </c>
      <c r="BR12015">
        <v>0</v>
      </c>
      <c r="BS12015">
        <v>0</v>
      </c>
      <c r="BT12015">
        <v>0</v>
      </c>
      <c r="BU12015">
        <v>0</v>
      </c>
      <c r="BV12015">
        <v>0</v>
      </c>
      <c r="BW12015">
        <v>0</v>
      </c>
      <c r="BX12015">
        <v>0</v>
      </c>
      <c r="BY12015">
        <v>0</v>
      </c>
      <c r="BZ12015">
        <v>0</v>
      </c>
    </row>
    <row r="12016" spans="1:169" x14ac:dyDescent="0.2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  <c r="H12016">
        <v>0</v>
      </c>
      <c r="I12016">
        <v>0</v>
      </c>
      <c r="J12016">
        <v>0</v>
      </c>
      <c r="K12016">
        <v>0</v>
      </c>
      <c r="L12016">
        <v>0</v>
      </c>
      <c r="M12016">
        <v>0</v>
      </c>
      <c r="N12016">
        <v>0</v>
      </c>
      <c r="O12016">
        <v>0</v>
      </c>
      <c r="P12016">
        <v>0</v>
      </c>
      <c r="Q12016">
        <v>0</v>
      </c>
      <c r="R12016">
        <v>0</v>
      </c>
      <c r="S12016">
        <v>0</v>
      </c>
      <c r="T12016">
        <v>0</v>
      </c>
      <c r="U12016">
        <v>0</v>
      </c>
      <c r="V12016">
        <v>0</v>
      </c>
      <c r="W12016">
        <v>0</v>
      </c>
      <c r="X12016">
        <v>0</v>
      </c>
      <c r="Y12016">
        <v>0</v>
      </c>
      <c r="Z12016">
        <v>0</v>
      </c>
      <c r="AA12016">
        <v>0</v>
      </c>
      <c r="AB12016">
        <v>0</v>
      </c>
      <c r="AC12016">
        <v>0</v>
      </c>
      <c r="AD12016">
        <v>0</v>
      </c>
      <c r="AE12016">
        <v>0</v>
      </c>
      <c r="AF12016">
        <v>0</v>
      </c>
      <c r="AG12016">
        <v>0</v>
      </c>
      <c r="AH12016">
        <v>0</v>
      </c>
      <c r="AI12016">
        <v>0</v>
      </c>
      <c r="AJ12016">
        <v>0</v>
      </c>
      <c r="AK12016">
        <v>0</v>
      </c>
      <c r="AL12016">
        <v>0</v>
      </c>
      <c r="AM12016">
        <v>0</v>
      </c>
      <c r="AN12016">
        <v>0</v>
      </c>
      <c r="AO12016">
        <v>0</v>
      </c>
      <c r="AP12016">
        <v>0</v>
      </c>
      <c r="AQ12016">
        <v>0</v>
      </c>
      <c r="AR12016">
        <v>0</v>
      </c>
      <c r="AS12016">
        <v>0</v>
      </c>
      <c r="AT12016">
        <v>0</v>
      </c>
      <c r="AU12016">
        <v>0</v>
      </c>
      <c r="AV12016">
        <v>0</v>
      </c>
      <c r="AW12016">
        <v>0</v>
      </c>
      <c r="AX12016">
        <v>0</v>
      </c>
      <c r="AY12016">
        <v>0</v>
      </c>
      <c r="AZ12016">
        <v>0</v>
      </c>
      <c r="BA12016">
        <v>0</v>
      </c>
      <c r="BB12016">
        <v>0</v>
      </c>
      <c r="BC12016">
        <v>0</v>
      </c>
      <c r="BD12016">
        <v>0</v>
      </c>
      <c r="BE12016">
        <v>0</v>
      </c>
      <c r="BF12016">
        <v>0</v>
      </c>
      <c r="BG12016">
        <v>0</v>
      </c>
      <c r="BH12016">
        <v>0</v>
      </c>
      <c r="BI12016">
        <v>0</v>
      </c>
      <c r="BJ12016">
        <v>0</v>
      </c>
      <c r="BK12016">
        <v>0</v>
      </c>
      <c r="BL12016">
        <v>0</v>
      </c>
      <c r="BM12016">
        <v>0</v>
      </c>
      <c r="BN12016">
        <v>0</v>
      </c>
      <c r="BO12016">
        <v>0</v>
      </c>
      <c r="BP12016">
        <v>0</v>
      </c>
      <c r="BQ12016">
        <v>0</v>
      </c>
      <c r="BR12016">
        <v>0</v>
      </c>
      <c r="BS12016">
        <v>0</v>
      </c>
      <c r="BT12016">
        <v>0</v>
      </c>
      <c r="BU12016">
        <v>0</v>
      </c>
      <c r="BV12016">
        <v>0</v>
      </c>
      <c r="BW12016">
        <v>0</v>
      </c>
      <c r="BX12016">
        <v>0</v>
      </c>
      <c r="BY12016">
        <v>0</v>
      </c>
      <c r="BZ12016">
        <v>0</v>
      </c>
    </row>
    <row r="12017" spans="1:78" x14ac:dyDescent="0.2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  <c r="H12017">
        <v>0</v>
      </c>
      <c r="I12017">
        <v>0</v>
      </c>
      <c r="J12017">
        <v>0</v>
      </c>
      <c r="K12017">
        <v>0</v>
      </c>
      <c r="L12017">
        <v>0</v>
      </c>
      <c r="M12017">
        <v>0</v>
      </c>
      <c r="N12017">
        <v>0</v>
      </c>
      <c r="O12017">
        <v>0</v>
      </c>
      <c r="P12017">
        <v>0</v>
      </c>
      <c r="Q12017">
        <v>0</v>
      </c>
      <c r="R12017">
        <v>0</v>
      </c>
      <c r="S12017">
        <v>0</v>
      </c>
      <c r="T12017">
        <v>0</v>
      </c>
      <c r="U12017">
        <v>0</v>
      </c>
      <c r="V12017">
        <v>0</v>
      </c>
      <c r="W12017">
        <v>0</v>
      </c>
      <c r="X12017">
        <v>0</v>
      </c>
      <c r="Y12017">
        <v>0</v>
      </c>
      <c r="Z12017">
        <v>0</v>
      </c>
      <c r="AA12017">
        <v>0</v>
      </c>
      <c r="AB12017">
        <v>0</v>
      </c>
      <c r="AC12017">
        <v>0</v>
      </c>
      <c r="AD12017">
        <v>0</v>
      </c>
      <c r="AE12017">
        <v>0</v>
      </c>
      <c r="AF12017">
        <v>0</v>
      </c>
      <c r="AG12017">
        <v>0</v>
      </c>
      <c r="AH12017">
        <v>0</v>
      </c>
      <c r="AI12017">
        <v>0</v>
      </c>
      <c r="AJ12017">
        <v>0</v>
      </c>
      <c r="AK12017">
        <v>0</v>
      </c>
      <c r="AL12017">
        <v>0</v>
      </c>
      <c r="AM12017">
        <v>0</v>
      </c>
      <c r="AN12017">
        <v>0</v>
      </c>
      <c r="AO12017">
        <v>0</v>
      </c>
      <c r="AP12017">
        <v>0</v>
      </c>
      <c r="AQ12017">
        <v>0</v>
      </c>
      <c r="AR12017">
        <v>0</v>
      </c>
      <c r="AS12017">
        <v>0</v>
      </c>
      <c r="AT12017">
        <v>0</v>
      </c>
      <c r="AU12017">
        <v>0</v>
      </c>
      <c r="AV12017">
        <v>0</v>
      </c>
      <c r="AW12017">
        <v>0</v>
      </c>
      <c r="AX12017">
        <v>0</v>
      </c>
      <c r="AY12017">
        <v>0</v>
      </c>
      <c r="AZ12017">
        <v>0</v>
      </c>
      <c r="BA12017">
        <v>0</v>
      </c>
      <c r="BB12017">
        <v>0</v>
      </c>
      <c r="BC12017">
        <v>0</v>
      </c>
      <c r="BD12017">
        <v>0</v>
      </c>
      <c r="BE12017">
        <v>0</v>
      </c>
      <c r="BF12017">
        <v>0</v>
      </c>
      <c r="BG12017">
        <v>0</v>
      </c>
      <c r="BH12017">
        <v>0</v>
      </c>
      <c r="BI12017">
        <v>0</v>
      </c>
      <c r="BJ12017">
        <v>0</v>
      </c>
      <c r="BK12017">
        <v>0</v>
      </c>
      <c r="BL12017">
        <v>0</v>
      </c>
      <c r="BM12017">
        <v>0</v>
      </c>
      <c r="BN12017">
        <v>0</v>
      </c>
      <c r="BO12017">
        <v>0</v>
      </c>
      <c r="BP12017">
        <v>0</v>
      </c>
      <c r="BQ12017">
        <v>0</v>
      </c>
      <c r="BR12017">
        <v>0</v>
      </c>
      <c r="BS12017">
        <v>0</v>
      </c>
      <c r="BT12017">
        <v>0</v>
      </c>
      <c r="BU12017">
        <v>0</v>
      </c>
      <c r="BV12017">
        <v>0</v>
      </c>
      <c r="BW12017">
        <v>0</v>
      </c>
      <c r="BX12017">
        <v>0</v>
      </c>
      <c r="BY12017">
        <v>0</v>
      </c>
      <c r="BZ12017">
        <v>0</v>
      </c>
    </row>
    <row r="12018" spans="1:78" x14ac:dyDescent="0.2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  <c r="H12018">
        <v>0</v>
      </c>
      <c r="I12018">
        <v>0</v>
      </c>
      <c r="J12018">
        <v>0</v>
      </c>
      <c r="K12018">
        <v>0</v>
      </c>
      <c r="L12018">
        <v>0</v>
      </c>
      <c r="M12018">
        <v>0</v>
      </c>
      <c r="N12018">
        <v>0</v>
      </c>
      <c r="O12018">
        <v>0</v>
      </c>
      <c r="P12018">
        <v>0</v>
      </c>
      <c r="Q12018">
        <v>0</v>
      </c>
      <c r="R12018">
        <v>0</v>
      </c>
      <c r="S12018">
        <v>0</v>
      </c>
      <c r="T12018">
        <v>0</v>
      </c>
      <c r="U12018">
        <v>0</v>
      </c>
      <c r="V12018">
        <v>0</v>
      </c>
      <c r="W12018">
        <v>0</v>
      </c>
      <c r="X12018">
        <v>0</v>
      </c>
      <c r="Y12018">
        <v>0</v>
      </c>
      <c r="Z12018">
        <v>0</v>
      </c>
      <c r="AA12018">
        <v>0</v>
      </c>
      <c r="AB12018">
        <v>0</v>
      </c>
      <c r="AC12018">
        <v>0</v>
      </c>
      <c r="AD12018">
        <v>0</v>
      </c>
      <c r="AE12018">
        <v>0</v>
      </c>
      <c r="AF12018">
        <v>0</v>
      </c>
      <c r="AG12018">
        <v>0</v>
      </c>
      <c r="AH12018">
        <v>0</v>
      </c>
      <c r="AI12018">
        <v>0</v>
      </c>
      <c r="AJ12018">
        <v>0</v>
      </c>
      <c r="AK12018">
        <v>0</v>
      </c>
      <c r="AL12018">
        <v>0</v>
      </c>
      <c r="AM12018">
        <v>0</v>
      </c>
      <c r="AN12018">
        <v>0</v>
      </c>
      <c r="AO12018">
        <v>0</v>
      </c>
      <c r="AP12018">
        <v>0</v>
      </c>
      <c r="AQ12018">
        <v>0</v>
      </c>
      <c r="AR12018">
        <v>0</v>
      </c>
      <c r="AS12018">
        <v>0</v>
      </c>
      <c r="AT12018">
        <v>0</v>
      </c>
      <c r="AU12018">
        <v>0</v>
      </c>
      <c r="AV12018">
        <v>0</v>
      </c>
      <c r="AW12018">
        <v>0</v>
      </c>
      <c r="AX12018">
        <v>0</v>
      </c>
      <c r="AY12018">
        <v>0</v>
      </c>
      <c r="AZ12018">
        <v>0</v>
      </c>
      <c r="BA12018">
        <v>0</v>
      </c>
      <c r="BB12018">
        <v>0</v>
      </c>
      <c r="BC12018">
        <v>0</v>
      </c>
      <c r="BD12018">
        <v>0</v>
      </c>
      <c r="BE12018">
        <v>0</v>
      </c>
      <c r="BF12018">
        <v>0</v>
      </c>
      <c r="BG12018">
        <v>0</v>
      </c>
      <c r="BH12018">
        <v>0</v>
      </c>
      <c r="BI12018">
        <v>0</v>
      </c>
      <c r="BJ12018">
        <v>0</v>
      </c>
      <c r="BK12018">
        <v>0</v>
      </c>
      <c r="BL12018">
        <v>0</v>
      </c>
      <c r="BM12018">
        <v>0</v>
      </c>
      <c r="BN12018">
        <v>0</v>
      </c>
      <c r="BO12018">
        <v>0</v>
      </c>
      <c r="BP12018">
        <v>0</v>
      </c>
      <c r="BQ12018">
        <v>0</v>
      </c>
      <c r="BR12018">
        <v>0</v>
      </c>
      <c r="BS12018">
        <v>0</v>
      </c>
      <c r="BT12018">
        <v>0</v>
      </c>
      <c r="BU12018">
        <v>0</v>
      </c>
      <c r="BV12018">
        <v>0</v>
      </c>
      <c r="BW12018">
        <v>0</v>
      </c>
      <c r="BX12018">
        <v>0</v>
      </c>
      <c r="BY12018">
        <v>0</v>
      </c>
      <c r="BZ12018">
        <v>0</v>
      </c>
    </row>
    <row r="12019" spans="1:78" x14ac:dyDescent="0.2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  <c r="H12019">
        <v>0</v>
      </c>
      <c r="I12019">
        <v>0</v>
      </c>
      <c r="J12019">
        <v>0</v>
      </c>
      <c r="K12019">
        <v>0</v>
      </c>
      <c r="L12019">
        <v>0</v>
      </c>
      <c r="M12019">
        <v>0</v>
      </c>
      <c r="N12019">
        <v>0</v>
      </c>
      <c r="O12019">
        <v>0</v>
      </c>
      <c r="P12019">
        <v>0</v>
      </c>
      <c r="Q12019">
        <v>0</v>
      </c>
      <c r="R12019">
        <v>0</v>
      </c>
      <c r="S12019">
        <v>0</v>
      </c>
      <c r="T12019">
        <v>0</v>
      </c>
      <c r="U12019">
        <v>0</v>
      </c>
      <c r="V12019">
        <v>0</v>
      </c>
      <c r="W12019">
        <v>0</v>
      </c>
      <c r="X12019">
        <v>0</v>
      </c>
      <c r="Y12019">
        <v>0</v>
      </c>
      <c r="Z12019">
        <v>0</v>
      </c>
      <c r="AA12019">
        <v>0</v>
      </c>
      <c r="AB12019">
        <v>0</v>
      </c>
      <c r="AC12019">
        <v>0</v>
      </c>
      <c r="AD12019">
        <v>0</v>
      </c>
      <c r="AE12019">
        <v>0</v>
      </c>
      <c r="AF12019">
        <v>0</v>
      </c>
      <c r="AG12019">
        <v>0</v>
      </c>
      <c r="AH12019">
        <v>0</v>
      </c>
      <c r="AI12019">
        <v>0</v>
      </c>
      <c r="AJ12019">
        <v>0</v>
      </c>
      <c r="AK12019">
        <v>0</v>
      </c>
      <c r="AL12019">
        <v>0</v>
      </c>
      <c r="AM12019">
        <v>0</v>
      </c>
      <c r="AN12019">
        <v>0</v>
      </c>
      <c r="AO12019">
        <v>0</v>
      </c>
      <c r="AP12019">
        <v>0</v>
      </c>
      <c r="AQ12019">
        <v>0</v>
      </c>
      <c r="AR12019">
        <v>0</v>
      </c>
      <c r="AS12019">
        <v>0</v>
      </c>
      <c r="AT12019">
        <v>0</v>
      </c>
      <c r="AU12019">
        <v>0</v>
      </c>
      <c r="AV12019">
        <v>0</v>
      </c>
      <c r="AW12019">
        <v>0</v>
      </c>
      <c r="AX12019">
        <v>0</v>
      </c>
      <c r="AY12019">
        <v>0</v>
      </c>
      <c r="AZ12019">
        <v>0</v>
      </c>
      <c r="BA12019">
        <v>0</v>
      </c>
      <c r="BB12019">
        <v>0</v>
      </c>
      <c r="BC12019">
        <v>0</v>
      </c>
      <c r="BD12019">
        <v>0</v>
      </c>
      <c r="BE12019">
        <v>0</v>
      </c>
      <c r="BF12019">
        <v>0</v>
      </c>
      <c r="BG12019">
        <v>0</v>
      </c>
      <c r="BH12019">
        <v>0</v>
      </c>
      <c r="BI12019">
        <v>0</v>
      </c>
      <c r="BJ12019">
        <v>0</v>
      </c>
      <c r="BK12019">
        <v>0</v>
      </c>
      <c r="BL12019">
        <v>0</v>
      </c>
      <c r="BM12019">
        <v>0</v>
      </c>
      <c r="BN12019">
        <v>0</v>
      </c>
      <c r="BO12019">
        <v>0</v>
      </c>
      <c r="BP12019">
        <v>0</v>
      </c>
      <c r="BQ12019">
        <v>0</v>
      </c>
      <c r="BR12019">
        <v>0</v>
      </c>
      <c r="BS12019">
        <v>0</v>
      </c>
      <c r="BT12019">
        <v>0</v>
      </c>
      <c r="BU12019">
        <v>0</v>
      </c>
      <c r="BV12019">
        <v>0</v>
      </c>
      <c r="BW12019">
        <v>0</v>
      </c>
      <c r="BX12019">
        <v>0</v>
      </c>
      <c r="BY12019">
        <v>0</v>
      </c>
      <c r="BZ12019">
        <v>0</v>
      </c>
    </row>
    <row r="12020" spans="1:78" x14ac:dyDescent="0.2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  <c r="H12020">
        <v>0</v>
      </c>
      <c r="I12020">
        <v>0</v>
      </c>
      <c r="J12020">
        <v>0</v>
      </c>
      <c r="K12020">
        <v>0</v>
      </c>
      <c r="L12020">
        <v>0</v>
      </c>
      <c r="M12020">
        <v>0</v>
      </c>
      <c r="N12020">
        <v>0</v>
      </c>
      <c r="O12020">
        <v>0</v>
      </c>
      <c r="P12020">
        <v>0</v>
      </c>
      <c r="Q12020">
        <v>0</v>
      </c>
      <c r="R12020">
        <v>0</v>
      </c>
      <c r="S12020">
        <v>0</v>
      </c>
      <c r="T12020">
        <v>0</v>
      </c>
      <c r="U12020">
        <v>0</v>
      </c>
      <c r="V12020">
        <v>0</v>
      </c>
      <c r="W12020">
        <v>0</v>
      </c>
      <c r="X12020">
        <v>0</v>
      </c>
      <c r="Y12020">
        <v>0</v>
      </c>
      <c r="Z12020">
        <v>0</v>
      </c>
      <c r="AA12020">
        <v>0</v>
      </c>
      <c r="AB12020">
        <v>0</v>
      </c>
      <c r="AC12020">
        <v>0</v>
      </c>
      <c r="AD12020">
        <v>0</v>
      </c>
      <c r="AE12020">
        <v>0</v>
      </c>
      <c r="AF12020">
        <v>0</v>
      </c>
      <c r="AG12020">
        <v>0</v>
      </c>
      <c r="AH12020">
        <v>0</v>
      </c>
      <c r="AI12020">
        <v>0</v>
      </c>
      <c r="AJ12020">
        <v>0</v>
      </c>
      <c r="AK12020">
        <v>0</v>
      </c>
      <c r="AL12020">
        <v>0</v>
      </c>
      <c r="AM12020">
        <v>0</v>
      </c>
      <c r="AN12020">
        <v>0</v>
      </c>
      <c r="AO12020">
        <v>0</v>
      </c>
      <c r="AP12020">
        <v>0</v>
      </c>
      <c r="AQ12020">
        <v>0</v>
      </c>
      <c r="AR12020">
        <v>0</v>
      </c>
      <c r="AS12020">
        <v>0</v>
      </c>
      <c r="AT12020">
        <v>0</v>
      </c>
      <c r="AU12020">
        <v>0</v>
      </c>
      <c r="AV12020">
        <v>0</v>
      </c>
      <c r="AW12020">
        <v>0</v>
      </c>
      <c r="AX12020">
        <v>0</v>
      </c>
      <c r="AY12020">
        <v>0</v>
      </c>
      <c r="AZ12020">
        <v>0</v>
      </c>
      <c r="BA12020">
        <v>0</v>
      </c>
      <c r="BB12020">
        <v>0</v>
      </c>
      <c r="BC12020">
        <v>0</v>
      </c>
      <c r="BD12020">
        <v>0</v>
      </c>
      <c r="BE12020">
        <v>0</v>
      </c>
      <c r="BF12020">
        <v>0</v>
      </c>
      <c r="BG12020">
        <v>0</v>
      </c>
      <c r="BH12020">
        <v>0</v>
      </c>
      <c r="BI12020">
        <v>0</v>
      </c>
      <c r="BJ12020">
        <v>0</v>
      </c>
      <c r="BK12020">
        <v>0</v>
      </c>
      <c r="BL12020">
        <v>0</v>
      </c>
      <c r="BM12020">
        <v>0</v>
      </c>
      <c r="BN12020">
        <v>0</v>
      </c>
      <c r="BO12020">
        <v>0</v>
      </c>
      <c r="BP12020">
        <v>0</v>
      </c>
      <c r="BQ12020">
        <v>0</v>
      </c>
      <c r="BR12020">
        <v>0</v>
      </c>
      <c r="BS12020">
        <v>0</v>
      </c>
      <c r="BT12020">
        <v>0</v>
      </c>
      <c r="BU12020">
        <v>0</v>
      </c>
      <c r="BV12020">
        <v>0</v>
      </c>
      <c r="BW12020">
        <v>0</v>
      </c>
      <c r="BX12020">
        <v>0</v>
      </c>
      <c r="BY12020">
        <v>0</v>
      </c>
      <c r="BZ12020">
        <v>0</v>
      </c>
    </row>
    <row r="12021" spans="1:78" x14ac:dyDescent="0.2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  <c r="H12021">
        <v>0</v>
      </c>
      <c r="I12021">
        <v>0</v>
      </c>
      <c r="J12021">
        <v>0</v>
      </c>
      <c r="K12021">
        <v>0</v>
      </c>
      <c r="L12021">
        <v>0</v>
      </c>
      <c r="M12021">
        <v>0</v>
      </c>
      <c r="N12021">
        <v>0</v>
      </c>
      <c r="O12021">
        <v>0</v>
      </c>
      <c r="P12021">
        <v>0</v>
      </c>
      <c r="Q12021">
        <v>0</v>
      </c>
      <c r="R12021">
        <v>0</v>
      </c>
      <c r="S12021">
        <v>0</v>
      </c>
      <c r="T12021">
        <v>0</v>
      </c>
      <c r="U12021">
        <v>0</v>
      </c>
      <c r="V12021">
        <v>0</v>
      </c>
      <c r="W12021">
        <v>0</v>
      </c>
      <c r="X12021">
        <v>0</v>
      </c>
      <c r="Y12021">
        <v>0</v>
      </c>
      <c r="Z12021">
        <v>0</v>
      </c>
      <c r="AA12021">
        <v>0</v>
      </c>
      <c r="AB12021">
        <v>0</v>
      </c>
      <c r="AC12021">
        <v>0</v>
      </c>
      <c r="AD12021">
        <v>0</v>
      </c>
      <c r="AE12021">
        <v>0</v>
      </c>
      <c r="AF12021">
        <v>0</v>
      </c>
      <c r="AG12021">
        <v>0</v>
      </c>
      <c r="AH12021">
        <v>0</v>
      </c>
      <c r="AI12021">
        <v>0</v>
      </c>
      <c r="AJ12021">
        <v>0</v>
      </c>
      <c r="AK12021">
        <v>0</v>
      </c>
      <c r="AL12021">
        <v>0</v>
      </c>
      <c r="AM12021">
        <v>0</v>
      </c>
      <c r="AN12021">
        <v>0</v>
      </c>
      <c r="AO12021">
        <v>0</v>
      </c>
      <c r="AP12021">
        <v>0</v>
      </c>
      <c r="AQ12021">
        <v>0</v>
      </c>
      <c r="AR12021">
        <v>0</v>
      </c>
      <c r="AS12021">
        <v>0</v>
      </c>
      <c r="AT12021">
        <v>0</v>
      </c>
      <c r="AU12021">
        <v>0</v>
      </c>
      <c r="AV12021">
        <v>0</v>
      </c>
      <c r="AW12021">
        <v>0</v>
      </c>
      <c r="AX12021">
        <v>0</v>
      </c>
      <c r="AY12021">
        <v>0</v>
      </c>
      <c r="AZ12021">
        <v>0</v>
      </c>
      <c r="BA12021">
        <v>0</v>
      </c>
      <c r="BB12021">
        <v>0</v>
      </c>
      <c r="BC12021">
        <v>0</v>
      </c>
      <c r="BD12021">
        <v>0</v>
      </c>
      <c r="BE12021">
        <v>0</v>
      </c>
      <c r="BF12021">
        <v>0</v>
      </c>
      <c r="BG12021">
        <v>0</v>
      </c>
      <c r="BH12021">
        <v>0</v>
      </c>
      <c r="BI12021">
        <v>0</v>
      </c>
      <c r="BJ12021">
        <v>0</v>
      </c>
      <c r="BK12021">
        <v>0</v>
      </c>
      <c r="BL12021">
        <v>0</v>
      </c>
      <c r="BM12021">
        <v>0</v>
      </c>
      <c r="BN12021">
        <v>0</v>
      </c>
      <c r="BO12021">
        <v>0</v>
      </c>
      <c r="BP12021">
        <v>0</v>
      </c>
      <c r="BQ12021">
        <v>0</v>
      </c>
      <c r="BR12021">
        <v>0</v>
      </c>
      <c r="BS12021">
        <v>0</v>
      </c>
      <c r="BT12021">
        <v>0</v>
      </c>
      <c r="BU12021">
        <v>0</v>
      </c>
      <c r="BV12021">
        <v>0</v>
      </c>
      <c r="BW12021">
        <v>0</v>
      </c>
      <c r="BX12021">
        <v>0</v>
      </c>
      <c r="BY12021">
        <v>0</v>
      </c>
      <c r="BZ12021">
        <v>0</v>
      </c>
    </row>
    <row r="12022" spans="1:78" x14ac:dyDescent="0.2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  <c r="H12022">
        <v>0</v>
      </c>
      <c r="I12022">
        <v>0</v>
      </c>
      <c r="J12022">
        <v>0</v>
      </c>
      <c r="K12022">
        <v>0</v>
      </c>
      <c r="L12022">
        <v>0</v>
      </c>
      <c r="M12022">
        <v>0</v>
      </c>
      <c r="N12022">
        <v>0</v>
      </c>
      <c r="O12022">
        <v>0</v>
      </c>
      <c r="P12022">
        <v>0</v>
      </c>
      <c r="Q12022">
        <v>0</v>
      </c>
      <c r="R12022">
        <v>0</v>
      </c>
      <c r="S12022">
        <v>0</v>
      </c>
      <c r="T12022">
        <v>0</v>
      </c>
      <c r="U12022">
        <v>0</v>
      </c>
      <c r="V12022">
        <v>0</v>
      </c>
      <c r="W12022">
        <v>0</v>
      </c>
      <c r="X12022">
        <v>0</v>
      </c>
      <c r="Y12022">
        <v>0</v>
      </c>
      <c r="Z12022">
        <v>0</v>
      </c>
      <c r="AA12022">
        <v>0</v>
      </c>
      <c r="AB12022">
        <v>0</v>
      </c>
      <c r="AC12022">
        <v>0</v>
      </c>
      <c r="AD12022">
        <v>0</v>
      </c>
      <c r="AE12022">
        <v>0</v>
      </c>
      <c r="AF12022">
        <v>0</v>
      </c>
      <c r="AG12022">
        <v>0</v>
      </c>
      <c r="AH12022">
        <v>0</v>
      </c>
      <c r="AI12022">
        <v>0</v>
      </c>
      <c r="AJ12022">
        <v>0</v>
      </c>
      <c r="AK12022">
        <v>0</v>
      </c>
      <c r="AL12022">
        <v>0</v>
      </c>
      <c r="AM12022">
        <v>0</v>
      </c>
      <c r="AN12022">
        <v>0</v>
      </c>
      <c r="AO12022">
        <v>0</v>
      </c>
      <c r="AP12022">
        <v>0</v>
      </c>
      <c r="AQ12022">
        <v>0</v>
      </c>
      <c r="AR12022">
        <v>0</v>
      </c>
      <c r="AS12022">
        <v>0</v>
      </c>
      <c r="AT12022">
        <v>0</v>
      </c>
      <c r="AU12022">
        <v>0</v>
      </c>
      <c r="AV12022">
        <v>0</v>
      </c>
      <c r="AW12022">
        <v>0</v>
      </c>
      <c r="AX12022">
        <v>0</v>
      </c>
      <c r="AY12022">
        <v>0</v>
      </c>
      <c r="AZ12022">
        <v>0</v>
      </c>
      <c r="BA12022">
        <v>0</v>
      </c>
      <c r="BB12022">
        <v>0</v>
      </c>
      <c r="BC12022">
        <v>0</v>
      </c>
      <c r="BD12022">
        <v>0</v>
      </c>
      <c r="BE12022">
        <v>0</v>
      </c>
      <c r="BF12022">
        <v>0</v>
      </c>
      <c r="BG12022">
        <v>0</v>
      </c>
      <c r="BH12022">
        <v>0</v>
      </c>
      <c r="BI12022">
        <v>0</v>
      </c>
      <c r="BJ12022">
        <v>0</v>
      </c>
      <c r="BK12022">
        <v>0</v>
      </c>
      <c r="BL12022">
        <v>0</v>
      </c>
      <c r="BM12022">
        <v>0</v>
      </c>
      <c r="BN12022">
        <v>0</v>
      </c>
      <c r="BO12022">
        <v>0</v>
      </c>
      <c r="BP12022">
        <v>0</v>
      </c>
      <c r="BQ12022">
        <v>0</v>
      </c>
      <c r="BR12022">
        <v>0</v>
      </c>
      <c r="BS12022">
        <v>0</v>
      </c>
      <c r="BT12022">
        <v>0</v>
      </c>
      <c r="BU12022">
        <v>0</v>
      </c>
      <c r="BV12022">
        <v>0</v>
      </c>
      <c r="BW12022">
        <v>0</v>
      </c>
      <c r="BX12022">
        <v>0</v>
      </c>
      <c r="BY12022">
        <v>0</v>
      </c>
      <c r="BZ12022">
        <v>0</v>
      </c>
    </row>
    <row r="12023" spans="1:78" x14ac:dyDescent="0.2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  <c r="H12023">
        <v>0</v>
      </c>
      <c r="I12023">
        <v>0</v>
      </c>
      <c r="J12023">
        <v>0</v>
      </c>
      <c r="K12023">
        <v>0</v>
      </c>
      <c r="L12023">
        <v>0</v>
      </c>
      <c r="M12023">
        <v>0</v>
      </c>
      <c r="N12023">
        <v>0</v>
      </c>
      <c r="O12023">
        <v>0</v>
      </c>
      <c r="P12023">
        <v>0</v>
      </c>
      <c r="Q12023">
        <v>0</v>
      </c>
      <c r="R12023">
        <v>0</v>
      </c>
      <c r="S12023">
        <v>0</v>
      </c>
      <c r="T12023">
        <v>0</v>
      </c>
      <c r="U12023">
        <v>0</v>
      </c>
      <c r="V12023">
        <v>0</v>
      </c>
      <c r="W12023">
        <v>0</v>
      </c>
      <c r="X12023">
        <v>0</v>
      </c>
      <c r="Y12023">
        <v>0</v>
      </c>
      <c r="Z12023">
        <v>0</v>
      </c>
      <c r="AA12023">
        <v>0</v>
      </c>
      <c r="AB12023">
        <v>0</v>
      </c>
      <c r="AC12023">
        <v>0</v>
      </c>
      <c r="AD12023">
        <v>0</v>
      </c>
      <c r="AE12023">
        <v>0</v>
      </c>
      <c r="AF12023">
        <v>0</v>
      </c>
      <c r="AG12023">
        <v>0</v>
      </c>
      <c r="AH12023">
        <v>0</v>
      </c>
      <c r="AI12023">
        <v>0</v>
      </c>
      <c r="AJ12023">
        <v>0</v>
      </c>
      <c r="AK12023">
        <v>0</v>
      </c>
      <c r="AL12023">
        <v>0</v>
      </c>
      <c r="AM12023">
        <v>0</v>
      </c>
      <c r="AN12023">
        <v>0</v>
      </c>
      <c r="AO12023">
        <v>0</v>
      </c>
      <c r="AP12023">
        <v>0</v>
      </c>
      <c r="AQ12023">
        <v>0</v>
      </c>
      <c r="AR12023">
        <v>0</v>
      </c>
      <c r="AS12023">
        <v>0</v>
      </c>
      <c r="AT12023">
        <v>0</v>
      </c>
      <c r="AU12023">
        <v>0</v>
      </c>
      <c r="AV12023">
        <v>0</v>
      </c>
      <c r="AW12023">
        <v>0</v>
      </c>
      <c r="AX12023">
        <v>0</v>
      </c>
      <c r="AY12023">
        <v>0</v>
      </c>
      <c r="AZ12023">
        <v>0</v>
      </c>
      <c r="BA12023">
        <v>0</v>
      </c>
      <c r="BB12023">
        <v>0</v>
      </c>
      <c r="BC12023">
        <v>0</v>
      </c>
      <c r="BD12023">
        <v>0</v>
      </c>
      <c r="BE12023">
        <v>0</v>
      </c>
      <c r="BF12023">
        <v>0</v>
      </c>
      <c r="BG12023">
        <v>0</v>
      </c>
      <c r="BH12023">
        <v>0</v>
      </c>
      <c r="BI12023">
        <v>0</v>
      </c>
      <c r="BJ12023">
        <v>0</v>
      </c>
      <c r="BK12023">
        <v>0</v>
      </c>
      <c r="BL12023">
        <v>0</v>
      </c>
      <c r="BM12023">
        <v>0</v>
      </c>
      <c r="BN12023">
        <v>0</v>
      </c>
      <c r="BO12023">
        <v>0</v>
      </c>
      <c r="BP12023">
        <v>0</v>
      </c>
      <c r="BQ12023">
        <v>0</v>
      </c>
      <c r="BR12023">
        <v>0</v>
      </c>
      <c r="BS12023">
        <v>0</v>
      </c>
      <c r="BT12023">
        <v>0</v>
      </c>
      <c r="BU12023">
        <v>0</v>
      </c>
      <c r="BV12023">
        <v>0</v>
      </c>
      <c r="BW12023">
        <v>0</v>
      </c>
      <c r="BX12023">
        <v>0</v>
      </c>
      <c r="BY12023">
        <v>0</v>
      </c>
      <c r="BZ12023">
        <v>0</v>
      </c>
    </row>
    <row r="12024" spans="1:78" x14ac:dyDescent="0.2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  <c r="H12024">
        <v>0</v>
      </c>
      <c r="I12024">
        <v>0</v>
      </c>
      <c r="J12024">
        <v>0</v>
      </c>
      <c r="K12024">
        <v>0</v>
      </c>
      <c r="L12024">
        <v>0</v>
      </c>
      <c r="M12024">
        <v>0</v>
      </c>
      <c r="N12024">
        <v>0</v>
      </c>
      <c r="O12024">
        <v>0</v>
      </c>
      <c r="P12024">
        <v>0</v>
      </c>
      <c r="Q12024">
        <v>0</v>
      </c>
      <c r="R12024">
        <v>0</v>
      </c>
      <c r="S12024">
        <v>0</v>
      </c>
      <c r="T12024">
        <v>0</v>
      </c>
      <c r="U12024">
        <v>0</v>
      </c>
      <c r="V12024">
        <v>0</v>
      </c>
      <c r="W12024">
        <v>0</v>
      </c>
      <c r="X12024">
        <v>0</v>
      </c>
      <c r="Y12024">
        <v>0</v>
      </c>
      <c r="Z12024">
        <v>0</v>
      </c>
      <c r="AA12024">
        <v>0</v>
      </c>
      <c r="AB12024">
        <v>0</v>
      </c>
      <c r="AC12024">
        <v>0</v>
      </c>
      <c r="AD12024">
        <v>0</v>
      </c>
      <c r="AE12024">
        <v>0</v>
      </c>
      <c r="AF12024">
        <v>0</v>
      </c>
      <c r="AG12024">
        <v>0</v>
      </c>
      <c r="AH12024">
        <v>0</v>
      </c>
      <c r="AI12024">
        <v>0</v>
      </c>
      <c r="AJ12024">
        <v>0</v>
      </c>
      <c r="AK12024">
        <v>0</v>
      </c>
      <c r="AL12024">
        <v>0</v>
      </c>
      <c r="AM12024">
        <v>0</v>
      </c>
      <c r="AN12024">
        <v>0</v>
      </c>
      <c r="AO12024">
        <v>0</v>
      </c>
      <c r="AP12024">
        <v>0</v>
      </c>
      <c r="AQ12024">
        <v>0</v>
      </c>
      <c r="AR12024">
        <v>0</v>
      </c>
      <c r="AS12024">
        <v>0</v>
      </c>
      <c r="AT12024">
        <v>0</v>
      </c>
      <c r="AU12024">
        <v>0</v>
      </c>
      <c r="AV12024">
        <v>0</v>
      </c>
      <c r="AW12024">
        <v>0</v>
      </c>
      <c r="AX12024">
        <v>0</v>
      </c>
      <c r="AY12024">
        <v>0</v>
      </c>
      <c r="AZ12024">
        <v>0</v>
      </c>
      <c r="BA12024">
        <v>0</v>
      </c>
      <c r="BB12024">
        <v>0</v>
      </c>
      <c r="BC12024">
        <v>0</v>
      </c>
      <c r="BD12024">
        <v>0</v>
      </c>
      <c r="BE12024">
        <v>0</v>
      </c>
      <c r="BF12024">
        <v>0</v>
      </c>
      <c r="BG12024">
        <v>0</v>
      </c>
      <c r="BH12024">
        <v>0</v>
      </c>
      <c r="BI12024">
        <v>0</v>
      </c>
      <c r="BJ12024">
        <v>0</v>
      </c>
      <c r="BK12024">
        <v>0</v>
      </c>
      <c r="BL12024">
        <v>0</v>
      </c>
      <c r="BM12024">
        <v>0</v>
      </c>
      <c r="BN12024">
        <v>0</v>
      </c>
      <c r="BO12024">
        <v>0</v>
      </c>
      <c r="BP12024">
        <v>0</v>
      </c>
      <c r="BQ12024">
        <v>0</v>
      </c>
      <c r="BR12024">
        <v>0</v>
      </c>
      <c r="BS12024">
        <v>0</v>
      </c>
      <c r="BT12024">
        <v>0</v>
      </c>
      <c r="BU12024">
        <v>0</v>
      </c>
      <c r="BV12024">
        <v>0</v>
      </c>
      <c r="BW12024">
        <v>0</v>
      </c>
      <c r="BX12024">
        <v>0</v>
      </c>
      <c r="BY12024">
        <v>0</v>
      </c>
      <c r="BZ12024">
        <v>0</v>
      </c>
    </row>
    <row r="12025" spans="1:78" x14ac:dyDescent="0.2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  <c r="H12025">
        <v>0</v>
      </c>
      <c r="I12025">
        <v>0</v>
      </c>
      <c r="J12025">
        <v>0</v>
      </c>
      <c r="K12025">
        <v>0</v>
      </c>
      <c r="L12025">
        <v>0</v>
      </c>
      <c r="M12025">
        <v>0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  <c r="V12025">
        <v>0</v>
      </c>
      <c r="W12025">
        <v>0</v>
      </c>
      <c r="X12025">
        <v>0</v>
      </c>
      <c r="Y12025">
        <v>0</v>
      </c>
      <c r="Z12025">
        <v>0</v>
      </c>
      <c r="AA12025">
        <v>0</v>
      </c>
      <c r="AB12025">
        <v>0</v>
      </c>
      <c r="AC12025">
        <v>0</v>
      </c>
      <c r="AD12025">
        <v>0</v>
      </c>
      <c r="AE12025">
        <v>0</v>
      </c>
      <c r="AF12025">
        <v>0</v>
      </c>
      <c r="AG12025">
        <v>0</v>
      </c>
      <c r="AH12025">
        <v>0</v>
      </c>
      <c r="AI12025">
        <v>0</v>
      </c>
      <c r="AJ12025">
        <v>0</v>
      </c>
      <c r="AK12025">
        <v>0</v>
      </c>
      <c r="AL12025">
        <v>0</v>
      </c>
      <c r="AM12025">
        <v>0</v>
      </c>
      <c r="AN12025">
        <v>0</v>
      </c>
      <c r="AO12025">
        <v>0</v>
      </c>
      <c r="AP12025">
        <v>0</v>
      </c>
      <c r="AQ12025">
        <v>0</v>
      </c>
      <c r="AR12025">
        <v>0</v>
      </c>
      <c r="AS12025">
        <v>0</v>
      </c>
      <c r="AT12025">
        <v>0</v>
      </c>
      <c r="AU12025">
        <v>0</v>
      </c>
      <c r="AV12025">
        <v>0</v>
      </c>
      <c r="AW12025">
        <v>0</v>
      </c>
      <c r="AX12025">
        <v>0</v>
      </c>
      <c r="AY12025">
        <v>0</v>
      </c>
      <c r="AZ12025">
        <v>0</v>
      </c>
      <c r="BA12025">
        <v>0</v>
      </c>
      <c r="BB12025">
        <v>0</v>
      </c>
      <c r="BC12025">
        <v>0</v>
      </c>
      <c r="BD12025">
        <v>0</v>
      </c>
      <c r="BE12025">
        <v>0</v>
      </c>
      <c r="BF12025">
        <v>0</v>
      </c>
      <c r="BG12025">
        <v>0</v>
      </c>
      <c r="BH12025">
        <v>0</v>
      </c>
      <c r="BI12025">
        <v>0</v>
      </c>
      <c r="BJ12025">
        <v>0</v>
      </c>
      <c r="BK12025">
        <v>0</v>
      </c>
      <c r="BL12025">
        <v>0</v>
      </c>
      <c r="BM12025">
        <v>0</v>
      </c>
      <c r="BN12025">
        <v>0</v>
      </c>
      <c r="BO12025">
        <v>0</v>
      </c>
      <c r="BP12025">
        <v>0</v>
      </c>
      <c r="BQ12025">
        <v>0</v>
      </c>
      <c r="BR12025">
        <v>0</v>
      </c>
      <c r="BS12025">
        <v>0</v>
      </c>
      <c r="BT12025">
        <v>0</v>
      </c>
      <c r="BU12025">
        <v>0</v>
      </c>
      <c r="BV12025">
        <v>0</v>
      </c>
      <c r="BW12025">
        <v>0</v>
      </c>
      <c r="BX12025">
        <v>0</v>
      </c>
      <c r="BY12025">
        <v>0</v>
      </c>
      <c r="BZ12025">
        <v>0</v>
      </c>
    </row>
    <row r="12026" spans="1:78" x14ac:dyDescent="0.2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  <c r="H12026">
        <v>0</v>
      </c>
      <c r="I12026">
        <v>0</v>
      </c>
      <c r="J12026">
        <v>0</v>
      </c>
      <c r="K12026">
        <v>0</v>
      </c>
      <c r="L12026">
        <v>0</v>
      </c>
      <c r="M12026">
        <v>0</v>
      </c>
      <c r="N12026">
        <v>0</v>
      </c>
      <c r="O12026">
        <v>0</v>
      </c>
      <c r="P12026">
        <v>0</v>
      </c>
      <c r="Q12026">
        <v>0</v>
      </c>
      <c r="R12026">
        <v>0</v>
      </c>
      <c r="S12026">
        <v>0</v>
      </c>
      <c r="T12026">
        <v>0</v>
      </c>
      <c r="U12026">
        <v>0</v>
      </c>
      <c r="V12026">
        <v>0</v>
      </c>
      <c r="W12026">
        <v>0</v>
      </c>
      <c r="X12026">
        <v>0</v>
      </c>
      <c r="Y12026">
        <v>0</v>
      </c>
      <c r="Z12026">
        <v>0</v>
      </c>
      <c r="AA12026">
        <v>0</v>
      </c>
      <c r="AB12026">
        <v>0</v>
      </c>
      <c r="AC12026">
        <v>0</v>
      </c>
      <c r="AD12026">
        <v>0</v>
      </c>
      <c r="AE12026">
        <v>0</v>
      </c>
      <c r="AF12026">
        <v>0</v>
      </c>
      <c r="AG12026">
        <v>0</v>
      </c>
      <c r="AH12026">
        <v>0</v>
      </c>
      <c r="AI12026">
        <v>0</v>
      </c>
      <c r="AJ12026">
        <v>0</v>
      </c>
      <c r="AK12026">
        <v>0</v>
      </c>
      <c r="AL12026">
        <v>0</v>
      </c>
      <c r="AM12026">
        <v>0</v>
      </c>
      <c r="AN12026">
        <v>0</v>
      </c>
      <c r="AO12026">
        <v>0</v>
      </c>
      <c r="AP12026">
        <v>0</v>
      </c>
      <c r="AQ12026">
        <v>0</v>
      </c>
      <c r="AR12026">
        <v>0</v>
      </c>
      <c r="AS12026">
        <v>0</v>
      </c>
      <c r="AT12026">
        <v>0</v>
      </c>
      <c r="AU12026">
        <v>0</v>
      </c>
      <c r="AV12026">
        <v>0</v>
      </c>
      <c r="AW12026">
        <v>0</v>
      </c>
      <c r="AX12026">
        <v>0</v>
      </c>
      <c r="AY12026">
        <v>0</v>
      </c>
      <c r="AZ12026">
        <v>0</v>
      </c>
      <c r="BA12026">
        <v>0</v>
      </c>
      <c r="BB12026">
        <v>0</v>
      </c>
      <c r="BC12026">
        <v>0</v>
      </c>
      <c r="BD12026">
        <v>0</v>
      </c>
      <c r="BE12026">
        <v>0</v>
      </c>
      <c r="BF12026">
        <v>0</v>
      </c>
      <c r="BG12026">
        <v>0</v>
      </c>
      <c r="BH12026">
        <v>0</v>
      </c>
      <c r="BI12026">
        <v>0</v>
      </c>
      <c r="BJ12026">
        <v>0</v>
      </c>
      <c r="BK12026">
        <v>0</v>
      </c>
      <c r="BL12026">
        <v>0</v>
      </c>
      <c r="BM12026">
        <v>0</v>
      </c>
      <c r="BN12026">
        <v>0</v>
      </c>
      <c r="BO12026">
        <v>0</v>
      </c>
      <c r="BP12026">
        <v>0</v>
      </c>
      <c r="BQ12026">
        <v>0</v>
      </c>
      <c r="BR12026">
        <v>0</v>
      </c>
      <c r="BS12026">
        <v>0</v>
      </c>
      <c r="BT12026">
        <v>0</v>
      </c>
      <c r="BU12026">
        <v>0</v>
      </c>
      <c r="BV12026">
        <v>0</v>
      </c>
      <c r="BW12026">
        <v>0</v>
      </c>
      <c r="BX12026">
        <v>0</v>
      </c>
      <c r="BY12026">
        <v>0</v>
      </c>
      <c r="BZ12026">
        <v>0</v>
      </c>
    </row>
    <row r="12027" spans="1:78" x14ac:dyDescent="0.2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  <c r="H12027">
        <v>0</v>
      </c>
      <c r="I12027">
        <v>0</v>
      </c>
      <c r="J12027">
        <v>0</v>
      </c>
      <c r="K12027">
        <v>0</v>
      </c>
      <c r="L12027">
        <v>0</v>
      </c>
      <c r="M12027">
        <v>0</v>
      </c>
      <c r="N12027">
        <v>0</v>
      </c>
      <c r="O12027">
        <v>0</v>
      </c>
      <c r="P12027">
        <v>0</v>
      </c>
      <c r="Q12027">
        <v>0</v>
      </c>
      <c r="R12027">
        <v>0</v>
      </c>
      <c r="S12027">
        <v>0</v>
      </c>
      <c r="T12027">
        <v>0</v>
      </c>
      <c r="U12027">
        <v>0</v>
      </c>
      <c r="V12027">
        <v>0</v>
      </c>
      <c r="W12027">
        <v>0</v>
      </c>
      <c r="X12027">
        <v>0</v>
      </c>
      <c r="Y12027">
        <v>0</v>
      </c>
      <c r="Z12027">
        <v>0</v>
      </c>
      <c r="AA12027">
        <v>0</v>
      </c>
      <c r="AB12027">
        <v>0</v>
      </c>
      <c r="AC12027">
        <v>0</v>
      </c>
      <c r="AD12027">
        <v>0</v>
      </c>
      <c r="AE12027">
        <v>0</v>
      </c>
      <c r="AF12027">
        <v>0</v>
      </c>
      <c r="AG12027">
        <v>0</v>
      </c>
      <c r="AH12027">
        <v>0</v>
      </c>
      <c r="AI12027">
        <v>0</v>
      </c>
      <c r="AJ12027">
        <v>0</v>
      </c>
      <c r="AK12027">
        <v>0</v>
      </c>
      <c r="AL12027">
        <v>0</v>
      </c>
      <c r="AM12027">
        <v>0</v>
      </c>
      <c r="AN12027">
        <v>0</v>
      </c>
      <c r="AO12027">
        <v>0</v>
      </c>
      <c r="AP12027">
        <v>0</v>
      </c>
      <c r="AQ12027">
        <v>0</v>
      </c>
      <c r="AR12027">
        <v>0</v>
      </c>
      <c r="AS12027">
        <v>0</v>
      </c>
      <c r="AT12027">
        <v>0</v>
      </c>
      <c r="AU12027">
        <v>0</v>
      </c>
      <c r="AV12027">
        <v>0</v>
      </c>
      <c r="AW12027">
        <v>0</v>
      </c>
      <c r="AX12027">
        <v>0</v>
      </c>
      <c r="AY12027">
        <v>0</v>
      </c>
      <c r="AZ12027">
        <v>0</v>
      </c>
      <c r="BA12027">
        <v>0</v>
      </c>
      <c r="BB12027">
        <v>0</v>
      </c>
      <c r="BC12027">
        <v>0</v>
      </c>
      <c r="BD12027">
        <v>0</v>
      </c>
      <c r="BE12027">
        <v>0</v>
      </c>
      <c r="BF12027">
        <v>0</v>
      </c>
      <c r="BG12027">
        <v>0</v>
      </c>
      <c r="BH12027">
        <v>0</v>
      </c>
      <c r="BI12027">
        <v>0</v>
      </c>
      <c r="BJ12027">
        <v>0</v>
      </c>
      <c r="BK12027">
        <v>0</v>
      </c>
      <c r="BL12027">
        <v>0</v>
      </c>
      <c r="BM12027">
        <v>0</v>
      </c>
      <c r="BN12027">
        <v>0</v>
      </c>
      <c r="BO12027">
        <v>0</v>
      </c>
      <c r="BP12027">
        <v>0</v>
      </c>
      <c r="BQ12027">
        <v>0</v>
      </c>
      <c r="BR12027">
        <v>0</v>
      </c>
      <c r="BS12027">
        <v>0</v>
      </c>
      <c r="BT12027">
        <v>0</v>
      </c>
      <c r="BU12027">
        <v>0</v>
      </c>
      <c r="BV12027">
        <v>0</v>
      </c>
      <c r="BW12027">
        <v>0</v>
      </c>
      <c r="BX12027">
        <v>0</v>
      </c>
      <c r="BY12027">
        <v>0</v>
      </c>
      <c r="BZ12027">
        <v>0</v>
      </c>
    </row>
    <row r="12028" spans="1:78" x14ac:dyDescent="0.2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  <c r="H12028">
        <v>0</v>
      </c>
      <c r="I12028">
        <v>0</v>
      </c>
      <c r="J12028">
        <v>0</v>
      </c>
      <c r="K12028">
        <v>0</v>
      </c>
      <c r="L12028">
        <v>0</v>
      </c>
      <c r="M12028">
        <v>0</v>
      </c>
      <c r="N12028">
        <v>0</v>
      </c>
      <c r="O12028">
        <v>0</v>
      </c>
      <c r="P12028">
        <v>0</v>
      </c>
      <c r="Q12028">
        <v>0</v>
      </c>
      <c r="R12028">
        <v>0</v>
      </c>
      <c r="S12028">
        <v>0</v>
      </c>
      <c r="T12028">
        <v>0</v>
      </c>
      <c r="U12028">
        <v>0</v>
      </c>
      <c r="V12028">
        <v>0</v>
      </c>
      <c r="W12028">
        <v>0</v>
      </c>
      <c r="X12028">
        <v>0</v>
      </c>
      <c r="Y12028">
        <v>0</v>
      </c>
      <c r="Z12028">
        <v>0</v>
      </c>
      <c r="AA12028">
        <v>0</v>
      </c>
      <c r="AB12028">
        <v>0</v>
      </c>
      <c r="AC12028">
        <v>0</v>
      </c>
      <c r="AD12028">
        <v>0</v>
      </c>
      <c r="AE12028">
        <v>0</v>
      </c>
      <c r="AF12028">
        <v>0</v>
      </c>
      <c r="AG12028">
        <v>0</v>
      </c>
      <c r="AH12028">
        <v>0</v>
      </c>
      <c r="AI12028">
        <v>0</v>
      </c>
      <c r="AJ12028">
        <v>0</v>
      </c>
      <c r="AK12028">
        <v>0</v>
      </c>
      <c r="AL12028">
        <v>0</v>
      </c>
      <c r="AM12028">
        <v>0</v>
      </c>
      <c r="AN12028">
        <v>0</v>
      </c>
      <c r="AO12028">
        <v>0</v>
      </c>
      <c r="AP12028">
        <v>0</v>
      </c>
      <c r="AQ12028">
        <v>0</v>
      </c>
      <c r="AR12028">
        <v>0</v>
      </c>
      <c r="AS12028">
        <v>0</v>
      </c>
      <c r="AT12028">
        <v>0</v>
      </c>
      <c r="AU12028">
        <v>0</v>
      </c>
      <c r="AV12028">
        <v>0</v>
      </c>
      <c r="AW12028">
        <v>0</v>
      </c>
      <c r="AX12028">
        <v>0</v>
      </c>
      <c r="AY12028">
        <v>0</v>
      </c>
      <c r="AZ12028">
        <v>0</v>
      </c>
      <c r="BA12028">
        <v>0</v>
      </c>
      <c r="BB12028">
        <v>0</v>
      </c>
      <c r="BC12028">
        <v>0</v>
      </c>
      <c r="BD12028">
        <v>0</v>
      </c>
      <c r="BE12028">
        <v>0</v>
      </c>
      <c r="BF12028">
        <v>0</v>
      </c>
      <c r="BG12028">
        <v>0</v>
      </c>
      <c r="BH12028">
        <v>0</v>
      </c>
      <c r="BI12028">
        <v>0</v>
      </c>
      <c r="BJ12028">
        <v>0</v>
      </c>
      <c r="BK12028">
        <v>0</v>
      </c>
      <c r="BL12028">
        <v>0</v>
      </c>
      <c r="BM12028">
        <v>0</v>
      </c>
      <c r="BN12028">
        <v>0</v>
      </c>
      <c r="BO12028">
        <v>0</v>
      </c>
      <c r="BP12028">
        <v>0</v>
      </c>
      <c r="BQ12028">
        <v>0</v>
      </c>
      <c r="BR12028">
        <v>0</v>
      </c>
      <c r="BS12028">
        <v>0</v>
      </c>
      <c r="BT12028">
        <v>0</v>
      </c>
      <c r="BU12028">
        <v>0</v>
      </c>
      <c r="BV12028">
        <v>0</v>
      </c>
      <c r="BW12028">
        <v>0</v>
      </c>
      <c r="BX12028">
        <v>0</v>
      </c>
      <c r="BY12028">
        <v>0</v>
      </c>
      <c r="BZ12028">
        <v>0</v>
      </c>
    </row>
    <row r="12029" spans="1:78" x14ac:dyDescent="0.2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  <c r="H12029">
        <v>0</v>
      </c>
      <c r="I12029">
        <v>0</v>
      </c>
      <c r="J12029">
        <v>0</v>
      </c>
      <c r="K12029">
        <v>0</v>
      </c>
      <c r="L12029">
        <v>0</v>
      </c>
      <c r="M12029">
        <v>0</v>
      </c>
      <c r="N12029">
        <v>0</v>
      </c>
      <c r="O12029">
        <v>0</v>
      </c>
      <c r="P12029">
        <v>0</v>
      </c>
      <c r="Q12029">
        <v>0</v>
      </c>
      <c r="R12029">
        <v>0</v>
      </c>
      <c r="S12029">
        <v>0</v>
      </c>
      <c r="T12029">
        <v>0</v>
      </c>
      <c r="U12029">
        <v>0</v>
      </c>
      <c r="V12029">
        <v>0</v>
      </c>
      <c r="W12029">
        <v>0</v>
      </c>
      <c r="X12029">
        <v>0</v>
      </c>
      <c r="Y12029">
        <v>0</v>
      </c>
      <c r="Z12029">
        <v>0</v>
      </c>
      <c r="AA12029">
        <v>0</v>
      </c>
      <c r="AB12029">
        <v>0</v>
      </c>
      <c r="AC12029">
        <v>0</v>
      </c>
      <c r="AD12029">
        <v>0</v>
      </c>
      <c r="AE12029">
        <v>0</v>
      </c>
      <c r="AF12029">
        <v>0</v>
      </c>
      <c r="AG12029">
        <v>0</v>
      </c>
      <c r="AH12029">
        <v>0</v>
      </c>
      <c r="AI12029">
        <v>0</v>
      </c>
      <c r="AJ12029">
        <v>0</v>
      </c>
      <c r="AK12029">
        <v>0</v>
      </c>
      <c r="AL12029">
        <v>0</v>
      </c>
      <c r="AM12029">
        <v>0</v>
      </c>
      <c r="AN12029">
        <v>0</v>
      </c>
      <c r="AO12029">
        <v>0</v>
      </c>
      <c r="AP12029">
        <v>0</v>
      </c>
      <c r="AQ12029">
        <v>0</v>
      </c>
      <c r="AR12029">
        <v>0</v>
      </c>
      <c r="AS12029">
        <v>0</v>
      </c>
      <c r="AT12029">
        <v>0</v>
      </c>
      <c r="AU12029">
        <v>0</v>
      </c>
      <c r="AV12029">
        <v>0</v>
      </c>
      <c r="AW12029">
        <v>0</v>
      </c>
      <c r="AX12029">
        <v>0</v>
      </c>
      <c r="AY12029">
        <v>0</v>
      </c>
      <c r="AZ12029">
        <v>0</v>
      </c>
      <c r="BA12029">
        <v>0</v>
      </c>
      <c r="BB12029">
        <v>0</v>
      </c>
      <c r="BC12029">
        <v>0</v>
      </c>
      <c r="BD12029">
        <v>0</v>
      </c>
      <c r="BE12029">
        <v>0</v>
      </c>
      <c r="BF12029">
        <v>0</v>
      </c>
      <c r="BG12029">
        <v>0</v>
      </c>
      <c r="BH12029">
        <v>0</v>
      </c>
      <c r="BI12029">
        <v>0</v>
      </c>
      <c r="BJ12029">
        <v>0</v>
      </c>
      <c r="BK12029">
        <v>0</v>
      </c>
      <c r="BL12029">
        <v>0</v>
      </c>
      <c r="BM12029">
        <v>0</v>
      </c>
      <c r="BN12029">
        <v>0</v>
      </c>
      <c r="BO12029">
        <v>0</v>
      </c>
      <c r="BP12029">
        <v>0</v>
      </c>
      <c r="BQ12029">
        <v>0</v>
      </c>
      <c r="BR12029">
        <v>0</v>
      </c>
      <c r="BS12029">
        <v>0</v>
      </c>
      <c r="BT12029">
        <v>0</v>
      </c>
      <c r="BU12029">
        <v>0</v>
      </c>
      <c r="BV12029">
        <v>0</v>
      </c>
      <c r="BW12029">
        <v>0</v>
      </c>
      <c r="BX12029">
        <v>0</v>
      </c>
      <c r="BY12029">
        <v>0</v>
      </c>
      <c r="BZ12029">
        <v>0</v>
      </c>
    </row>
    <row r="12030" spans="1:78" x14ac:dyDescent="0.2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  <c r="H12030">
        <v>0</v>
      </c>
      <c r="I12030">
        <v>0</v>
      </c>
      <c r="J12030">
        <v>0</v>
      </c>
      <c r="K12030">
        <v>0</v>
      </c>
      <c r="L12030">
        <v>0</v>
      </c>
      <c r="M12030">
        <v>0</v>
      </c>
      <c r="N12030">
        <v>0</v>
      </c>
      <c r="O12030">
        <v>0</v>
      </c>
      <c r="P12030">
        <v>0</v>
      </c>
      <c r="Q12030">
        <v>0</v>
      </c>
      <c r="R12030">
        <v>0</v>
      </c>
      <c r="S12030">
        <v>0</v>
      </c>
      <c r="T12030">
        <v>0</v>
      </c>
      <c r="U12030">
        <v>0</v>
      </c>
      <c r="V12030">
        <v>0</v>
      </c>
      <c r="W12030">
        <v>0</v>
      </c>
      <c r="X12030">
        <v>0</v>
      </c>
      <c r="Y12030">
        <v>0</v>
      </c>
      <c r="Z12030">
        <v>0</v>
      </c>
      <c r="AA12030">
        <v>0</v>
      </c>
      <c r="AB12030">
        <v>0</v>
      </c>
      <c r="AC12030">
        <v>0</v>
      </c>
      <c r="AD12030">
        <v>0</v>
      </c>
      <c r="AE12030">
        <v>0</v>
      </c>
      <c r="AF12030">
        <v>0</v>
      </c>
      <c r="AG12030">
        <v>0</v>
      </c>
      <c r="AH12030">
        <v>0</v>
      </c>
      <c r="AI12030">
        <v>0</v>
      </c>
      <c r="AJ12030">
        <v>0</v>
      </c>
      <c r="AK12030">
        <v>0</v>
      </c>
      <c r="AL12030">
        <v>0</v>
      </c>
      <c r="AM12030">
        <v>0</v>
      </c>
      <c r="AN12030">
        <v>0</v>
      </c>
      <c r="AO12030">
        <v>0</v>
      </c>
      <c r="AP12030">
        <v>0</v>
      </c>
      <c r="AQ12030">
        <v>0</v>
      </c>
      <c r="AR12030">
        <v>0</v>
      </c>
      <c r="AS12030">
        <v>0</v>
      </c>
      <c r="AT12030">
        <v>0</v>
      </c>
      <c r="AU12030">
        <v>0</v>
      </c>
      <c r="AV12030">
        <v>0</v>
      </c>
      <c r="AW12030">
        <v>0</v>
      </c>
      <c r="AX12030">
        <v>0</v>
      </c>
      <c r="AY12030">
        <v>0</v>
      </c>
      <c r="AZ12030">
        <v>0</v>
      </c>
      <c r="BA12030">
        <v>0</v>
      </c>
      <c r="BB12030">
        <v>0</v>
      </c>
      <c r="BC12030">
        <v>0</v>
      </c>
      <c r="BD12030">
        <v>0</v>
      </c>
      <c r="BE12030">
        <v>0</v>
      </c>
      <c r="BF12030">
        <v>0</v>
      </c>
      <c r="BG12030">
        <v>0</v>
      </c>
      <c r="BH12030">
        <v>0</v>
      </c>
      <c r="BI12030">
        <v>0</v>
      </c>
      <c r="BJ12030">
        <v>0</v>
      </c>
      <c r="BK12030">
        <v>0</v>
      </c>
      <c r="BL12030">
        <v>0</v>
      </c>
      <c r="BM12030">
        <v>0</v>
      </c>
      <c r="BN12030">
        <v>0</v>
      </c>
      <c r="BO12030">
        <v>0</v>
      </c>
      <c r="BP12030">
        <v>0</v>
      </c>
      <c r="BQ12030">
        <v>0</v>
      </c>
      <c r="BR12030">
        <v>0</v>
      </c>
      <c r="BS12030">
        <v>0</v>
      </c>
      <c r="BT12030">
        <v>0</v>
      </c>
      <c r="BU12030">
        <v>0</v>
      </c>
      <c r="BV12030">
        <v>0</v>
      </c>
      <c r="BW12030">
        <v>0</v>
      </c>
      <c r="BX12030">
        <v>0</v>
      </c>
      <c r="BY12030">
        <v>0</v>
      </c>
      <c r="BZ12030">
        <v>0</v>
      </c>
    </row>
    <row r="12031" spans="1:78" x14ac:dyDescent="0.2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  <c r="H12031">
        <v>0</v>
      </c>
      <c r="I12031">
        <v>0</v>
      </c>
      <c r="J12031">
        <v>0</v>
      </c>
      <c r="K12031">
        <v>0</v>
      </c>
      <c r="L12031">
        <v>0</v>
      </c>
      <c r="M12031">
        <v>0</v>
      </c>
      <c r="N12031">
        <v>0</v>
      </c>
      <c r="O12031">
        <v>0</v>
      </c>
      <c r="P12031">
        <v>0</v>
      </c>
      <c r="Q12031">
        <v>0</v>
      </c>
      <c r="R12031">
        <v>0</v>
      </c>
      <c r="S12031">
        <v>0</v>
      </c>
      <c r="T12031">
        <v>0</v>
      </c>
      <c r="U12031">
        <v>0</v>
      </c>
      <c r="V12031">
        <v>0</v>
      </c>
      <c r="W12031">
        <v>0</v>
      </c>
      <c r="X12031">
        <v>0</v>
      </c>
      <c r="Y12031">
        <v>0</v>
      </c>
      <c r="Z12031">
        <v>0</v>
      </c>
      <c r="AA12031">
        <v>0</v>
      </c>
      <c r="AB12031">
        <v>0</v>
      </c>
      <c r="AC12031">
        <v>0</v>
      </c>
      <c r="AD12031">
        <v>0</v>
      </c>
      <c r="AE12031">
        <v>0</v>
      </c>
      <c r="AF12031">
        <v>0</v>
      </c>
      <c r="AG12031">
        <v>0</v>
      </c>
      <c r="AH12031">
        <v>0</v>
      </c>
      <c r="AI12031">
        <v>0</v>
      </c>
      <c r="AJ12031">
        <v>0</v>
      </c>
      <c r="AK12031">
        <v>0</v>
      </c>
      <c r="AL12031">
        <v>0</v>
      </c>
      <c r="AM12031">
        <v>0</v>
      </c>
      <c r="AN12031">
        <v>0</v>
      </c>
      <c r="AO12031">
        <v>0</v>
      </c>
      <c r="AP12031">
        <v>0</v>
      </c>
      <c r="AQ12031">
        <v>0</v>
      </c>
      <c r="AR12031">
        <v>0</v>
      </c>
      <c r="AS12031">
        <v>0</v>
      </c>
      <c r="AT12031">
        <v>0</v>
      </c>
      <c r="AU12031">
        <v>0</v>
      </c>
      <c r="AV12031">
        <v>0</v>
      </c>
      <c r="AW12031">
        <v>0</v>
      </c>
      <c r="AX12031">
        <v>0</v>
      </c>
      <c r="AY12031">
        <v>0</v>
      </c>
      <c r="AZ12031">
        <v>0</v>
      </c>
      <c r="BA12031">
        <v>0</v>
      </c>
      <c r="BB12031">
        <v>0</v>
      </c>
      <c r="BC12031">
        <v>0</v>
      </c>
      <c r="BD12031">
        <v>0</v>
      </c>
      <c r="BE12031">
        <v>0</v>
      </c>
      <c r="BF12031">
        <v>0</v>
      </c>
      <c r="BG12031">
        <v>0</v>
      </c>
      <c r="BH12031">
        <v>0</v>
      </c>
      <c r="BI12031">
        <v>0</v>
      </c>
      <c r="BJ12031">
        <v>0</v>
      </c>
      <c r="BK12031">
        <v>0</v>
      </c>
      <c r="BL12031">
        <v>0</v>
      </c>
      <c r="BM12031">
        <v>0</v>
      </c>
      <c r="BN12031">
        <v>0</v>
      </c>
      <c r="BO12031">
        <v>0</v>
      </c>
      <c r="BP12031">
        <v>0</v>
      </c>
      <c r="BQ12031">
        <v>0</v>
      </c>
      <c r="BR12031">
        <v>0</v>
      </c>
      <c r="BS12031">
        <v>0</v>
      </c>
      <c r="BT12031">
        <v>0</v>
      </c>
      <c r="BU12031">
        <v>0</v>
      </c>
      <c r="BV12031">
        <v>0</v>
      </c>
      <c r="BW12031">
        <v>0</v>
      </c>
      <c r="BX12031">
        <v>0</v>
      </c>
      <c r="BY12031">
        <v>0</v>
      </c>
      <c r="BZ12031">
        <v>0</v>
      </c>
    </row>
    <row r="12032" spans="1:78" x14ac:dyDescent="0.2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  <c r="H12032">
        <v>0</v>
      </c>
      <c r="I12032">
        <v>0</v>
      </c>
      <c r="J12032">
        <v>0</v>
      </c>
      <c r="K12032">
        <v>0</v>
      </c>
      <c r="L12032">
        <v>0</v>
      </c>
      <c r="M12032">
        <v>0</v>
      </c>
      <c r="N12032">
        <v>0</v>
      </c>
      <c r="O12032">
        <v>0</v>
      </c>
      <c r="P12032">
        <v>0</v>
      </c>
      <c r="Q12032">
        <v>0</v>
      </c>
      <c r="R12032">
        <v>0</v>
      </c>
      <c r="S12032">
        <v>0</v>
      </c>
      <c r="T12032">
        <v>0</v>
      </c>
      <c r="U12032">
        <v>0</v>
      </c>
      <c r="V12032">
        <v>0</v>
      </c>
      <c r="W12032">
        <v>0</v>
      </c>
      <c r="X12032">
        <v>0</v>
      </c>
      <c r="Y12032">
        <v>0</v>
      </c>
      <c r="Z12032">
        <v>0</v>
      </c>
      <c r="AA12032">
        <v>0</v>
      </c>
      <c r="AB12032">
        <v>0</v>
      </c>
      <c r="AC12032">
        <v>0</v>
      </c>
      <c r="AD12032">
        <v>0</v>
      </c>
      <c r="AE12032">
        <v>0</v>
      </c>
      <c r="AF12032">
        <v>0</v>
      </c>
      <c r="AG12032">
        <v>0</v>
      </c>
      <c r="AH12032">
        <v>0</v>
      </c>
      <c r="AI12032">
        <v>0</v>
      </c>
      <c r="AJ12032">
        <v>0</v>
      </c>
      <c r="AK12032">
        <v>0</v>
      </c>
      <c r="AL12032">
        <v>0</v>
      </c>
      <c r="AM12032">
        <v>0</v>
      </c>
      <c r="AN12032">
        <v>0</v>
      </c>
      <c r="AO12032">
        <v>0</v>
      </c>
      <c r="AP12032">
        <v>0</v>
      </c>
      <c r="AQ12032">
        <v>0</v>
      </c>
      <c r="AR12032">
        <v>0</v>
      </c>
      <c r="AS12032">
        <v>0</v>
      </c>
      <c r="AT12032">
        <v>0</v>
      </c>
      <c r="AU12032">
        <v>0</v>
      </c>
      <c r="AV12032">
        <v>0</v>
      </c>
      <c r="AW12032">
        <v>0</v>
      </c>
      <c r="AX12032">
        <v>0</v>
      </c>
      <c r="AY12032">
        <v>0</v>
      </c>
      <c r="AZ12032">
        <v>0</v>
      </c>
      <c r="BA12032">
        <v>0</v>
      </c>
      <c r="BB12032">
        <v>0</v>
      </c>
      <c r="BC12032">
        <v>0</v>
      </c>
      <c r="BD12032">
        <v>0</v>
      </c>
      <c r="BE12032">
        <v>0</v>
      </c>
      <c r="BF12032">
        <v>0</v>
      </c>
      <c r="BG12032">
        <v>0</v>
      </c>
      <c r="BH12032">
        <v>0</v>
      </c>
      <c r="BI12032">
        <v>0</v>
      </c>
      <c r="BJ12032">
        <v>0</v>
      </c>
      <c r="BK12032">
        <v>0</v>
      </c>
      <c r="BL12032">
        <v>0</v>
      </c>
      <c r="BM12032">
        <v>0</v>
      </c>
      <c r="BN12032">
        <v>0</v>
      </c>
      <c r="BO12032">
        <v>0</v>
      </c>
      <c r="BP12032">
        <v>0</v>
      </c>
      <c r="BQ12032">
        <v>0</v>
      </c>
      <c r="BR12032">
        <v>0</v>
      </c>
      <c r="BS12032">
        <v>0</v>
      </c>
      <c r="BT12032">
        <v>0</v>
      </c>
      <c r="BU12032">
        <v>0</v>
      </c>
      <c r="BV12032">
        <v>0</v>
      </c>
      <c r="BW12032">
        <v>0</v>
      </c>
      <c r="BX12032">
        <v>0</v>
      </c>
      <c r="BY12032">
        <v>0</v>
      </c>
      <c r="BZ12032">
        <v>0</v>
      </c>
    </row>
    <row r="12033" spans="1:78" x14ac:dyDescent="0.2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  <c r="H12033">
        <v>0</v>
      </c>
      <c r="I12033">
        <v>0</v>
      </c>
      <c r="J12033">
        <v>0</v>
      </c>
      <c r="K12033">
        <v>0</v>
      </c>
      <c r="L12033">
        <v>0</v>
      </c>
      <c r="M12033">
        <v>0</v>
      </c>
      <c r="N12033">
        <v>0</v>
      </c>
      <c r="O12033">
        <v>0</v>
      </c>
      <c r="P12033">
        <v>0</v>
      </c>
      <c r="Q12033">
        <v>0</v>
      </c>
      <c r="R12033">
        <v>0</v>
      </c>
      <c r="S12033">
        <v>0</v>
      </c>
      <c r="T12033">
        <v>0</v>
      </c>
      <c r="U12033">
        <v>0</v>
      </c>
      <c r="V12033">
        <v>0</v>
      </c>
      <c r="W12033">
        <v>0</v>
      </c>
      <c r="X12033">
        <v>0</v>
      </c>
      <c r="Y12033">
        <v>0</v>
      </c>
      <c r="Z12033">
        <v>0</v>
      </c>
      <c r="AA12033">
        <v>0</v>
      </c>
      <c r="AB12033">
        <v>0</v>
      </c>
      <c r="AC12033">
        <v>0</v>
      </c>
      <c r="AD12033">
        <v>0</v>
      </c>
      <c r="AE12033">
        <v>0</v>
      </c>
      <c r="AF12033">
        <v>0</v>
      </c>
      <c r="AG12033">
        <v>0</v>
      </c>
      <c r="AH12033">
        <v>0</v>
      </c>
      <c r="AI12033">
        <v>0</v>
      </c>
      <c r="AJ12033">
        <v>0</v>
      </c>
      <c r="AK12033">
        <v>0</v>
      </c>
      <c r="AL12033">
        <v>0</v>
      </c>
      <c r="AM12033">
        <v>0</v>
      </c>
      <c r="AN12033">
        <v>0</v>
      </c>
      <c r="AO12033">
        <v>0</v>
      </c>
      <c r="AP12033">
        <v>0</v>
      </c>
      <c r="AQ12033">
        <v>0</v>
      </c>
      <c r="AR12033">
        <v>0</v>
      </c>
      <c r="AS12033">
        <v>0</v>
      </c>
      <c r="AT12033">
        <v>0</v>
      </c>
      <c r="AU12033">
        <v>0</v>
      </c>
      <c r="AV12033">
        <v>0</v>
      </c>
      <c r="AW12033">
        <v>0</v>
      </c>
      <c r="AX12033">
        <v>0</v>
      </c>
      <c r="AY12033">
        <v>0</v>
      </c>
      <c r="AZ12033">
        <v>0</v>
      </c>
      <c r="BA12033">
        <v>0</v>
      </c>
      <c r="BB12033">
        <v>0</v>
      </c>
      <c r="BC12033">
        <v>0</v>
      </c>
      <c r="BD12033">
        <v>0</v>
      </c>
      <c r="BE12033">
        <v>0</v>
      </c>
      <c r="BF12033">
        <v>0</v>
      </c>
      <c r="BG12033">
        <v>0</v>
      </c>
      <c r="BH12033">
        <v>0</v>
      </c>
      <c r="BI12033">
        <v>0</v>
      </c>
      <c r="BJ12033">
        <v>0</v>
      </c>
      <c r="BK12033">
        <v>0</v>
      </c>
      <c r="BL12033">
        <v>0</v>
      </c>
      <c r="BM12033">
        <v>0</v>
      </c>
      <c r="BN12033">
        <v>0</v>
      </c>
      <c r="BO12033">
        <v>0</v>
      </c>
      <c r="BP12033">
        <v>0</v>
      </c>
      <c r="BQ12033">
        <v>0</v>
      </c>
      <c r="BR12033">
        <v>0</v>
      </c>
      <c r="BS12033">
        <v>0</v>
      </c>
      <c r="BT12033">
        <v>0</v>
      </c>
      <c r="BU12033">
        <v>0</v>
      </c>
      <c r="BV12033">
        <v>0</v>
      </c>
      <c r="BW12033">
        <v>0</v>
      </c>
      <c r="BX12033">
        <v>0</v>
      </c>
      <c r="BY12033">
        <v>0</v>
      </c>
      <c r="BZ12033">
        <v>0</v>
      </c>
    </row>
    <row r="12034" spans="1:78" x14ac:dyDescent="0.2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  <c r="H12034">
        <v>0</v>
      </c>
      <c r="I12034">
        <v>0</v>
      </c>
      <c r="J12034">
        <v>0</v>
      </c>
      <c r="K12034">
        <v>0</v>
      </c>
      <c r="L12034">
        <v>0</v>
      </c>
      <c r="M12034">
        <v>0</v>
      </c>
      <c r="N12034">
        <v>0</v>
      </c>
      <c r="O12034">
        <v>0</v>
      </c>
      <c r="P12034">
        <v>0</v>
      </c>
      <c r="Q12034">
        <v>0</v>
      </c>
      <c r="R12034">
        <v>0</v>
      </c>
      <c r="S12034">
        <v>0</v>
      </c>
      <c r="T12034">
        <v>0</v>
      </c>
      <c r="U12034">
        <v>0</v>
      </c>
      <c r="V12034">
        <v>0</v>
      </c>
      <c r="W12034">
        <v>0</v>
      </c>
      <c r="X12034">
        <v>0</v>
      </c>
      <c r="Y12034">
        <v>0</v>
      </c>
      <c r="Z12034">
        <v>0</v>
      </c>
      <c r="AA12034">
        <v>0</v>
      </c>
      <c r="AB12034">
        <v>0</v>
      </c>
      <c r="AC12034">
        <v>0</v>
      </c>
      <c r="AD12034">
        <v>0</v>
      </c>
      <c r="AE12034">
        <v>0</v>
      </c>
      <c r="AF12034">
        <v>0</v>
      </c>
      <c r="AG12034">
        <v>0</v>
      </c>
      <c r="AH12034">
        <v>0</v>
      </c>
      <c r="AI12034">
        <v>0</v>
      </c>
      <c r="AJ12034">
        <v>0</v>
      </c>
      <c r="AK12034">
        <v>0</v>
      </c>
      <c r="AL12034">
        <v>0</v>
      </c>
      <c r="AM12034">
        <v>0</v>
      </c>
      <c r="AN12034">
        <v>0</v>
      </c>
      <c r="AO12034">
        <v>0</v>
      </c>
      <c r="AP12034">
        <v>0</v>
      </c>
      <c r="AQ12034">
        <v>0</v>
      </c>
      <c r="AR12034">
        <v>0</v>
      </c>
      <c r="AS12034">
        <v>0</v>
      </c>
      <c r="AT12034">
        <v>0</v>
      </c>
      <c r="AU12034">
        <v>0</v>
      </c>
      <c r="AV12034">
        <v>0</v>
      </c>
      <c r="AW12034">
        <v>0</v>
      </c>
      <c r="AX12034">
        <v>0</v>
      </c>
      <c r="AY12034">
        <v>0</v>
      </c>
      <c r="AZ12034">
        <v>0</v>
      </c>
      <c r="BA12034">
        <v>0</v>
      </c>
      <c r="BB12034">
        <v>0</v>
      </c>
      <c r="BC12034">
        <v>0</v>
      </c>
      <c r="BD12034">
        <v>0</v>
      </c>
      <c r="BE12034">
        <v>0</v>
      </c>
      <c r="BF12034">
        <v>0</v>
      </c>
      <c r="BG12034">
        <v>0</v>
      </c>
      <c r="BH12034">
        <v>0</v>
      </c>
      <c r="BI12034">
        <v>0</v>
      </c>
      <c r="BJ12034">
        <v>0</v>
      </c>
      <c r="BK12034">
        <v>0</v>
      </c>
      <c r="BL12034">
        <v>0</v>
      </c>
      <c r="BM12034">
        <v>0</v>
      </c>
      <c r="BN12034">
        <v>0</v>
      </c>
      <c r="BO12034">
        <v>0</v>
      </c>
      <c r="BP12034">
        <v>0</v>
      </c>
      <c r="BQ12034">
        <v>0</v>
      </c>
      <c r="BR12034">
        <v>0</v>
      </c>
      <c r="BS12034">
        <v>0</v>
      </c>
      <c r="BT12034">
        <v>0</v>
      </c>
      <c r="BU12034">
        <v>0</v>
      </c>
      <c r="BV12034">
        <v>0</v>
      </c>
      <c r="BW12034">
        <v>0</v>
      </c>
      <c r="BX12034">
        <v>0</v>
      </c>
      <c r="BY12034">
        <v>0</v>
      </c>
      <c r="BZ12034">
        <v>0</v>
      </c>
    </row>
    <row r="12035" spans="1:78" x14ac:dyDescent="0.2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  <c r="H12035">
        <v>0</v>
      </c>
      <c r="I12035">
        <v>0</v>
      </c>
      <c r="J12035">
        <v>0</v>
      </c>
      <c r="K12035">
        <v>0</v>
      </c>
      <c r="L12035">
        <v>0</v>
      </c>
      <c r="M12035">
        <v>0</v>
      </c>
      <c r="N12035">
        <v>0</v>
      </c>
      <c r="O12035">
        <v>0</v>
      </c>
      <c r="P12035">
        <v>0</v>
      </c>
      <c r="Q12035">
        <v>0</v>
      </c>
      <c r="R12035">
        <v>0</v>
      </c>
      <c r="S12035">
        <v>0</v>
      </c>
      <c r="T12035">
        <v>0</v>
      </c>
      <c r="U12035">
        <v>0</v>
      </c>
      <c r="V12035">
        <v>0</v>
      </c>
      <c r="W12035">
        <v>0</v>
      </c>
      <c r="X12035">
        <v>0</v>
      </c>
      <c r="Y12035">
        <v>0</v>
      </c>
      <c r="Z12035">
        <v>0</v>
      </c>
      <c r="AA12035">
        <v>0</v>
      </c>
      <c r="AB12035">
        <v>0</v>
      </c>
      <c r="AC12035">
        <v>0</v>
      </c>
      <c r="AD12035">
        <v>0</v>
      </c>
      <c r="AE12035">
        <v>0</v>
      </c>
      <c r="AF12035">
        <v>0</v>
      </c>
      <c r="AG12035">
        <v>0</v>
      </c>
      <c r="AH12035">
        <v>0</v>
      </c>
      <c r="AI12035">
        <v>0</v>
      </c>
      <c r="AJ12035">
        <v>0</v>
      </c>
      <c r="AK12035">
        <v>0</v>
      </c>
      <c r="AL12035">
        <v>0</v>
      </c>
      <c r="AM12035">
        <v>0</v>
      </c>
      <c r="AN12035">
        <v>0</v>
      </c>
      <c r="AO12035">
        <v>0</v>
      </c>
      <c r="AP12035">
        <v>0</v>
      </c>
      <c r="AQ12035">
        <v>0</v>
      </c>
      <c r="AR12035">
        <v>0</v>
      </c>
      <c r="AS12035">
        <v>0</v>
      </c>
      <c r="AT12035">
        <v>0</v>
      </c>
      <c r="AU12035">
        <v>0</v>
      </c>
      <c r="AV12035">
        <v>0</v>
      </c>
      <c r="AW12035">
        <v>0</v>
      </c>
      <c r="AX12035">
        <v>0</v>
      </c>
      <c r="AY12035">
        <v>0</v>
      </c>
      <c r="AZ12035">
        <v>0</v>
      </c>
      <c r="BA12035">
        <v>0</v>
      </c>
      <c r="BB12035">
        <v>0</v>
      </c>
      <c r="BC12035">
        <v>0</v>
      </c>
      <c r="BD12035">
        <v>0</v>
      </c>
      <c r="BE12035">
        <v>0</v>
      </c>
      <c r="BF12035">
        <v>0</v>
      </c>
      <c r="BG12035">
        <v>0</v>
      </c>
      <c r="BH12035">
        <v>0</v>
      </c>
      <c r="BI12035">
        <v>0</v>
      </c>
      <c r="BJ12035">
        <v>0</v>
      </c>
      <c r="BK12035">
        <v>0</v>
      </c>
      <c r="BL12035">
        <v>0</v>
      </c>
      <c r="BM12035">
        <v>0</v>
      </c>
      <c r="BN12035">
        <v>0</v>
      </c>
      <c r="BO12035">
        <v>0</v>
      </c>
      <c r="BP12035">
        <v>0</v>
      </c>
      <c r="BQ12035">
        <v>0</v>
      </c>
      <c r="BR12035">
        <v>0</v>
      </c>
      <c r="BS12035">
        <v>0</v>
      </c>
      <c r="BT12035">
        <v>0</v>
      </c>
      <c r="BU12035">
        <v>0</v>
      </c>
      <c r="BV12035">
        <v>0</v>
      </c>
      <c r="BW12035">
        <v>0</v>
      </c>
      <c r="BX12035">
        <v>0</v>
      </c>
      <c r="BY12035">
        <v>0</v>
      </c>
      <c r="BZ12035">
        <v>0</v>
      </c>
    </row>
    <row r="12036" spans="1:78" x14ac:dyDescent="0.2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  <c r="H12036">
        <v>0</v>
      </c>
      <c r="I12036">
        <v>0</v>
      </c>
      <c r="J12036">
        <v>0</v>
      </c>
      <c r="K12036">
        <v>0</v>
      </c>
      <c r="L12036">
        <v>0</v>
      </c>
      <c r="M12036">
        <v>0</v>
      </c>
      <c r="N12036">
        <v>0</v>
      </c>
      <c r="O12036">
        <v>0</v>
      </c>
      <c r="P12036">
        <v>0</v>
      </c>
      <c r="Q12036">
        <v>0</v>
      </c>
      <c r="R12036">
        <v>0</v>
      </c>
      <c r="S12036">
        <v>0</v>
      </c>
      <c r="T12036">
        <v>0</v>
      </c>
      <c r="U12036">
        <v>0</v>
      </c>
      <c r="V12036">
        <v>0</v>
      </c>
      <c r="W12036">
        <v>0</v>
      </c>
      <c r="X12036">
        <v>0</v>
      </c>
      <c r="Y12036">
        <v>0</v>
      </c>
      <c r="Z12036">
        <v>0</v>
      </c>
      <c r="AA12036">
        <v>0</v>
      </c>
      <c r="AB12036">
        <v>0</v>
      </c>
      <c r="AC12036">
        <v>0</v>
      </c>
      <c r="AD12036">
        <v>0</v>
      </c>
      <c r="AE12036">
        <v>0</v>
      </c>
      <c r="AF12036">
        <v>0</v>
      </c>
      <c r="AG12036">
        <v>0</v>
      </c>
      <c r="AH12036">
        <v>0</v>
      </c>
      <c r="AI12036">
        <v>0</v>
      </c>
      <c r="AJ12036">
        <v>0</v>
      </c>
      <c r="AK12036">
        <v>0</v>
      </c>
      <c r="AL12036">
        <v>0</v>
      </c>
      <c r="AM12036">
        <v>0</v>
      </c>
      <c r="AN12036">
        <v>0</v>
      </c>
      <c r="AO12036">
        <v>0</v>
      </c>
      <c r="AP12036">
        <v>0</v>
      </c>
      <c r="AQ12036">
        <v>0</v>
      </c>
      <c r="AR12036">
        <v>0</v>
      </c>
      <c r="AS12036">
        <v>0</v>
      </c>
      <c r="AT12036">
        <v>0</v>
      </c>
      <c r="AU12036">
        <v>0</v>
      </c>
      <c r="AV12036">
        <v>0</v>
      </c>
      <c r="AW12036">
        <v>0</v>
      </c>
      <c r="AX12036">
        <v>0</v>
      </c>
      <c r="AY12036">
        <v>0</v>
      </c>
      <c r="AZ12036">
        <v>0</v>
      </c>
      <c r="BA12036">
        <v>0</v>
      </c>
      <c r="BB12036">
        <v>0</v>
      </c>
      <c r="BC12036">
        <v>0</v>
      </c>
      <c r="BD12036">
        <v>0</v>
      </c>
      <c r="BE12036">
        <v>0</v>
      </c>
      <c r="BF12036">
        <v>0</v>
      </c>
      <c r="BG12036">
        <v>0</v>
      </c>
      <c r="BH12036">
        <v>0</v>
      </c>
      <c r="BI12036">
        <v>0</v>
      </c>
      <c r="BJ12036">
        <v>0</v>
      </c>
      <c r="BK12036">
        <v>0</v>
      </c>
      <c r="BL12036">
        <v>0</v>
      </c>
      <c r="BM12036">
        <v>0</v>
      </c>
      <c r="BN12036">
        <v>0</v>
      </c>
      <c r="BO12036">
        <v>0</v>
      </c>
      <c r="BP12036">
        <v>0</v>
      </c>
      <c r="BQ12036">
        <v>0</v>
      </c>
      <c r="BR12036">
        <v>0</v>
      </c>
      <c r="BS12036">
        <v>0</v>
      </c>
      <c r="BT12036">
        <v>0</v>
      </c>
      <c r="BU12036">
        <v>0</v>
      </c>
      <c r="BV12036">
        <v>0</v>
      </c>
      <c r="BW12036">
        <v>0</v>
      </c>
      <c r="BX12036">
        <v>0</v>
      </c>
      <c r="BY12036">
        <v>0</v>
      </c>
      <c r="BZ12036">
        <v>0</v>
      </c>
    </row>
    <row r="12037" spans="1:78" x14ac:dyDescent="0.2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  <c r="H12037">
        <v>0</v>
      </c>
      <c r="I12037">
        <v>0</v>
      </c>
      <c r="J12037">
        <v>0</v>
      </c>
      <c r="K12037">
        <v>0</v>
      </c>
      <c r="L12037">
        <v>0</v>
      </c>
      <c r="M12037">
        <v>0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  <c r="V12037">
        <v>0</v>
      </c>
      <c r="W12037">
        <v>0</v>
      </c>
      <c r="X12037">
        <v>0</v>
      </c>
      <c r="Y12037">
        <v>0</v>
      </c>
      <c r="Z12037">
        <v>0</v>
      </c>
      <c r="AA12037">
        <v>0</v>
      </c>
      <c r="AB12037">
        <v>0</v>
      </c>
      <c r="AC12037">
        <v>0</v>
      </c>
      <c r="AD12037">
        <v>0</v>
      </c>
      <c r="AE12037">
        <v>0</v>
      </c>
      <c r="AF12037">
        <v>0</v>
      </c>
      <c r="AG12037">
        <v>0</v>
      </c>
      <c r="AH12037">
        <v>0</v>
      </c>
      <c r="AI12037">
        <v>0</v>
      </c>
      <c r="AJ12037">
        <v>0</v>
      </c>
      <c r="AK12037">
        <v>0</v>
      </c>
      <c r="AL12037">
        <v>0</v>
      </c>
      <c r="AM12037">
        <v>0</v>
      </c>
      <c r="AN12037">
        <v>0</v>
      </c>
      <c r="AO12037">
        <v>0</v>
      </c>
      <c r="AP12037">
        <v>0</v>
      </c>
      <c r="AQ12037">
        <v>0</v>
      </c>
      <c r="AR12037">
        <v>0</v>
      </c>
      <c r="AS12037">
        <v>0</v>
      </c>
      <c r="AT12037">
        <v>0</v>
      </c>
      <c r="AU12037">
        <v>0</v>
      </c>
      <c r="AV12037">
        <v>0</v>
      </c>
      <c r="AW12037">
        <v>0</v>
      </c>
      <c r="AX12037">
        <v>0</v>
      </c>
      <c r="AY12037">
        <v>0</v>
      </c>
      <c r="AZ12037">
        <v>0</v>
      </c>
      <c r="BA12037">
        <v>0</v>
      </c>
      <c r="BB12037">
        <v>0</v>
      </c>
      <c r="BC12037">
        <v>0</v>
      </c>
      <c r="BD12037">
        <v>0</v>
      </c>
      <c r="BE12037">
        <v>0</v>
      </c>
      <c r="BF12037">
        <v>0</v>
      </c>
      <c r="BG12037">
        <v>0</v>
      </c>
      <c r="BH12037">
        <v>0</v>
      </c>
      <c r="BI12037">
        <v>0</v>
      </c>
      <c r="BJ12037">
        <v>0</v>
      </c>
      <c r="BK12037">
        <v>0</v>
      </c>
      <c r="BL12037">
        <v>0</v>
      </c>
      <c r="BM12037">
        <v>0</v>
      </c>
      <c r="BN12037">
        <v>0</v>
      </c>
      <c r="BO12037">
        <v>0</v>
      </c>
      <c r="BP12037">
        <v>0</v>
      </c>
      <c r="BQ12037">
        <v>0</v>
      </c>
      <c r="BR12037">
        <v>0</v>
      </c>
      <c r="BS12037">
        <v>0</v>
      </c>
      <c r="BT12037">
        <v>0</v>
      </c>
      <c r="BU12037">
        <v>0</v>
      </c>
      <c r="BV12037">
        <v>0</v>
      </c>
      <c r="BW12037">
        <v>0</v>
      </c>
      <c r="BX12037">
        <v>0</v>
      </c>
      <c r="BY12037">
        <v>0</v>
      </c>
      <c r="BZ12037">
        <v>0</v>
      </c>
    </row>
    <row r="12038" spans="1:78" x14ac:dyDescent="0.2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  <c r="H12038">
        <v>0</v>
      </c>
      <c r="I12038">
        <v>0</v>
      </c>
      <c r="J12038">
        <v>0</v>
      </c>
      <c r="K12038">
        <v>0</v>
      </c>
      <c r="L12038">
        <v>0</v>
      </c>
      <c r="M12038">
        <v>0</v>
      </c>
      <c r="N12038">
        <v>0</v>
      </c>
      <c r="O12038">
        <v>0</v>
      </c>
      <c r="P12038">
        <v>0</v>
      </c>
      <c r="Q12038">
        <v>0</v>
      </c>
      <c r="R12038">
        <v>0</v>
      </c>
      <c r="S12038">
        <v>0</v>
      </c>
      <c r="T12038">
        <v>0</v>
      </c>
      <c r="U12038">
        <v>0</v>
      </c>
      <c r="V12038">
        <v>0</v>
      </c>
      <c r="W12038">
        <v>0</v>
      </c>
      <c r="X12038">
        <v>0</v>
      </c>
      <c r="Y12038">
        <v>0</v>
      </c>
      <c r="Z12038">
        <v>0</v>
      </c>
      <c r="AA12038">
        <v>0</v>
      </c>
      <c r="AB12038">
        <v>0</v>
      </c>
      <c r="AC12038">
        <v>0</v>
      </c>
      <c r="AD12038">
        <v>0</v>
      </c>
      <c r="AE12038">
        <v>0</v>
      </c>
      <c r="AF12038">
        <v>0</v>
      </c>
      <c r="AG12038">
        <v>0</v>
      </c>
      <c r="AH12038">
        <v>0</v>
      </c>
      <c r="AI12038">
        <v>0</v>
      </c>
      <c r="AJ12038">
        <v>0</v>
      </c>
      <c r="AK12038">
        <v>0</v>
      </c>
      <c r="AL12038">
        <v>0</v>
      </c>
      <c r="AM12038">
        <v>0</v>
      </c>
      <c r="AN12038">
        <v>0</v>
      </c>
      <c r="AO12038">
        <v>0</v>
      </c>
      <c r="AP12038">
        <v>0</v>
      </c>
      <c r="AQ12038">
        <v>0</v>
      </c>
      <c r="AR12038">
        <v>0</v>
      </c>
      <c r="AS12038">
        <v>0</v>
      </c>
      <c r="AT12038">
        <v>0</v>
      </c>
      <c r="AU12038">
        <v>0</v>
      </c>
      <c r="AV12038">
        <v>0</v>
      </c>
      <c r="AW12038">
        <v>0</v>
      </c>
      <c r="AX12038">
        <v>0</v>
      </c>
      <c r="AY12038">
        <v>0</v>
      </c>
      <c r="AZ12038">
        <v>0</v>
      </c>
      <c r="BA12038">
        <v>0</v>
      </c>
      <c r="BB12038">
        <v>0</v>
      </c>
      <c r="BC12038">
        <v>0</v>
      </c>
      <c r="BD12038">
        <v>0</v>
      </c>
      <c r="BE12038">
        <v>0</v>
      </c>
      <c r="BF12038">
        <v>0</v>
      </c>
      <c r="BG12038">
        <v>0</v>
      </c>
      <c r="BH12038">
        <v>0</v>
      </c>
      <c r="BI12038">
        <v>0</v>
      </c>
      <c r="BJ12038">
        <v>0</v>
      </c>
      <c r="BK12038">
        <v>0</v>
      </c>
      <c r="BL12038">
        <v>0</v>
      </c>
      <c r="BM12038">
        <v>0</v>
      </c>
      <c r="BN12038">
        <v>0</v>
      </c>
      <c r="BO12038">
        <v>0</v>
      </c>
      <c r="BP12038">
        <v>0</v>
      </c>
      <c r="BQ12038">
        <v>0</v>
      </c>
      <c r="BR12038">
        <v>0</v>
      </c>
      <c r="BS12038">
        <v>0</v>
      </c>
      <c r="BT12038">
        <v>0</v>
      </c>
      <c r="BU12038">
        <v>0</v>
      </c>
      <c r="BV12038">
        <v>0</v>
      </c>
      <c r="BW12038">
        <v>0</v>
      </c>
      <c r="BX12038">
        <v>0</v>
      </c>
      <c r="BY12038">
        <v>0</v>
      </c>
      <c r="BZ12038">
        <v>0</v>
      </c>
    </row>
    <row r="12039" spans="1:78" x14ac:dyDescent="0.2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  <c r="H12039">
        <v>0</v>
      </c>
      <c r="I12039">
        <v>0</v>
      </c>
      <c r="J12039">
        <v>0</v>
      </c>
      <c r="K12039">
        <v>0</v>
      </c>
      <c r="L12039">
        <v>0</v>
      </c>
      <c r="M12039">
        <v>0</v>
      </c>
      <c r="N12039">
        <v>0</v>
      </c>
      <c r="O12039">
        <v>0</v>
      </c>
      <c r="P12039">
        <v>0</v>
      </c>
      <c r="Q12039">
        <v>0</v>
      </c>
      <c r="R12039">
        <v>0</v>
      </c>
      <c r="S12039">
        <v>0</v>
      </c>
      <c r="T12039">
        <v>0</v>
      </c>
      <c r="U12039">
        <v>0</v>
      </c>
      <c r="V12039">
        <v>0</v>
      </c>
      <c r="W12039">
        <v>0</v>
      </c>
      <c r="X12039">
        <v>0</v>
      </c>
      <c r="Y12039">
        <v>0</v>
      </c>
      <c r="Z12039">
        <v>0</v>
      </c>
      <c r="AA12039">
        <v>0</v>
      </c>
      <c r="AB12039">
        <v>0</v>
      </c>
      <c r="AC12039">
        <v>0</v>
      </c>
      <c r="AD12039">
        <v>0</v>
      </c>
      <c r="AE12039">
        <v>0</v>
      </c>
      <c r="AF12039">
        <v>0</v>
      </c>
      <c r="AG12039">
        <v>0</v>
      </c>
      <c r="AH12039">
        <v>0</v>
      </c>
      <c r="AI12039">
        <v>0</v>
      </c>
      <c r="AJ12039">
        <v>0</v>
      </c>
      <c r="AK12039">
        <v>0</v>
      </c>
      <c r="AL12039">
        <v>0</v>
      </c>
      <c r="AM12039">
        <v>0</v>
      </c>
      <c r="AN12039">
        <v>0</v>
      </c>
      <c r="AO12039">
        <v>0</v>
      </c>
      <c r="AP12039">
        <v>0</v>
      </c>
      <c r="AQ12039">
        <v>0</v>
      </c>
      <c r="AR12039">
        <v>0</v>
      </c>
      <c r="AS12039">
        <v>0</v>
      </c>
      <c r="AT12039">
        <v>0</v>
      </c>
      <c r="AU12039">
        <v>0</v>
      </c>
      <c r="AV12039">
        <v>0</v>
      </c>
      <c r="AW12039">
        <v>0</v>
      </c>
      <c r="AX12039">
        <v>0</v>
      </c>
      <c r="AY12039">
        <v>0</v>
      </c>
      <c r="AZ12039">
        <v>0</v>
      </c>
      <c r="BA12039">
        <v>0</v>
      </c>
      <c r="BB12039">
        <v>0</v>
      </c>
      <c r="BC12039">
        <v>0</v>
      </c>
      <c r="BD12039">
        <v>0</v>
      </c>
      <c r="BE12039">
        <v>0</v>
      </c>
      <c r="BF12039">
        <v>0</v>
      </c>
      <c r="BG12039">
        <v>0</v>
      </c>
      <c r="BH12039">
        <v>0</v>
      </c>
      <c r="BI12039">
        <v>0</v>
      </c>
      <c r="BJ12039">
        <v>0</v>
      </c>
      <c r="BK12039">
        <v>0</v>
      </c>
      <c r="BL12039">
        <v>0</v>
      </c>
      <c r="BM12039">
        <v>0</v>
      </c>
      <c r="BN12039">
        <v>0</v>
      </c>
      <c r="BO12039">
        <v>0</v>
      </c>
      <c r="BP12039">
        <v>0</v>
      </c>
      <c r="BQ12039">
        <v>0</v>
      </c>
      <c r="BR12039">
        <v>0</v>
      </c>
      <c r="BS12039">
        <v>0</v>
      </c>
      <c r="BT12039">
        <v>0</v>
      </c>
      <c r="BU12039">
        <v>0</v>
      </c>
      <c r="BV12039">
        <v>0</v>
      </c>
      <c r="BW12039">
        <v>0</v>
      </c>
      <c r="BX12039">
        <v>0</v>
      </c>
      <c r="BY12039">
        <v>0</v>
      </c>
      <c r="BZ12039">
        <v>0</v>
      </c>
    </row>
    <row r="12040" spans="1:78" x14ac:dyDescent="0.2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  <c r="H12040">
        <v>0</v>
      </c>
      <c r="I12040">
        <v>0</v>
      </c>
      <c r="J12040">
        <v>0</v>
      </c>
      <c r="K12040">
        <v>0</v>
      </c>
      <c r="L12040">
        <v>0</v>
      </c>
      <c r="M12040">
        <v>0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  <c r="V12040">
        <v>0</v>
      </c>
      <c r="W12040">
        <v>0</v>
      </c>
      <c r="X12040">
        <v>0</v>
      </c>
      <c r="Y12040">
        <v>0</v>
      </c>
      <c r="Z12040">
        <v>0</v>
      </c>
      <c r="AA12040">
        <v>0</v>
      </c>
      <c r="AB12040">
        <v>0</v>
      </c>
      <c r="AC12040">
        <v>0</v>
      </c>
      <c r="AD12040">
        <v>0</v>
      </c>
      <c r="AE12040">
        <v>0</v>
      </c>
      <c r="AF12040">
        <v>0</v>
      </c>
      <c r="AG12040">
        <v>0</v>
      </c>
      <c r="AH12040">
        <v>0</v>
      </c>
      <c r="AI12040">
        <v>0</v>
      </c>
      <c r="AJ12040">
        <v>0</v>
      </c>
      <c r="AK12040">
        <v>0</v>
      </c>
      <c r="AL12040">
        <v>0</v>
      </c>
      <c r="AM12040">
        <v>0</v>
      </c>
      <c r="AN12040">
        <v>0</v>
      </c>
      <c r="AO12040">
        <v>0</v>
      </c>
      <c r="AP12040">
        <v>0</v>
      </c>
      <c r="AQ12040">
        <v>0</v>
      </c>
      <c r="AR12040">
        <v>0</v>
      </c>
      <c r="AS12040">
        <v>0</v>
      </c>
      <c r="AT12040">
        <v>0</v>
      </c>
      <c r="AU12040">
        <v>0</v>
      </c>
      <c r="AV12040">
        <v>0</v>
      </c>
      <c r="AW12040">
        <v>0</v>
      </c>
      <c r="AX12040">
        <v>0</v>
      </c>
      <c r="AY12040">
        <v>0</v>
      </c>
      <c r="AZ12040">
        <v>0</v>
      </c>
      <c r="BA12040">
        <v>0</v>
      </c>
      <c r="BB12040">
        <v>0</v>
      </c>
      <c r="BC12040">
        <v>0</v>
      </c>
      <c r="BD12040">
        <v>0</v>
      </c>
      <c r="BE12040">
        <v>0</v>
      </c>
      <c r="BF12040">
        <v>0</v>
      </c>
      <c r="BG12040">
        <v>0</v>
      </c>
      <c r="BH12040">
        <v>0</v>
      </c>
      <c r="BI12040">
        <v>0</v>
      </c>
      <c r="BJ12040">
        <v>0</v>
      </c>
      <c r="BK12040">
        <v>0</v>
      </c>
      <c r="BL12040">
        <v>0</v>
      </c>
      <c r="BM12040">
        <v>0</v>
      </c>
      <c r="BN12040">
        <v>0</v>
      </c>
      <c r="BO12040">
        <v>0</v>
      </c>
      <c r="BP12040">
        <v>0</v>
      </c>
      <c r="BQ12040">
        <v>0</v>
      </c>
      <c r="BR12040">
        <v>0</v>
      </c>
      <c r="BS12040">
        <v>0</v>
      </c>
      <c r="BT12040">
        <v>0</v>
      </c>
      <c r="BU12040">
        <v>0</v>
      </c>
      <c r="BV12040">
        <v>0</v>
      </c>
      <c r="BW12040">
        <v>0</v>
      </c>
      <c r="BX12040">
        <v>0</v>
      </c>
      <c r="BY12040">
        <v>0</v>
      </c>
      <c r="BZ12040">
        <v>0</v>
      </c>
    </row>
    <row r="12041" spans="1:78" x14ac:dyDescent="0.2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  <c r="H12041">
        <v>0</v>
      </c>
      <c r="I12041">
        <v>0</v>
      </c>
      <c r="J12041">
        <v>0</v>
      </c>
      <c r="K12041">
        <v>0</v>
      </c>
      <c r="L12041">
        <v>0</v>
      </c>
      <c r="M12041">
        <v>0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  <c r="V12041">
        <v>0</v>
      </c>
      <c r="W12041">
        <v>0</v>
      </c>
      <c r="X12041">
        <v>0</v>
      </c>
      <c r="Y12041">
        <v>0</v>
      </c>
      <c r="Z12041">
        <v>0</v>
      </c>
      <c r="AA12041">
        <v>0</v>
      </c>
      <c r="AB12041">
        <v>0</v>
      </c>
      <c r="AC12041">
        <v>0</v>
      </c>
      <c r="AD12041">
        <v>0</v>
      </c>
      <c r="AE12041">
        <v>0</v>
      </c>
      <c r="AF12041">
        <v>0</v>
      </c>
      <c r="AG12041">
        <v>0</v>
      </c>
      <c r="AH12041">
        <v>0</v>
      </c>
      <c r="AI12041">
        <v>0</v>
      </c>
      <c r="AJ12041">
        <v>0</v>
      </c>
      <c r="AK12041">
        <v>0</v>
      </c>
      <c r="AL12041">
        <v>0</v>
      </c>
      <c r="AM12041">
        <v>0</v>
      </c>
      <c r="AN12041">
        <v>0</v>
      </c>
      <c r="AO12041">
        <v>0</v>
      </c>
      <c r="AP12041">
        <v>0</v>
      </c>
      <c r="AQ12041">
        <v>0</v>
      </c>
      <c r="AR12041">
        <v>0</v>
      </c>
      <c r="AS12041">
        <v>0</v>
      </c>
      <c r="AT12041">
        <v>0</v>
      </c>
      <c r="AU12041">
        <v>0</v>
      </c>
      <c r="AV12041">
        <v>0</v>
      </c>
      <c r="AW12041">
        <v>0</v>
      </c>
      <c r="AX12041">
        <v>0</v>
      </c>
      <c r="AY12041">
        <v>0</v>
      </c>
      <c r="AZ12041">
        <v>0</v>
      </c>
      <c r="BA12041">
        <v>0</v>
      </c>
      <c r="BB12041">
        <v>0</v>
      </c>
      <c r="BC12041">
        <v>0</v>
      </c>
      <c r="BD12041">
        <v>0</v>
      </c>
      <c r="BE12041">
        <v>0</v>
      </c>
      <c r="BF12041">
        <v>0</v>
      </c>
      <c r="BG12041">
        <v>0</v>
      </c>
      <c r="BH12041">
        <v>0</v>
      </c>
      <c r="BI12041">
        <v>0</v>
      </c>
      <c r="BJ12041">
        <v>0</v>
      </c>
      <c r="BK12041">
        <v>0</v>
      </c>
      <c r="BL12041">
        <v>0</v>
      </c>
      <c r="BM12041">
        <v>0</v>
      </c>
      <c r="BN12041">
        <v>0</v>
      </c>
      <c r="BO12041">
        <v>0</v>
      </c>
      <c r="BP12041">
        <v>0</v>
      </c>
      <c r="BQ12041">
        <v>0</v>
      </c>
      <c r="BR12041">
        <v>0</v>
      </c>
      <c r="BS12041">
        <v>0</v>
      </c>
      <c r="BT12041">
        <v>0</v>
      </c>
      <c r="BU12041">
        <v>0</v>
      </c>
      <c r="BV12041">
        <v>0</v>
      </c>
      <c r="BW12041">
        <v>0</v>
      </c>
      <c r="BX12041">
        <v>0</v>
      </c>
      <c r="BY12041">
        <v>0</v>
      </c>
      <c r="BZ12041">
        <v>0</v>
      </c>
    </row>
    <row r="12042" spans="1:78" x14ac:dyDescent="0.2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  <c r="H12042">
        <v>0</v>
      </c>
      <c r="I12042">
        <v>0</v>
      </c>
      <c r="J12042">
        <v>0</v>
      </c>
      <c r="K12042">
        <v>0</v>
      </c>
      <c r="L12042">
        <v>0</v>
      </c>
      <c r="M12042">
        <v>0</v>
      </c>
      <c r="N12042">
        <v>0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  <c r="V12042">
        <v>0</v>
      </c>
      <c r="W12042">
        <v>0</v>
      </c>
      <c r="X12042">
        <v>0</v>
      </c>
      <c r="Y12042">
        <v>0</v>
      </c>
      <c r="Z12042">
        <v>0</v>
      </c>
      <c r="AA12042">
        <v>0</v>
      </c>
      <c r="AB12042">
        <v>0</v>
      </c>
      <c r="AC12042">
        <v>0</v>
      </c>
      <c r="AD12042">
        <v>0</v>
      </c>
      <c r="AE12042">
        <v>0</v>
      </c>
      <c r="AF12042">
        <v>0</v>
      </c>
      <c r="AG12042">
        <v>0</v>
      </c>
      <c r="AH12042">
        <v>0</v>
      </c>
      <c r="AI12042">
        <v>0</v>
      </c>
      <c r="AJ12042">
        <v>0</v>
      </c>
      <c r="AK12042">
        <v>0</v>
      </c>
      <c r="AL12042">
        <v>0</v>
      </c>
      <c r="AM12042">
        <v>0</v>
      </c>
      <c r="AN12042">
        <v>0</v>
      </c>
      <c r="AO12042">
        <v>0</v>
      </c>
      <c r="AP12042">
        <v>0</v>
      </c>
      <c r="AQ12042">
        <v>0</v>
      </c>
      <c r="AR12042">
        <v>0</v>
      </c>
      <c r="AS12042">
        <v>0</v>
      </c>
      <c r="AT12042">
        <v>0</v>
      </c>
      <c r="AU12042">
        <v>0</v>
      </c>
      <c r="AV12042">
        <v>0</v>
      </c>
      <c r="AW12042">
        <v>0</v>
      </c>
      <c r="AX12042">
        <v>0</v>
      </c>
      <c r="AY12042">
        <v>0</v>
      </c>
      <c r="AZ12042">
        <v>0</v>
      </c>
      <c r="BA12042">
        <v>0</v>
      </c>
      <c r="BB12042">
        <v>0</v>
      </c>
      <c r="BC12042">
        <v>0</v>
      </c>
      <c r="BD12042">
        <v>0</v>
      </c>
      <c r="BE12042">
        <v>0</v>
      </c>
      <c r="BF12042">
        <v>0</v>
      </c>
      <c r="BG12042">
        <v>0</v>
      </c>
      <c r="BH12042">
        <v>0</v>
      </c>
      <c r="BI12042">
        <v>0</v>
      </c>
      <c r="BJ12042">
        <v>0</v>
      </c>
      <c r="BK12042">
        <v>0</v>
      </c>
      <c r="BL12042">
        <v>0</v>
      </c>
      <c r="BM12042">
        <v>0</v>
      </c>
      <c r="BN12042">
        <v>0</v>
      </c>
      <c r="BO12042">
        <v>0</v>
      </c>
      <c r="BP12042">
        <v>0</v>
      </c>
      <c r="BQ12042">
        <v>0</v>
      </c>
      <c r="BR12042">
        <v>0</v>
      </c>
      <c r="BS12042">
        <v>0</v>
      </c>
      <c r="BT12042">
        <v>0</v>
      </c>
      <c r="BU12042">
        <v>0</v>
      </c>
      <c r="BV12042">
        <v>0</v>
      </c>
      <c r="BW12042">
        <v>0</v>
      </c>
      <c r="BX12042">
        <v>0</v>
      </c>
      <c r="BY12042">
        <v>0</v>
      </c>
      <c r="BZ12042">
        <v>0</v>
      </c>
    </row>
    <row r="12043" spans="1:78" x14ac:dyDescent="0.2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  <c r="H12043">
        <v>0</v>
      </c>
      <c r="I12043">
        <v>0</v>
      </c>
      <c r="J12043">
        <v>0</v>
      </c>
      <c r="K12043">
        <v>0</v>
      </c>
      <c r="L12043">
        <v>0</v>
      </c>
      <c r="M12043">
        <v>0</v>
      </c>
      <c r="N12043">
        <v>0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  <c r="V12043">
        <v>0</v>
      </c>
      <c r="W12043">
        <v>0</v>
      </c>
      <c r="X12043">
        <v>0</v>
      </c>
      <c r="Y12043">
        <v>0</v>
      </c>
      <c r="Z12043">
        <v>0</v>
      </c>
      <c r="AA12043">
        <v>0</v>
      </c>
      <c r="AB12043">
        <v>0</v>
      </c>
      <c r="AC12043">
        <v>0</v>
      </c>
      <c r="AD12043">
        <v>0</v>
      </c>
      <c r="AE12043">
        <v>0</v>
      </c>
      <c r="AF12043">
        <v>0</v>
      </c>
      <c r="AG12043">
        <v>0</v>
      </c>
      <c r="AH12043">
        <v>0</v>
      </c>
      <c r="AI12043">
        <v>0</v>
      </c>
      <c r="AJ12043">
        <v>0</v>
      </c>
      <c r="AK12043">
        <v>0</v>
      </c>
      <c r="AL12043">
        <v>0</v>
      </c>
      <c r="AM12043">
        <v>0</v>
      </c>
      <c r="AN12043">
        <v>0</v>
      </c>
      <c r="AO12043">
        <v>0</v>
      </c>
      <c r="AP12043">
        <v>0</v>
      </c>
      <c r="AQ12043">
        <v>0</v>
      </c>
      <c r="AR12043">
        <v>0</v>
      </c>
      <c r="AS12043">
        <v>0</v>
      </c>
      <c r="AT12043">
        <v>0</v>
      </c>
      <c r="AU12043">
        <v>0</v>
      </c>
      <c r="AV12043">
        <v>0</v>
      </c>
      <c r="AW12043">
        <v>0</v>
      </c>
      <c r="AX12043">
        <v>0</v>
      </c>
      <c r="AY12043">
        <v>0</v>
      </c>
      <c r="AZ12043">
        <v>0</v>
      </c>
      <c r="BA12043">
        <v>0</v>
      </c>
      <c r="BB12043">
        <v>0</v>
      </c>
      <c r="BC12043">
        <v>0</v>
      </c>
      <c r="BD12043">
        <v>0</v>
      </c>
      <c r="BE12043">
        <v>0</v>
      </c>
      <c r="BF12043">
        <v>0</v>
      </c>
      <c r="BG12043">
        <v>0</v>
      </c>
      <c r="BH12043">
        <v>0</v>
      </c>
      <c r="BI12043">
        <v>0</v>
      </c>
      <c r="BJ12043">
        <v>0</v>
      </c>
      <c r="BK12043">
        <v>0</v>
      </c>
      <c r="BL12043">
        <v>0</v>
      </c>
      <c r="BM12043">
        <v>0</v>
      </c>
      <c r="BN12043">
        <v>0</v>
      </c>
      <c r="BO12043">
        <v>0</v>
      </c>
      <c r="BP12043">
        <v>0</v>
      </c>
      <c r="BQ12043">
        <v>0</v>
      </c>
      <c r="BR12043">
        <v>0</v>
      </c>
      <c r="BS12043">
        <v>0</v>
      </c>
      <c r="BT12043">
        <v>0</v>
      </c>
      <c r="BU12043">
        <v>0</v>
      </c>
      <c r="BV12043">
        <v>0</v>
      </c>
      <c r="BW12043">
        <v>0</v>
      </c>
      <c r="BX12043">
        <v>0</v>
      </c>
      <c r="BY12043">
        <v>0</v>
      </c>
      <c r="BZ12043">
        <v>0</v>
      </c>
    </row>
    <row r="12044" spans="1:78" x14ac:dyDescent="0.2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  <c r="H12044">
        <v>0</v>
      </c>
      <c r="I12044">
        <v>0</v>
      </c>
      <c r="J12044">
        <v>0</v>
      </c>
      <c r="K12044">
        <v>0</v>
      </c>
      <c r="L12044">
        <v>0</v>
      </c>
      <c r="M12044">
        <v>0</v>
      </c>
      <c r="N12044">
        <v>0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  <c r="V12044">
        <v>0</v>
      </c>
      <c r="W12044">
        <v>0</v>
      </c>
      <c r="X12044">
        <v>0</v>
      </c>
      <c r="Y12044">
        <v>0</v>
      </c>
      <c r="Z12044">
        <v>0</v>
      </c>
      <c r="AA12044">
        <v>0</v>
      </c>
      <c r="AB12044">
        <v>0</v>
      </c>
      <c r="AC12044">
        <v>0</v>
      </c>
      <c r="AD12044">
        <v>0</v>
      </c>
      <c r="AE12044">
        <v>0</v>
      </c>
      <c r="AF12044">
        <v>0</v>
      </c>
      <c r="AG12044">
        <v>0</v>
      </c>
      <c r="AH12044">
        <v>0</v>
      </c>
      <c r="AI12044">
        <v>0</v>
      </c>
      <c r="AJ12044">
        <v>0</v>
      </c>
      <c r="AK12044">
        <v>0</v>
      </c>
      <c r="AL12044">
        <v>0</v>
      </c>
      <c r="AM12044">
        <v>0</v>
      </c>
      <c r="AN12044">
        <v>0</v>
      </c>
      <c r="AO12044">
        <v>0</v>
      </c>
      <c r="AP12044">
        <v>0</v>
      </c>
      <c r="AQ12044">
        <v>0</v>
      </c>
      <c r="AR12044">
        <v>0</v>
      </c>
      <c r="AS12044">
        <v>0</v>
      </c>
      <c r="AT12044">
        <v>0</v>
      </c>
      <c r="AU12044">
        <v>0</v>
      </c>
      <c r="AV12044">
        <v>0</v>
      </c>
      <c r="AW12044">
        <v>0</v>
      </c>
      <c r="AX12044">
        <v>0</v>
      </c>
      <c r="AY12044">
        <v>0</v>
      </c>
      <c r="AZ12044">
        <v>0</v>
      </c>
      <c r="BA12044">
        <v>0</v>
      </c>
      <c r="BB12044">
        <v>0</v>
      </c>
      <c r="BC12044">
        <v>0</v>
      </c>
      <c r="BD12044">
        <v>0</v>
      </c>
      <c r="BE12044">
        <v>0</v>
      </c>
      <c r="BF12044">
        <v>0</v>
      </c>
      <c r="BG12044">
        <v>0</v>
      </c>
      <c r="BH12044">
        <v>0</v>
      </c>
      <c r="BI12044">
        <v>0</v>
      </c>
      <c r="BJ12044">
        <v>0</v>
      </c>
      <c r="BK12044">
        <v>0</v>
      </c>
      <c r="BL12044">
        <v>0</v>
      </c>
      <c r="BM12044">
        <v>0</v>
      </c>
      <c r="BN12044">
        <v>0</v>
      </c>
      <c r="BO12044">
        <v>0</v>
      </c>
      <c r="BP12044">
        <v>0</v>
      </c>
      <c r="BQ12044">
        <v>0</v>
      </c>
      <c r="BR12044">
        <v>0</v>
      </c>
      <c r="BS12044">
        <v>0</v>
      </c>
      <c r="BT12044">
        <v>0</v>
      </c>
      <c r="BU12044">
        <v>0</v>
      </c>
      <c r="BV12044">
        <v>0</v>
      </c>
      <c r="BW12044">
        <v>0</v>
      </c>
      <c r="BX12044">
        <v>0</v>
      </c>
      <c r="BY12044">
        <v>0</v>
      </c>
      <c r="BZ12044">
        <v>0</v>
      </c>
    </row>
    <row r="12045" spans="1:78" x14ac:dyDescent="0.2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  <c r="H12045">
        <v>0</v>
      </c>
      <c r="I12045">
        <v>0</v>
      </c>
      <c r="J12045">
        <v>0</v>
      </c>
      <c r="K12045">
        <v>0</v>
      </c>
      <c r="L12045">
        <v>0</v>
      </c>
      <c r="M12045">
        <v>0</v>
      </c>
      <c r="N12045">
        <v>0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  <c r="V12045">
        <v>0</v>
      </c>
      <c r="W12045">
        <v>0</v>
      </c>
      <c r="X12045">
        <v>0</v>
      </c>
      <c r="Y12045">
        <v>0</v>
      </c>
      <c r="Z12045">
        <v>0</v>
      </c>
      <c r="AA12045">
        <v>0</v>
      </c>
      <c r="AB12045">
        <v>0</v>
      </c>
      <c r="AC12045">
        <v>0</v>
      </c>
      <c r="AD12045">
        <v>0</v>
      </c>
      <c r="AE12045">
        <v>0</v>
      </c>
      <c r="AF12045">
        <v>0</v>
      </c>
      <c r="AG12045">
        <v>0</v>
      </c>
      <c r="AH12045">
        <v>0</v>
      </c>
      <c r="AI12045">
        <v>0</v>
      </c>
      <c r="AJ12045">
        <v>0</v>
      </c>
      <c r="AK12045">
        <v>0</v>
      </c>
      <c r="AL12045">
        <v>0</v>
      </c>
      <c r="AM12045">
        <v>0</v>
      </c>
      <c r="AN12045">
        <v>0</v>
      </c>
      <c r="AO12045">
        <v>0</v>
      </c>
      <c r="AP12045">
        <v>0</v>
      </c>
      <c r="AQ12045">
        <v>0</v>
      </c>
      <c r="AR12045">
        <v>0</v>
      </c>
      <c r="AS12045">
        <v>0</v>
      </c>
      <c r="AT12045">
        <v>0</v>
      </c>
      <c r="AU12045">
        <v>0</v>
      </c>
      <c r="AV12045">
        <v>0</v>
      </c>
      <c r="AW12045">
        <v>0</v>
      </c>
      <c r="AX12045">
        <v>0</v>
      </c>
      <c r="AY12045">
        <v>0</v>
      </c>
      <c r="AZ12045">
        <v>0</v>
      </c>
      <c r="BA12045">
        <v>0</v>
      </c>
      <c r="BB12045">
        <v>0</v>
      </c>
      <c r="BC12045">
        <v>0</v>
      </c>
      <c r="BD12045">
        <v>0</v>
      </c>
      <c r="BE12045">
        <v>0</v>
      </c>
      <c r="BF12045">
        <v>0</v>
      </c>
      <c r="BG12045">
        <v>0</v>
      </c>
      <c r="BH12045">
        <v>0</v>
      </c>
      <c r="BI12045">
        <v>0</v>
      </c>
      <c r="BJ12045">
        <v>0</v>
      </c>
      <c r="BK12045">
        <v>0</v>
      </c>
      <c r="BL12045">
        <v>0</v>
      </c>
      <c r="BM12045">
        <v>0</v>
      </c>
      <c r="BN12045">
        <v>0</v>
      </c>
      <c r="BO12045">
        <v>0</v>
      </c>
      <c r="BP12045">
        <v>0</v>
      </c>
      <c r="BQ12045">
        <v>0</v>
      </c>
      <c r="BR12045">
        <v>0</v>
      </c>
      <c r="BS12045">
        <v>0</v>
      </c>
      <c r="BT12045">
        <v>0</v>
      </c>
      <c r="BU12045">
        <v>0</v>
      </c>
      <c r="BV12045">
        <v>0</v>
      </c>
      <c r="BW12045">
        <v>0</v>
      </c>
      <c r="BX12045">
        <v>0</v>
      </c>
      <c r="BY12045">
        <v>0</v>
      </c>
      <c r="BZ12045">
        <v>0</v>
      </c>
    </row>
    <row r="12046" spans="1:78" x14ac:dyDescent="0.2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  <c r="H12046">
        <v>0</v>
      </c>
      <c r="I12046">
        <v>0</v>
      </c>
      <c r="J12046">
        <v>0</v>
      </c>
      <c r="K12046">
        <v>0</v>
      </c>
      <c r="L12046">
        <v>0</v>
      </c>
      <c r="M12046">
        <v>0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  <c r="V12046">
        <v>0</v>
      </c>
      <c r="W12046">
        <v>0</v>
      </c>
      <c r="X12046">
        <v>0</v>
      </c>
      <c r="Y12046">
        <v>0</v>
      </c>
      <c r="Z12046">
        <v>0</v>
      </c>
      <c r="AA12046">
        <v>0</v>
      </c>
      <c r="AB12046">
        <v>0</v>
      </c>
      <c r="AC12046">
        <v>0</v>
      </c>
      <c r="AD12046">
        <v>0</v>
      </c>
      <c r="AE12046">
        <v>0</v>
      </c>
      <c r="AF12046">
        <v>0</v>
      </c>
      <c r="AG12046">
        <v>0</v>
      </c>
      <c r="AH12046">
        <v>0</v>
      </c>
      <c r="AI12046">
        <v>0</v>
      </c>
      <c r="AJ12046">
        <v>0</v>
      </c>
      <c r="AK12046">
        <v>0</v>
      </c>
      <c r="AL12046">
        <v>0</v>
      </c>
      <c r="AM12046">
        <v>0</v>
      </c>
      <c r="AN12046">
        <v>0</v>
      </c>
      <c r="AO12046">
        <v>0</v>
      </c>
      <c r="AP12046">
        <v>0</v>
      </c>
      <c r="AQ12046">
        <v>0</v>
      </c>
      <c r="AR12046">
        <v>0</v>
      </c>
      <c r="AS12046">
        <v>0</v>
      </c>
      <c r="AT12046">
        <v>0</v>
      </c>
      <c r="AU12046">
        <v>0</v>
      </c>
      <c r="AV12046">
        <v>0</v>
      </c>
      <c r="AW12046">
        <v>0</v>
      </c>
      <c r="AX12046">
        <v>0</v>
      </c>
      <c r="AY12046">
        <v>0</v>
      </c>
      <c r="AZ12046">
        <v>0</v>
      </c>
      <c r="BA12046">
        <v>0</v>
      </c>
      <c r="BB12046">
        <v>0</v>
      </c>
      <c r="BC12046">
        <v>0</v>
      </c>
      <c r="BD12046">
        <v>0</v>
      </c>
      <c r="BE12046">
        <v>0</v>
      </c>
      <c r="BF12046">
        <v>0</v>
      </c>
      <c r="BG12046">
        <v>0</v>
      </c>
      <c r="BH12046">
        <v>0</v>
      </c>
      <c r="BI12046">
        <v>0</v>
      </c>
      <c r="BJ12046">
        <v>0</v>
      </c>
      <c r="BK12046">
        <v>0</v>
      </c>
      <c r="BL12046">
        <v>0</v>
      </c>
      <c r="BM12046">
        <v>0</v>
      </c>
      <c r="BN12046">
        <v>0</v>
      </c>
      <c r="BO12046">
        <v>0</v>
      </c>
      <c r="BP12046">
        <v>0</v>
      </c>
      <c r="BQ12046">
        <v>0</v>
      </c>
      <c r="BR12046">
        <v>0</v>
      </c>
      <c r="BS12046">
        <v>0</v>
      </c>
      <c r="BT12046">
        <v>0</v>
      </c>
      <c r="BU12046">
        <v>0</v>
      </c>
      <c r="BV12046">
        <v>0</v>
      </c>
      <c r="BW12046">
        <v>0</v>
      </c>
      <c r="BX12046">
        <v>0</v>
      </c>
      <c r="BY12046">
        <v>0</v>
      </c>
      <c r="BZ12046">
        <v>0</v>
      </c>
    </row>
    <row r="12047" spans="1:78" x14ac:dyDescent="0.2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  <c r="H12047">
        <v>0</v>
      </c>
      <c r="I12047">
        <v>0</v>
      </c>
      <c r="J12047">
        <v>0</v>
      </c>
      <c r="K12047">
        <v>0</v>
      </c>
      <c r="L12047">
        <v>0</v>
      </c>
      <c r="M12047">
        <v>0</v>
      </c>
      <c r="N12047">
        <v>0</v>
      </c>
      <c r="O12047">
        <v>0</v>
      </c>
      <c r="P12047">
        <v>0</v>
      </c>
      <c r="Q12047">
        <v>0</v>
      </c>
      <c r="R12047">
        <v>0</v>
      </c>
      <c r="S12047">
        <v>0</v>
      </c>
      <c r="T12047">
        <v>0</v>
      </c>
      <c r="U12047">
        <v>0</v>
      </c>
      <c r="V12047">
        <v>0</v>
      </c>
      <c r="W12047">
        <v>0</v>
      </c>
      <c r="X12047">
        <v>0</v>
      </c>
      <c r="Y12047">
        <v>0</v>
      </c>
      <c r="Z12047">
        <v>0</v>
      </c>
      <c r="AA12047">
        <v>0</v>
      </c>
      <c r="AB12047">
        <v>0</v>
      </c>
      <c r="AC12047">
        <v>0</v>
      </c>
      <c r="AD12047">
        <v>0</v>
      </c>
      <c r="AE12047">
        <v>0</v>
      </c>
      <c r="AF12047">
        <v>0</v>
      </c>
      <c r="AG12047">
        <v>0</v>
      </c>
      <c r="AH12047">
        <v>0</v>
      </c>
      <c r="AI12047">
        <v>0</v>
      </c>
      <c r="AJ12047">
        <v>0</v>
      </c>
      <c r="AK12047">
        <v>0</v>
      </c>
      <c r="AL12047">
        <v>0</v>
      </c>
      <c r="AM12047">
        <v>0</v>
      </c>
      <c r="AN12047">
        <v>0</v>
      </c>
      <c r="AO12047">
        <v>0</v>
      </c>
      <c r="AP12047">
        <v>0</v>
      </c>
      <c r="AQ12047">
        <v>0</v>
      </c>
      <c r="AR12047">
        <v>0</v>
      </c>
      <c r="AS12047">
        <v>0</v>
      </c>
      <c r="AT12047">
        <v>0</v>
      </c>
      <c r="AU12047">
        <v>0</v>
      </c>
      <c r="AV12047">
        <v>0</v>
      </c>
      <c r="AW12047">
        <v>0</v>
      </c>
      <c r="AX12047">
        <v>0</v>
      </c>
      <c r="AY12047">
        <v>0</v>
      </c>
      <c r="AZ12047">
        <v>0</v>
      </c>
      <c r="BA12047">
        <v>0</v>
      </c>
      <c r="BB12047">
        <v>0</v>
      </c>
      <c r="BC12047">
        <v>0</v>
      </c>
      <c r="BD12047">
        <v>0</v>
      </c>
      <c r="BE12047">
        <v>0</v>
      </c>
      <c r="BF12047">
        <v>0</v>
      </c>
      <c r="BG12047">
        <v>0</v>
      </c>
      <c r="BH12047">
        <v>0</v>
      </c>
      <c r="BI12047">
        <v>0</v>
      </c>
      <c r="BJ12047">
        <v>0</v>
      </c>
      <c r="BK12047">
        <v>0</v>
      </c>
      <c r="BL12047">
        <v>0</v>
      </c>
      <c r="BM12047">
        <v>0</v>
      </c>
      <c r="BN12047">
        <v>0</v>
      </c>
      <c r="BO12047">
        <v>0</v>
      </c>
      <c r="BP12047">
        <v>0</v>
      </c>
      <c r="BQ12047">
        <v>0</v>
      </c>
      <c r="BR12047">
        <v>0</v>
      </c>
      <c r="BS12047">
        <v>0</v>
      </c>
      <c r="BT12047">
        <v>0</v>
      </c>
      <c r="BU12047">
        <v>0</v>
      </c>
      <c r="BV12047">
        <v>0</v>
      </c>
      <c r="BW12047">
        <v>0</v>
      </c>
      <c r="BX12047">
        <v>0</v>
      </c>
      <c r="BY12047">
        <v>0</v>
      </c>
      <c r="BZ12047">
        <v>0</v>
      </c>
    </row>
    <row r="12048" spans="1:78" x14ac:dyDescent="0.2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  <c r="H12048">
        <v>0</v>
      </c>
      <c r="I12048">
        <v>0</v>
      </c>
      <c r="J12048">
        <v>0</v>
      </c>
      <c r="K12048">
        <v>0</v>
      </c>
      <c r="L12048">
        <v>0</v>
      </c>
      <c r="M12048">
        <v>0</v>
      </c>
      <c r="N12048">
        <v>0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  <c r="V12048">
        <v>0</v>
      </c>
      <c r="W12048">
        <v>0</v>
      </c>
      <c r="X12048">
        <v>0</v>
      </c>
      <c r="Y12048">
        <v>0</v>
      </c>
      <c r="Z12048">
        <v>0</v>
      </c>
      <c r="AA12048">
        <v>0</v>
      </c>
      <c r="AB12048">
        <v>0</v>
      </c>
      <c r="AC12048">
        <v>0</v>
      </c>
      <c r="AD12048">
        <v>0</v>
      </c>
      <c r="AE12048">
        <v>0</v>
      </c>
      <c r="AF12048">
        <v>0</v>
      </c>
      <c r="AG12048">
        <v>0</v>
      </c>
      <c r="AH12048">
        <v>0</v>
      </c>
      <c r="AI12048">
        <v>0</v>
      </c>
      <c r="AJ12048">
        <v>0</v>
      </c>
      <c r="AK12048">
        <v>0</v>
      </c>
      <c r="AL12048">
        <v>0</v>
      </c>
      <c r="AM12048">
        <v>0</v>
      </c>
      <c r="AN12048">
        <v>0</v>
      </c>
      <c r="AO12048">
        <v>0</v>
      </c>
      <c r="AP12048">
        <v>0</v>
      </c>
      <c r="AQ12048">
        <v>0</v>
      </c>
      <c r="AR12048">
        <v>0</v>
      </c>
      <c r="AS12048">
        <v>0</v>
      </c>
      <c r="AT12048">
        <v>0</v>
      </c>
      <c r="AU12048">
        <v>0</v>
      </c>
      <c r="AV12048">
        <v>0</v>
      </c>
      <c r="AW12048">
        <v>0</v>
      </c>
      <c r="AX12048">
        <v>0</v>
      </c>
      <c r="AY12048">
        <v>0</v>
      </c>
      <c r="AZ12048">
        <v>0</v>
      </c>
      <c r="BA12048">
        <v>0</v>
      </c>
      <c r="BB12048">
        <v>0</v>
      </c>
      <c r="BC12048">
        <v>0</v>
      </c>
      <c r="BD12048">
        <v>0</v>
      </c>
      <c r="BE12048">
        <v>0</v>
      </c>
      <c r="BF12048">
        <v>0</v>
      </c>
      <c r="BG12048">
        <v>0</v>
      </c>
      <c r="BH12048">
        <v>0</v>
      </c>
      <c r="BI12048">
        <v>0</v>
      </c>
      <c r="BJ12048">
        <v>0</v>
      </c>
      <c r="BK12048">
        <v>0</v>
      </c>
      <c r="BL12048">
        <v>0</v>
      </c>
      <c r="BM12048">
        <v>0</v>
      </c>
      <c r="BN12048">
        <v>0</v>
      </c>
      <c r="BO12048">
        <v>0</v>
      </c>
      <c r="BP12048">
        <v>0</v>
      </c>
      <c r="BQ12048">
        <v>0</v>
      </c>
      <c r="BR12048">
        <v>0</v>
      </c>
      <c r="BS12048">
        <v>0</v>
      </c>
      <c r="BT12048">
        <v>0</v>
      </c>
      <c r="BU12048">
        <v>0</v>
      </c>
      <c r="BV12048">
        <v>0</v>
      </c>
      <c r="BW12048">
        <v>0</v>
      </c>
      <c r="BX12048">
        <v>0</v>
      </c>
      <c r="BY12048">
        <v>0</v>
      </c>
      <c r="BZ12048">
        <v>0</v>
      </c>
    </row>
    <row r="12049" spans="1:78" x14ac:dyDescent="0.2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  <c r="H12049">
        <v>0</v>
      </c>
      <c r="I12049">
        <v>0</v>
      </c>
      <c r="J12049">
        <v>0</v>
      </c>
      <c r="K12049">
        <v>0</v>
      </c>
      <c r="L12049">
        <v>0</v>
      </c>
      <c r="M12049">
        <v>0</v>
      </c>
      <c r="N12049">
        <v>0</v>
      </c>
      <c r="O12049">
        <v>0</v>
      </c>
      <c r="P12049">
        <v>0</v>
      </c>
      <c r="Q12049">
        <v>0</v>
      </c>
      <c r="R12049">
        <v>0</v>
      </c>
      <c r="S12049">
        <v>0</v>
      </c>
      <c r="T12049">
        <v>0</v>
      </c>
      <c r="U12049">
        <v>0</v>
      </c>
      <c r="V12049">
        <v>0</v>
      </c>
      <c r="W12049">
        <v>0</v>
      </c>
      <c r="X12049">
        <v>0</v>
      </c>
      <c r="Y12049">
        <v>0</v>
      </c>
      <c r="Z12049">
        <v>0</v>
      </c>
      <c r="AA12049">
        <v>0</v>
      </c>
      <c r="AB12049">
        <v>0</v>
      </c>
      <c r="AC12049">
        <v>0</v>
      </c>
      <c r="AD12049">
        <v>0</v>
      </c>
      <c r="AE12049">
        <v>0</v>
      </c>
      <c r="AF12049">
        <v>0</v>
      </c>
      <c r="AG12049">
        <v>0</v>
      </c>
      <c r="AH12049">
        <v>0</v>
      </c>
      <c r="AI12049">
        <v>0</v>
      </c>
      <c r="AJ12049">
        <v>0</v>
      </c>
      <c r="AK12049">
        <v>0</v>
      </c>
      <c r="AL12049">
        <v>0</v>
      </c>
      <c r="AM12049">
        <v>0</v>
      </c>
      <c r="AN12049">
        <v>0</v>
      </c>
      <c r="AO12049">
        <v>0</v>
      </c>
      <c r="AP12049">
        <v>0</v>
      </c>
      <c r="AQ12049">
        <v>0</v>
      </c>
      <c r="AR12049">
        <v>0</v>
      </c>
      <c r="AS12049">
        <v>0</v>
      </c>
      <c r="AT12049">
        <v>0</v>
      </c>
      <c r="AU12049">
        <v>0</v>
      </c>
      <c r="AV12049">
        <v>0</v>
      </c>
      <c r="AW12049">
        <v>0</v>
      </c>
      <c r="AX12049">
        <v>0</v>
      </c>
      <c r="AY12049">
        <v>0</v>
      </c>
      <c r="AZ12049">
        <v>0</v>
      </c>
      <c r="BA12049">
        <v>0</v>
      </c>
      <c r="BB12049">
        <v>0</v>
      </c>
      <c r="BC12049">
        <v>0</v>
      </c>
      <c r="BD12049">
        <v>0</v>
      </c>
      <c r="BE12049">
        <v>0</v>
      </c>
      <c r="BF12049">
        <v>0</v>
      </c>
      <c r="BG12049">
        <v>0</v>
      </c>
      <c r="BH12049">
        <v>0</v>
      </c>
      <c r="BI12049">
        <v>0</v>
      </c>
      <c r="BJ12049">
        <v>0</v>
      </c>
      <c r="BK12049">
        <v>0</v>
      </c>
      <c r="BL12049">
        <v>0</v>
      </c>
      <c r="BM12049">
        <v>0</v>
      </c>
      <c r="BN12049">
        <v>0</v>
      </c>
      <c r="BO12049">
        <v>0</v>
      </c>
      <c r="BP12049">
        <v>0</v>
      </c>
      <c r="BQ12049">
        <v>0</v>
      </c>
      <c r="BR12049">
        <v>0</v>
      </c>
      <c r="BS12049">
        <v>0</v>
      </c>
      <c r="BT12049">
        <v>0</v>
      </c>
      <c r="BU12049">
        <v>0</v>
      </c>
      <c r="BV12049">
        <v>0</v>
      </c>
      <c r="BW12049">
        <v>0</v>
      </c>
      <c r="BX12049">
        <v>0</v>
      </c>
      <c r="BY12049">
        <v>0</v>
      </c>
      <c r="BZ12049">
        <v>0</v>
      </c>
    </row>
    <row r="12050" spans="1:78" x14ac:dyDescent="0.2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  <c r="H12050">
        <v>0</v>
      </c>
      <c r="I12050">
        <v>0</v>
      </c>
      <c r="J12050">
        <v>0</v>
      </c>
      <c r="K12050">
        <v>0</v>
      </c>
      <c r="L12050">
        <v>0</v>
      </c>
      <c r="M12050">
        <v>0</v>
      </c>
      <c r="N12050">
        <v>0</v>
      </c>
      <c r="O12050">
        <v>0</v>
      </c>
      <c r="P12050">
        <v>0</v>
      </c>
      <c r="Q12050">
        <v>0</v>
      </c>
      <c r="R12050">
        <v>0</v>
      </c>
      <c r="S12050">
        <v>0</v>
      </c>
      <c r="T12050">
        <v>0</v>
      </c>
      <c r="U12050">
        <v>0</v>
      </c>
      <c r="V12050">
        <v>0</v>
      </c>
      <c r="W12050">
        <v>0</v>
      </c>
      <c r="X12050">
        <v>0</v>
      </c>
      <c r="Y12050">
        <v>0</v>
      </c>
      <c r="Z12050">
        <v>0</v>
      </c>
      <c r="AA12050">
        <v>0</v>
      </c>
      <c r="AB12050">
        <v>0</v>
      </c>
      <c r="AC12050">
        <v>0</v>
      </c>
      <c r="AD12050">
        <v>0</v>
      </c>
      <c r="AE12050">
        <v>0</v>
      </c>
      <c r="AF12050">
        <v>0</v>
      </c>
      <c r="AG12050">
        <v>0</v>
      </c>
      <c r="AH12050">
        <v>0</v>
      </c>
      <c r="AI12050">
        <v>0</v>
      </c>
      <c r="AJ12050">
        <v>0</v>
      </c>
      <c r="AK12050">
        <v>0</v>
      </c>
      <c r="AL12050">
        <v>0</v>
      </c>
      <c r="AM12050">
        <v>0</v>
      </c>
      <c r="AN12050">
        <v>0</v>
      </c>
      <c r="AO12050">
        <v>0</v>
      </c>
      <c r="AP12050">
        <v>0</v>
      </c>
      <c r="AQ12050">
        <v>0</v>
      </c>
      <c r="AR12050">
        <v>0</v>
      </c>
      <c r="AS12050">
        <v>0</v>
      </c>
      <c r="AT12050">
        <v>0</v>
      </c>
      <c r="AU12050">
        <v>0</v>
      </c>
      <c r="AV12050">
        <v>0</v>
      </c>
      <c r="AW12050">
        <v>0</v>
      </c>
      <c r="AX12050">
        <v>0</v>
      </c>
      <c r="AY12050">
        <v>0</v>
      </c>
      <c r="AZ12050">
        <v>0</v>
      </c>
      <c r="BA12050">
        <v>0</v>
      </c>
      <c r="BB12050">
        <v>0</v>
      </c>
      <c r="BC12050">
        <v>0</v>
      </c>
      <c r="BD12050">
        <v>0</v>
      </c>
      <c r="BE12050">
        <v>0</v>
      </c>
      <c r="BF12050">
        <v>0</v>
      </c>
      <c r="BG12050">
        <v>0</v>
      </c>
      <c r="BH12050">
        <v>0</v>
      </c>
      <c r="BI12050">
        <v>0</v>
      </c>
      <c r="BJ12050">
        <v>0</v>
      </c>
      <c r="BK12050">
        <v>0</v>
      </c>
      <c r="BL12050">
        <v>0</v>
      </c>
      <c r="BM12050">
        <v>0</v>
      </c>
      <c r="BN12050">
        <v>0</v>
      </c>
      <c r="BO12050">
        <v>0</v>
      </c>
      <c r="BP12050">
        <v>0</v>
      </c>
      <c r="BQ12050">
        <v>0</v>
      </c>
      <c r="BR12050">
        <v>0</v>
      </c>
      <c r="BS12050">
        <v>0</v>
      </c>
      <c r="BT12050">
        <v>0</v>
      </c>
      <c r="BU12050">
        <v>0</v>
      </c>
      <c r="BV12050">
        <v>0</v>
      </c>
      <c r="BW12050">
        <v>0</v>
      </c>
      <c r="BX12050">
        <v>0</v>
      </c>
      <c r="BY12050">
        <v>0</v>
      </c>
      <c r="BZ12050">
        <v>0</v>
      </c>
    </row>
    <row r="12051" spans="1:78" x14ac:dyDescent="0.2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  <c r="H12051">
        <v>0</v>
      </c>
      <c r="I12051">
        <v>0</v>
      </c>
      <c r="J12051">
        <v>0</v>
      </c>
      <c r="K12051">
        <v>0</v>
      </c>
      <c r="L12051">
        <v>0</v>
      </c>
      <c r="M12051">
        <v>0</v>
      </c>
      <c r="N12051">
        <v>0</v>
      </c>
      <c r="O12051">
        <v>0</v>
      </c>
      <c r="P12051">
        <v>0</v>
      </c>
      <c r="Q12051">
        <v>0</v>
      </c>
      <c r="R12051">
        <v>0</v>
      </c>
      <c r="S12051">
        <v>0</v>
      </c>
      <c r="T12051">
        <v>0</v>
      </c>
      <c r="U12051">
        <v>0</v>
      </c>
      <c r="V12051">
        <v>0</v>
      </c>
      <c r="W12051">
        <v>0</v>
      </c>
      <c r="X12051">
        <v>0</v>
      </c>
      <c r="Y12051">
        <v>0</v>
      </c>
      <c r="Z12051">
        <v>0</v>
      </c>
      <c r="AA12051">
        <v>0</v>
      </c>
      <c r="AB12051">
        <v>0</v>
      </c>
      <c r="AC12051">
        <v>0</v>
      </c>
      <c r="AD12051">
        <v>0</v>
      </c>
      <c r="AE12051">
        <v>0</v>
      </c>
      <c r="AF12051">
        <v>0</v>
      </c>
      <c r="AG12051">
        <v>0</v>
      </c>
      <c r="AH12051">
        <v>0</v>
      </c>
      <c r="AI12051">
        <v>0</v>
      </c>
      <c r="AJ12051">
        <v>0</v>
      </c>
      <c r="AK12051">
        <v>0</v>
      </c>
      <c r="AL12051">
        <v>0</v>
      </c>
      <c r="AM12051">
        <v>0</v>
      </c>
      <c r="AN12051">
        <v>0</v>
      </c>
      <c r="AO12051">
        <v>0</v>
      </c>
      <c r="AP12051">
        <v>0</v>
      </c>
      <c r="AQ12051">
        <v>0</v>
      </c>
      <c r="AR12051">
        <v>0</v>
      </c>
      <c r="AS12051">
        <v>0</v>
      </c>
      <c r="AT12051">
        <v>0</v>
      </c>
      <c r="AU12051">
        <v>0</v>
      </c>
      <c r="AV12051">
        <v>0</v>
      </c>
      <c r="AW12051">
        <v>0</v>
      </c>
      <c r="AX12051">
        <v>0</v>
      </c>
      <c r="AY12051">
        <v>0</v>
      </c>
      <c r="AZ12051">
        <v>0</v>
      </c>
      <c r="BA12051">
        <v>0</v>
      </c>
      <c r="BB12051">
        <v>0</v>
      </c>
      <c r="BC12051">
        <v>0</v>
      </c>
      <c r="BD12051">
        <v>0</v>
      </c>
      <c r="BE12051">
        <v>0</v>
      </c>
      <c r="BF12051">
        <v>0</v>
      </c>
      <c r="BG12051">
        <v>0</v>
      </c>
      <c r="BH12051">
        <v>0</v>
      </c>
      <c r="BI12051">
        <v>0</v>
      </c>
      <c r="BJ12051">
        <v>0</v>
      </c>
      <c r="BK12051">
        <v>0</v>
      </c>
      <c r="BL12051">
        <v>0</v>
      </c>
      <c r="BM12051">
        <v>0</v>
      </c>
      <c r="BN12051">
        <v>0</v>
      </c>
      <c r="BO12051">
        <v>0</v>
      </c>
      <c r="BP12051">
        <v>0</v>
      </c>
      <c r="BQ12051">
        <v>0</v>
      </c>
      <c r="BR12051">
        <v>0</v>
      </c>
      <c r="BS12051">
        <v>0</v>
      </c>
      <c r="BT12051">
        <v>0</v>
      </c>
      <c r="BU12051">
        <v>0</v>
      </c>
      <c r="BV12051">
        <v>0</v>
      </c>
      <c r="BW12051">
        <v>0</v>
      </c>
      <c r="BX12051">
        <v>0</v>
      </c>
      <c r="BY12051">
        <v>0</v>
      </c>
      <c r="BZ12051">
        <v>0</v>
      </c>
    </row>
    <row r="12052" spans="1:78" x14ac:dyDescent="0.2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  <c r="H12052">
        <v>0</v>
      </c>
      <c r="I12052">
        <v>0</v>
      </c>
      <c r="J12052">
        <v>0</v>
      </c>
      <c r="K12052">
        <v>0</v>
      </c>
      <c r="L12052">
        <v>0</v>
      </c>
      <c r="M12052">
        <v>0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0</v>
      </c>
      <c r="V12052">
        <v>0</v>
      </c>
      <c r="W12052">
        <v>0</v>
      </c>
      <c r="X12052">
        <v>0</v>
      </c>
      <c r="Y12052">
        <v>0</v>
      </c>
      <c r="Z12052">
        <v>0</v>
      </c>
      <c r="AA12052">
        <v>0</v>
      </c>
      <c r="AB12052">
        <v>0</v>
      </c>
      <c r="AC12052">
        <v>0</v>
      </c>
      <c r="AD12052">
        <v>0</v>
      </c>
      <c r="AE12052">
        <v>0</v>
      </c>
      <c r="AF12052">
        <v>0</v>
      </c>
      <c r="AG12052">
        <v>0</v>
      </c>
      <c r="AH12052">
        <v>0</v>
      </c>
      <c r="AI12052">
        <v>0</v>
      </c>
      <c r="AJ12052">
        <v>0</v>
      </c>
      <c r="AK12052">
        <v>0</v>
      </c>
      <c r="AL12052">
        <v>0</v>
      </c>
      <c r="AM12052">
        <v>0</v>
      </c>
      <c r="AN12052">
        <v>0</v>
      </c>
      <c r="AO12052">
        <v>0</v>
      </c>
      <c r="AP12052">
        <v>0</v>
      </c>
      <c r="AQ12052">
        <v>0</v>
      </c>
      <c r="AR12052">
        <v>0</v>
      </c>
      <c r="AS12052">
        <v>0</v>
      </c>
      <c r="AT12052">
        <v>0</v>
      </c>
      <c r="AU12052">
        <v>0</v>
      </c>
      <c r="AV12052">
        <v>0</v>
      </c>
      <c r="AW12052">
        <v>0</v>
      </c>
      <c r="AX12052">
        <v>0</v>
      </c>
      <c r="AY12052">
        <v>0</v>
      </c>
      <c r="AZ12052">
        <v>0</v>
      </c>
      <c r="BA12052">
        <v>0</v>
      </c>
      <c r="BB12052">
        <v>0</v>
      </c>
      <c r="BC12052">
        <v>0</v>
      </c>
      <c r="BD12052">
        <v>0</v>
      </c>
      <c r="BE12052">
        <v>0</v>
      </c>
      <c r="BF12052">
        <v>0</v>
      </c>
      <c r="BG12052">
        <v>0</v>
      </c>
      <c r="BH12052">
        <v>0</v>
      </c>
      <c r="BI12052">
        <v>0</v>
      </c>
      <c r="BJ12052">
        <v>0</v>
      </c>
      <c r="BK12052">
        <v>0</v>
      </c>
      <c r="BL12052">
        <v>0</v>
      </c>
      <c r="BM12052">
        <v>0</v>
      </c>
      <c r="BN12052">
        <v>0</v>
      </c>
      <c r="BO12052">
        <v>0</v>
      </c>
      <c r="BP12052">
        <v>0</v>
      </c>
      <c r="BQ12052">
        <v>0</v>
      </c>
      <c r="BR12052">
        <v>0</v>
      </c>
      <c r="BS12052">
        <v>0</v>
      </c>
      <c r="BT12052">
        <v>0</v>
      </c>
      <c r="BU12052">
        <v>0</v>
      </c>
      <c r="BV12052">
        <v>0</v>
      </c>
      <c r="BW12052">
        <v>0</v>
      </c>
      <c r="BX12052">
        <v>0</v>
      </c>
      <c r="BY12052">
        <v>0</v>
      </c>
      <c r="BZ12052">
        <v>0</v>
      </c>
    </row>
    <row r="12053" spans="1:78" x14ac:dyDescent="0.2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  <c r="H12053">
        <v>0</v>
      </c>
      <c r="I12053">
        <v>0</v>
      </c>
      <c r="J12053">
        <v>0</v>
      </c>
      <c r="K12053">
        <v>0</v>
      </c>
      <c r="L12053">
        <v>0</v>
      </c>
      <c r="M12053">
        <v>0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0</v>
      </c>
      <c r="V12053">
        <v>0</v>
      </c>
      <c r="W12053">
        <v>0</v>
      </c>
      <c r="X12053">
        <v>0</v>
      </c>
      <c r="Y12053">
        <v>0</v>
      </c>
      <c r="Z12053">
        <v>0</v>
      </c>
      <c r="AA12053">
        <v>0</v>
      </c>
      <c r="AB12053">
        <v>0</v>
      </c>
      <c r="AC12053">
        <v>0</v>
      </c>
      <c r="AD12053">
        <v>0</v>
      </c>
      <c r="AE12053">
        <v>0</v>
      </c>
      <c r="AF12053">
        <v>0</v>
      </c>
      <c r="AG12053">
        <v>0</v>
      </c>
      <c r="AH12053">
        <v>0</v>
      </c>
      <c r="AI12053">
        <v>0</v>
      </c>
      <c r="AJ12053">
        <v>0</v>
      </c>
      <c r="AK12053">
        <v>0</v>
      </c>
      <c r="AL12053">
        <v>0</v>
      </c>
      <c r="AM12053">
        <v>0</v>
      </c>
      <c r="AN12053">
        <v>0</v>
      </c>
      <c r="AO12053">
        <v>0</v>
      </c>
      <c r="AP12053">
        <v>0</v>
      </c>
      <c r="AQ12053">
        <v>0</v>
      </c>
      <c r="AR12053">
        <v>0</v>
      </c>
      <c r="AS12053">
        <v>0</v>
      </c>
      <c r="AT12053">
        <v>0</v>
      </c>
      <c r="AU12053">
        <v>0</v>
      </c>
      <c r="AV12053">
        <v>0</v>
      </c>
      <c r="AW12053">
        <v>0</v>
      </c>
      <c r="AX12053">
        <v>0</v>
      </c>
      <c r="AY12053">
        <v>0</v>
      </c>
      <c r="AZ12053">
        <v>0</v>
      </c>
      <c r="BA12053">
        <v>0</v>
      </c>
      <c r="BB12053">
        <v>0</v>
      </c>
      <c r="BC12053">
        <v>0</v>
      </c>
      <c r="BD12053">
        <v>0</v>
      </c>
      <c r="BE12053">
        <v>0</v>
      </c>
      <c r="BF12053">
        <v>0</v>
      </c>
      <c r="BG12053">
        <v>0</v>
      </c>
      <c r="BH12053">
        <v>0</v>
      </c>
      <c r="BI12053">
        <v>0</v>
      </c>
      <c r="BJ12053">
        <v>0</v>
      </c>
      <c r="BK12053">
        <v>0</v>
      </c>
      <c r="BL12053">
        <v>0</v>
      </c>
      <c r="BM12053">
        <v>0</v>
      </c>
      <c r="BN12053">
        <v>0</v>
      </c>
      <c r="BO12053">
        <v>0</v>
      </c>
      <c r="BP12053">
        <v>0</v>
      </c>
      <c r="BQ12053">
        <v>0</v>
      </c>
      <c r="BR12053">
        <v>0</v>
      </c>
      <c r="BS12053">
        <v>0</v>
      </c>
      <c r="BT12053">
        <v>0</v>
      </c>
      <c r="BU12053">
        <v>0</v>
      </c>
      <c r="BV12053">
        <v>0</v>
      </c>
      <c r="BW12053">
        <v>0</v>
      </c>
      <c r="BX12053">
        <v>0</v>
      </c>
      <c r="BY12053">
        <v>0</v>
      </c>
      <c r="BZ12053">
        <v>0</v>
      </c>
    </row>
    <row r="12054" spans="1:78" x14ac:dyDescent="0.2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  <c r="H12054">
        <v>0</v>
      </c>
      <c r="I12054">
        <v>0</v>
      </c>
      <c r="J12054">
        <v>0</v>
      </c>
      <c r="K12054">
        <v>0</v>
      </c>
      <c r="L12054">
        <v>0</v>
      </c>
      <c r="M12054">
        <v>0</v>
      </c>
      <c r="N12054">
        <v>0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  <c r="V12054">
        <v>0</v>
      </c>
      <c r="W12054">
        <v>0</v>
      </c>
      <c r="X12054">
        <v>0</v>
      </c>
      <c r="Y12054">
        <v>0</v>
      </c>
      <c r="Z12054">
        <v>0</v>
      </c>
      <c r="AA12054">
        <v>0</v>
      </c>
      <c r="AB12054">
        <v>0</v>
      </c>
      <c r="AC12054">
        <v>0</v>
      </c>
      <c r="AD12054">
        <v>0</v>
      </c>
      <c r="AE12054">
        <v>0</v>
      </c>
      <c r="AF12054">
        <v>0</v>
      </c>
      <c r="AG12054">
        <v>0</v>
      </c>
      <c r="AH12054">
        <v>0</v>
      </c>
      <c r="AI12054">
        <v>0</v>
      </c>
      <c r="AJ12054">
        <v>0</v>
      </c>
      <c r="AK12054">
        <v>0</v>
      </c>
      <c r="AL12054">
        <v>0</v>
      </c>
      <c r="AM12054">
        <v>0</v>
      </c>
      <c r="AN12054">
        <v>0</v>
      </c>
      <c r="AO12054">
        <v>0</v>
      </c>
      <c r="AP12054">
        <v>0</v>
      </c>
      <c r="AQ12054">
        <v>0</v>
      </c>
      <c r="AR12054">
        <v>0</v>
      </c>
      <c r="AS12054">
        <v>0</v>
      </c>
      <c r="AT12054">
        <v>0</v>
      </c>
      <c r="AU12054">
        <v>0</v>
      </c>
      <c r="AV12054">
        <v>0</v>
      </c>
      <c r="AW12054">
        <v>0</v>
      </c>
      <c r="AX12054">
        <v>0</v>
      </c>
      <c r="AY12054">
        <v>0</v>
      </c>
      <c r="AZ12054">
        <v>0</v>
      </c>
      <c r="BA12054">
        <v>0</v>
      </c>
      <c r="BB12054">
        <v>0</v>
      </c>
      <c r="BC12054">
        <v>0</v>
      </c>
      <c r="BD12054">
        <v>0</v>
      </c>
      <c r="BE12054">
        <v>0</v>
      </c>
      <c r="BF12054">
        <v>0</v>
      </c>
      <c r="BG12054">
        <v>0</v>
      </c>
      <c r="BH12054">
        <v>0</v>
      </c>
      <c r="BI12054">
        <v>0</v>
      </c>
      <c r="BJ12054">
        <v>0</v>
      </c>
      <c r="BK12054">
        <v>0</v>
      </c>
      <c r="BL12054">
        <v>0</v>
      </c>
      <c r="BM12054">
        <v>0</v>
      </c>
      <c r="BN12054">
        <v>0</v>
      </c>
      <c r="BO12054">
        <v>0</v>
      </c>
      <c r="BP12054">
        <v>0</v>
      </c>
      <c r="BQ12054">
        <v>0</v>
      </c>
      <c r="BR12054">
        <v>0</v>
      </c>
      <c r="BS12054">
        <v>0</v>
      </c>
      <c r="BT12054">
        <v>0</v>
      </c>
      <c r="BU12054">
        <v>0</v>
      </c>
      <c r="BV12054">
        <v>0</v>
      </c>
      <c r="BW12054">
        <v>0</v>
      </c>
      <c r="BX12054">
        <v>0</v>
      </c>
      <c r="BY12054">
        <v>0</v>
      </c>
      <c r="BZ120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3"/>
  <dimension ref="A1:CE50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F1" sqref="F1:CE50"/>
    </sheetView>
  </sheetViews>
  <sheetFormatPr defaultRowHeight="12.75" x14ac:dyDescent="0.2"/>
  <cols>
    <col min="1" max="1" width="11.28515625" customWidth="1"/>
    <col min="3" max="3" width="9.140625" customWidth="1"/>
  </cols>
  <sheetData>
    <row r="1" spans="1:83" x14ac:dyDescent="0.2">
      <c r="F1">
        <v>1</v>
      </c>
      <c r="G1">
        <v>2</v>
      </c>
      <c r="H1">
        <v>3</v>
      </c>
      <c r="I1">
        <v>5</v>
      </c>
      <c r="J1">
        <v>6</v>
      </c>
      <c r="K1">
        <v>7</v>
      </c>
      <c r="L1">
        <v>34</v>
      </c>
      <c r="M1">
        <v>35</v>
      </c>
      <c r="N1">
        <v>36</v>
      </c>
      <c r="O1">
        <v>37</v>
      </c>
      <c r="P1">
        <v>38</v>
      </c>
      <c r="Q1">
        <v>39</v>
      </c>
      <c r="R1">
        <v>40</v>
      </c>
      <c r="S1">
        <v>41</v>
      </c>
      <c r="T1">
        <v>42</v>
      </c>
      <c r="U1">
        <v>43</v>
      </c>
      <c r="V1">
        <v>44</v>
      </c>
      <c r="W1">
        <v>45</v>
      </c>
      <c r="X1">
        <v>46</v>
      </c>
      <c r="Y1">
        <v>47</v>
      </c>
      <c r="Z1">
        <v>58</v>
      </c>
      <c r="AA1">
        <v>60</v>
      </c>
      <c r="AB1">
        <v>61</v>
      </c>
      <c r="AC1">
        <v>62</v>
      </c>
      <c r="AD1">
        <v>63</v>
      </c>
      <c r="AE1">
        <v>64</v>
      </c>
      <c r="AF1">
        <v>65</v>
      </c>
      <c r="AG1">
        <v>66</v>
      </c>
      <c r="AH1">
        <v>69</v>
      </c>
      <c r="AI1">
        <v>70</v>
      </c>
      <c r="AJ1">
        <v>71</v>
      </c>
      <c r="AK1">
        <v>72</v>
      </c>
      <c r="AL1">
        <v>73</v>
      </c>
      <c r="AM1">
        <v>81</v>
      </c>
      <c r="AN1">
        <v>88</v>
      </c>
      <c r="AO1">
        <v>89</v>
      </c>
      <c r="AP1">
        <v>90</v>
      </c>
      <c r="AQ1">
        <v>91</v>
      </c>
      <c r="AR1">
        <v>92</v>
      </c>
      <c r="AS1">
        <v>93</v>
      </c>
      <c r="AT1">
        <v>94</v>
      </c>
      <c r="AU1">
        <v>95</v>
      </c>
      <c r="AV1">
        <v>112</v>
      </c>
      <c r="AW1">
        <v>113</v>
      </c>
      <c r="AX1">
        <v>115</v>
      </c>
      <c r="AY1">
        <v>120</v>
      </c>
      <c r="AZ1">
        <v>121</v>
      </c>
      <c r="BA1">
        <v>122</v>
      </c>
      <c r="BB1">
        <v>124</v>
      </c>
      <c r="BC1">
        <v>125</v>
      </c>
      <c r="BD1">
        <v>127</v>
      </c>
      <c r="BE1">
        <v>128</v>
      </c>
      <c r="BF1">
        <v>129</v>
      </c>
      <c r="BG1">
        <v>130</v>
      </c>
      <c r="BH1">
        <v>131</v>
      </c>
      <c r="BI1">
        <v>132</v>
      </c>
      <c r="BJ1">
        <v>133</v>
      </c>
      <c r="BK1">
        <v>134</v>
      </c>
      <c r="BL1">
        <v>141</v>
      </c>
      <c r="BM1">
        <v>142</v>
      </c>
      <c r="BN1">
        <v>144</v>
      </c>
      <c r="BO1">
        <v>149</v>
      </c>
      <c r="BP1">
        <v>150</v>
      </c>
      <c r="BQ1">
        <v>151</v>
      </c>
      <c r="BR1">
        <v>152</v>
      </c>
      <c r="BS1">
        <v>153</v>
      </c>
      <c r="BT1">
        <v>155</v>
      </c>
      <c r="BU1">
        <v>156</v>
      </c>
      <c r="BV1">
        <v>158</v>
      </c>
      <c r="BW1">
        <v>159</v>
      </c>
      <c r="BX1">
        <v>161</v>
      </c>
      <c r="BY1">
        <v>162</v>
      </c>
      <c r="BZ1">
        <v>164</v>
      </c>
      <c r="CA1">
        <v>165</v>
      </c>
      <c r="CB1">
        <v>166</v>
      </c>
      <c r="CC1">
        <v>167</v>
      </c>
      <c r="CD1">
        <v>168</v>
      </c>
      <c r="CE1">
        <v>169</v>
      </c>
    </row>
    <row r="2" spans="1:83" x14ac:dyDescent="0.2">
      <c r="E2" s="27" t="s">
        <v>7</v>
      </c>
      <c r="F2" t="s">
        <v>512</v>
      </c>
      <c r="G2" t="s">
        <v>513</v>
      </c>
      <c r="H2" t="s">
        <v>514</v>
      </c>
      <c r="I2" t="s">
        <v>516</v>
      </c>
      <c r="J2" t="s">
        <v>517</v>
      </c>
      <c r="K2" t="s">
        <v>519</v>
      </c>
      <c r="L2" t="s">
        <v>623</v>
      </c>
      <c r="M2" t="s">
        <v>624</v>
      </c>
      <c r="N2" t="s">
        <v>625</v>
      </c>
      <c r="O2" t="s">
        <v>626</v>
      </c>
      <c r="P2" t="s">
        <v>627</v>
      </c>
      <c r="Q2" t="s">
        <v>628</v>
      </c>
      <c r="R2" t="s">
        <v>629</v>
      </c>
      <c r="S2" t="s">
        <v>630</v>
      </c>
      <c r="T2" t="s">
        <v>1763</v>
      </c>
      <c r="U2" t="s">
        <v>631</v>
      </c>
      <c r="V2" t="s">
        <v>632</v>
      </c>
      <c r="W2" t="s">
        <v>633</v>
      </c>
      <c r="X2" t="s">
        <v>634</v>
      </c>
      <c r="Y2" t="s">
        <v>1764</v>
      </c>
      <c r="Z2" t="s">
        <v>643</v>
      </c>
      <c r="AA2" t="s">
        <v>645</v>
      </c>
      <c r="AB2" t="s">
        <v>646</v>
      </c>
      <c r="AC2" t="s">
        <v>647</v>
      </c>
      <c r="AD2" t="s">
        <v>648</v>
      </c>
      <c r="AE2" t="s">
        <v>649</v>
      </c>
      <c r="AF2" t="s">
        <v>650</v>
      </c>
      <c r="AG2" t="s">
        <v>651</v>
      </c>
      <c r="AH2" t="s">
        <v>654</v>
      </c>
      <c r="AI2" t="s">
        <v>655</v>
      </c>
      <c r="AJ2" t="s">
        <v>656</v>
      </c>
      <c r="AK2" t="s">
        <v>657</v>
      </c>
      <c r="AL2" t="s">
        <v>554</v>
      </c>
      <c r="AM2" t="s">
        <v>1496</v>
      </c>
      <c r="AN2" t="s">
        <v>1513</v>
      </c>
      <c r="AO2" t="s">
        <v>1514</v>
      </c>
      <c r="AP2" t="s">
        <v>1515</v>
      </c>
      <c r="AQ2" t="s">
        <v>1516</v>
      </c>
      <c r="AR2" t="s">
        <v>1517</v>
      </c>
      <c r="AS2" t="s">
        <v>1518</v>
      </c>
      <c r="AT2" t="s">
        <v>1519</v>
      </c>
      <c r="AU2" t="s">
        <v>546</v>
      </c>
      <c r="AV2" t="s">
        <v>1288</v>
      </c>
      <c r="AW2" t="s">
        <v>1289</v>
      </c>
      <c r="AX2" t="s">
        <v>1292</v>
      </c>
      <c r="AY2" t="s">
        <v>1318</v>
      </c>
      <c r="AZ2" t="s">
        <v>1319</v>
      </c>
      <c r="BA2" t="s">
        <v>1321</v>
      </c>
      <c r="BB2" t="s">
        <v>1323</v>
      </c>
      <c r="BC2" t="s">
        <v>1324</v>
      </c>
      <c r="BD2" t="s">
        <v>1326</v>
      </c>
      <c r="BE2" t="s">
        <v>1327</v>
      </c>
      <c r="BF2" t="s">
        <v>1328</v>
      </c>
      <c r="BG2" t="s">
        <v>1330</v>
      </c>
      <c r="BH2" t="s">
        <v>1331</v>
      </c>
      <c r="BI2" t="s">
        <v>1333</v>
      </c>
      <c r="BJ2" t="s">
        <v>1334</v>
      </c>
      <c r="BK2" t="s">
        <v>1336</v>
      </c>
      <c r="BL2" t="s">
        <v>1283</v>
      </c>
      <c r="BM2" t="s">
        <v>1284</v>
      </c>
      <c r="BN2" t="s">
        <v>1286</v>
      </c>
      <c r="BO2" t="s">
        <v>1546</v>
      </c>
      <c r="BP2" t="s">
        <v>1547</v>
      </c>
      <c r="BQ2" t="s">
        <v>1549</v>
      </c>
      <c r="BR2" t="s">
        <v>1551</v>
      </c>
      <c r="BS2" t="s">
        <v>1552</v>
      </c>
      <c r="BT2" t="s">
        <v>1554</v>
      </c>
      <c r="BU2" t="s">
        <v>1555</v>
      </c>
      <c r="BV2" t="s">
        <v>1557</v>
      </c>
      <c r="BW2" t="s">
        <v>1558</v>
      </c>
      <c r="BX2" t="s">
        <v>1560</v>
      </c>
      <c r="BY2" t="s">
        <v>1561</v>
      </c>
      <c r="BZ2" t="s">
        <v>1773</v>
      </c>
      <c r="CA2" t="s">
        <v>1774</v>
      </c>
      <c r="CB2" t="s">
        <v>1562</v>
      </c>
      <c r="CC2" t="s">
        <v>1564</v>
      </c>
      <c r="CD2" t="s">
        <v>1565</v>
      </c>
      <c r="CE2" t="s">
        <v>1567</v>
      </c>
    </row>
    <row r="5" spans="1:83" x14ac:dyDescent="0.2">
      <c r="B5" s="27" t="s">
        <v>6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</row>
    <row r="6" spans="1:83" x14ac:dyDescent="0.2">
      <c r="A6">
        <v>8</v>
      </c>
      <c r="B6" t="s">
        <v>521</v>
      </c>
      <c r="E6" s="5"/>
      <c r="F6" s="5">
        <v>1.4000000000027371</v>
      </c>
      <c r="G6" s="5">
        <v>-2.5400000000049658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0</v>
      </c>
      <c r="Y6" s="5">
        <v>0</v>
      </c>
      <c r="Z6" s="5">
        <v>0</v>
      </c>
      <c r="AA6" s="5">
        <v>0</v>
      </c>
      <c r="AB6" s="5">
        <v>0</v>
      </c>
      <c r="AC6" s="5">
        <v>0</v>
      </c>
      <c r="AD6" s="5">
        <v>0</v>
      </c>
      <c r="AE6" s="5">
        <v>0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5">
        <v>0</v>
      </c>
      <c r="AO6" s="5">
        <v>0</v>
      </c>
      <c r="AP6" s="5">
        <v>0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0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  <c r="BT6" s="5">
        <v>0</v>
      </c>
      <c r="BU6" s="5">
        <v>0</v>
      </c>
      <c r="BV6" s="5">
        <v>0</v>
      </c>
      <c r="BW6" s="5">
        <v>0</v>
      </c>
      <c r="BX6" s="5">
        <v>0</v>
      </c>
      <c r="BY6" s="5">
        <v>0</v>
      </c>
      <c r="BZ6" s="5">
        <v>0</v>
      </c>
      <c r="CA6" s="5">
        <v>0</v>
      </c>
      <c r="CB6" s="5">
        <v>0</v>
      </c>
      <c r="CC6" s="5">
        <v>0</v>
      </c>
      <c r="CD6" s="5">
        <v>0</v>
      </c>
      <c r="CE6" s="5">
        <v>0</v>
      </c>
    </row>
    <row r="7" spans="1:83" x14ac:dyDescent="0.2">
      <c r="A7">
        <v>9</v>
      </c>
      <c r="B7" t="s">
        <v>535</v>
      </c>
      <c r="E7" s="5"/>
      <c r="F7" s="5">
        <v>4.3210657062477397E-4</v>
      </c>
      <c r="G7" s="5">
        <v>-7.8396477813351851E-4</v>
      </c>
      <c r="H7" s="5">
        <v>-3.3903868319481133E-4</v>
      </c>
      <c r="I7" s="5">
        <v>1.6952554563871053E-3</v>
      </c>
      <c r="J7" s="5">
        <v>0</v>
      </c>
      <c r="K7" s="5">
        <v>0</v>
      </c>
      <c r="L7" s="5">
        <v>3.0136941024827002E-3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-6.5341703032352219E-2</v>
      </c>
      <c r="AA7" s="5">
        <v>0</v>
      </c>
      <c r="AB7" s="5">
        <v>0</v>
      </c>
      <c r="AC7" s="5">
        <v>0</v>
      </c>
      <c r="AD7" s="5">
        <v>0</v>
      </c>
      <c r="AE7" s="5">
        <v>0</v>
      </c>
      <c r="AF7" s="5">
        <v>0</v>
      </c>
      <c r="AG7" s="5">
        <v>0</v>
      </c>
      <c r="AH7" s="5">
        <v>0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5">
        <v>0</v>
      </c>
      <c r="AO7" s="5">
        <v>0</v>
      </c>
      <c r="AP7" s="5">
        <v>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  <c r="BT7" s="5">
        <v>0</v>
      </c>
      <c r="BU7" s="5">
        <v>0</v>
      </c>
      <c r="BV7" s="5">
        <v>0</v>
      </c>
      <c r="BW7" s="5">
        <v>0</v>
      </c>
      <c r="BX7" s="5">
        <v>0</v>
      </c>
      <c r="BY7" s="5">
        <v>0</v>
      </c>
      <c r="BZ7" s="5">
        <v>0</v>
      </c>
      <c r="CA7" s="5">
        <v>0</v>
      </c>
      <c r="CB7" s="5">
        <v>0</v>
      </c>
      <c r="CC7" s="5">
        <v>0</v>
      </c>
      <c r="CD7" s="5">
        <v>0</v>
      </c>
      <c r="CE7" s="5">
        <v>0</v>
      </c>
    </row>
    <row r="8" spans="1:83" x14ac:dyDescent="0.2">
      <c r="A8">
        <v>10</v>
      </c>
      <c r="B8" t="s">
        <v>538</v>
      </c>
      <c r="E8" s="5"/>
      <c r="F8" s="5">
        <v>12.047039389589274</v>
      </c>
      <c r="G8" s="5">
        <v>-21.856771463969114</v>
      </c>
      <c r="H8" s="5">
        <v>-10.185098047987747</v>
      </c>
      <c r="I8" s="5">
        <v>50.927780891156566</v>
      </c>
      <c r="J8" s="5">
        <v>0</v>
      </c>
      <c r="K8" s="5">
        <v>0</v>
      </c>
      <c r="L8" s="5">
        <v>90.534713122302492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394.24173059361055</v>
      </c>
      <c r="AG8" s="5">
        <v>0.99999999967030817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</row>
    <row r="9" spans="1:83" x14ac:dyDescent="0.2">
      <c r="A9">
        <v>11</v>
      </c>
      <c r="B9" t="s">
        <v>534</v>
      </c>
      <c r="E9" s="5"/>
      <c r="F9" s="5">
        <v>1.400000000586006</v>
      </c>
      <c r="G9" s="5">
        <v>-2.5400000010631825</v>
      </c>
      <c r="H9" s="5">
        <v>-2.2498872611665548</v>
      </c>
      <c r="I9" s="5">
        <v>11.249942310367079</v>
      </c>
      <c r="J9" s="5">
        <v>0</v>
      </c>
      <c r="K9" s="5">
        <v>0</v>
      </c>
      <c r="L9" s="5">
        <v>19.999110149703483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</row>
    <row r="10" spans="1:83" x14ac:dyDescent="0.2">
      <c r="A10">
        <v>12</v>
      </c>
      <c r="B10" t="s">
        <v>536</v>
      </c>
      <c r="E10" s="5"/>
      <c r="F10" s="5">
        <v>0.50848821297758673</v>
      </c>
      <c r="G10" s="5">
        <v>-0.92254290068790745</v>
      </c>
      <c r="H10" s="5">
        <v>-0.57800207162551676</v>
      </c>
      <c r="I10" s="5">
        <v>2.8901403520641455</v>
      </c>
      <c r="J10" s="5">
        <v>0</v>
      </c>
      <c r="K10" s="5">
        <v>0</v>
      </c>
      <c r="L10" s="5">
        <v>5.1378250353760677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429.24318926511114</v>
      </c>
      <c r="AI10" s="5">
        <v>0.99999999999999112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</row>
    <row r="11" spans="1:83" x14ac:dyDescent="0.2">
      <c r="A11">
        <v>13</v>
      </c>
      <c r="B11" t="s">
        <v>539</v>
      </c>
      <c r="E11" s="5"/>
      <c r="F11" s="5">
        <v>0.26710970298767506</v>
      </c>
      <c r="G11" s="5">
        <v>-0.48461331827763909</v>
      </c>
      <c r="H11" s="5">
        <v>-0.26535920635995169</v>
      </c>
      <c r="I11" s="5">
        <v>1.3268557116715973</v>
      </c>
      <c r="J11" s="5">
        <v>0</v>
      </c>
      <c r="K11" s="5">
        <v>0</v>
      </c>
      <c r="L11" s="5">
        <v>2.358761742790108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413.19794250768473</v>
      </c>
      <c r="AK11" s="5">
        <v>0.99999999999999556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</row>
    <row r="12" spans="1:83" x14ac:dyDescent="0.2">
      <c r="A12">
        <v>14</v>
      </c>
      <c r="B12" t="s">
        <v>537</v>
      </c>
      <c r="E12" s="5"/>
      <c r="F12" s="5">
        <v>0.84245505039810653</v>
      </c>
      <c r="G12" s="5">
        <v>-1.5284541628651362</v>
      </c>
      <c r="H12" s="5">
        <v>-0.27812045166724919</v>
      </c>
      <c r="I12" s="5">
        <v>1.3906648082916069</v>
      </c>
      <c r="J12" s="5">
        <v>0</v>
      </c>
      <c r="K12" s="5">
        <v>0</v>
      </c>
      <c r="L12" s="5">
        <v>2.4721956712153315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357.00986881470999</v>
      </c>
      <c r="AB12" s="5">
        <v>1.0534178949000772</v>
      </c>
      <c r="AC12" s="5">
        <v>1.0000000000000182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</row>
    <row r="13" spans="1:83" x14ac:dyDescent="0.2">
      <c r="A13">
        <v>15</v>
      </c>
      <c r="B13" t="s">
        <v>527</v>
      </c>
      <c r="E13" s="5"/>
      <c r="F13" s="5">
        <v>-3.2308009274557646E-2</v>
      </c>
      <c r="G13" s="5">
        <v>5.8615959683840306E-2</v>
      </c>
      <c r="H13" s="5">
        <v>7.5831769000448773E-2</v>
      </c>
      <c r="I13" s="5">
        <v>-0.25961660025611066</v>
      </c>
      <c r="J13" s="5">
        <v>-0.11956088292519353</v>
      </c>
      <c r="K13" s="5">
        <v>0</v>
      </c>
      <c r="L13" s="5">
        <v>-0.67406398732588713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24.076392785010352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</row>
    <row r="14" spans="1:83" x14ac:dyDescent="0.2">
      <c r="A14">
        <v>16</v>
      </c>
      <c r="B14" t="s">
        <v>523</v>
      </c>
      <c r="E14" s="5"/>
      <c r="F14" s="5">
        <v>3.800159460704469E-4</v>
      </c>
      <c r="G14" s="5">
        <v>-6.8945750215638221E-4</v>
      </c>
      <c r="H14" s="5">
        <v>-9.1013142541711864E-4</v>
      </c>
      <c r="I14" s="5">
        <v>3.053686749220168E-3</v>
      </c>
      <c r="J14" s="5">
        <v>1.4971541712368031E-3</v>
      </c>
      <c r="K14" s="5">
        <v>0</v>
      </c>
      <c r="L14" s="5">
        <v>8.0901029614405262E-3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-6.9662063992714088E-2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-1.52587890625E-5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</row>
    <row r="15" spans="1:83" x14ac:dyDescent="0.2">
      <c r="A15">
        <v>17</v>
      </c>
      <c r="B15" t="s">
        <v>526</v>
      </c>
      <c r="E15" s="5"/>
      <c r="F15" s="5">
        <v>12.086045244639662</v>
      </c>
      <c r="G15" s="5">
        <v>-21.92753922956053</v>
      </c>
      <c r="H15" s="5">
        <v>-29.477480423305245</v>
      </c>
      <c r="I15" s="5">
        <v>97.11950836338869</v>
      </c>
      <c r="J15" s="5">
        <v>50.275189132929746</v>
      </c>
      <c r="K15" s="5">
        <v>0</v>
      </c>
      <c r="L15" s="5">
        <v>262.02353360671987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1.4031622868060367E-6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573.4973172666505</v>
      </c>
      <c r="AG15" s="5">
        <v>0.99999999937790562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-3.0517578125E-5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</row>
    <row r="16" spans="1:83" x14ac:dyDescent="0.2">
      <c r="A16">
        <v>18</v>
      </c>
      <c r="B16" t="s">
        <v>522</v>
      </c>
      <c r="E16" s="5"/>
      <c r="F16" s="5">
        <v>1.4000000018127179</v>
      </c>
      <c r="G16" s="5">
        <v>-2.5400000032887884</v>
      </c>
      <c r="H16" s="5">
        <v>-4.4997447386212155</v>
      </c>
      <c r="I16" s="5">
        <v>11.249942320698327</v>
      </c>
      <c r="J16" s="5">
        <v>11.249942343885092</v>
      </c>
      <c r="K16" s="5">
        <v>0</v>
      </c>
      <c r="L16" s="5">
        <v>39.997958782808382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-1.9073486328125E-6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</row>
    <row r="17" spans="1:83" x14ac:dyDescent="0.2">
      <c r="A17">
        <v>19</v>
      </c>
      <c r="B17" t="s">
        <v>524</v>
      </c>
      <c r="E17" s="5"/>
      <c r="F17" s="5">
        <v>0.50848821335454797</v>
      </c>
      <c r="G17" s="5">
        <v>-0.92254290137182293</v>
      </c>
      <c r="H17" s="5">
        <v>-1.3951648975970476</v>
      </c>
      <c r="I17" s="5">
        <v>4.0860450453685502</v>
      </c>
      <c r="J17" s="5">
        <v>2.8901314911831077</v>
      </c>
      <c r="K17" s="5">
        <v>0</v>
      </c>
      <c r="L17" s="5">
        <v>12.401536206723222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609.23301711045497</v>
      </c>
      <c r="AI17" s="5">
        <v>0.99999999999996092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-1.9073486328125E-6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</row>
    <row r="18" spans="1:83" x14ac:dyDescent="0.2">
      <c r="A18">
        <v>20</v>
      </c>
      <c r="B18" t="s">
        <v>525</v>
      </c>
      <c r="E18" s="5"/>
      <c r="F18" s="5">
        <v>0.82826537181284621</v>
      </c>
      <c r="G18" s="5">
        <v>-1.5027100317175925</v>
      </c>
      <c r="H18" s="5">
        <v>-1.6910463534466316</v>
      </c>
      <c r="I18" s="5">
        <v>6.6556697476976323</v>
      </c>
      <c r="J18" s="5">
        <v>1.7999661844402319</v>
      </c>
      <c r="K18" s="5">
        <v>0</v>
      </c>
      <c r="L18" s="5">
        <v>15.03160804406798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549.52892028867791</v>
      </c>
      <c r="AB18" s="5">
        <v>1.0356749164077073</v>
      </c>
      <c r="AC18" s="5">
        <v>0</v>
      </c>
      <c r="AD18" s="5">
        <v>1.0000000000000142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</row>
    <row r="19" spans="1:83" x14ac:dyDescent="0.2">
      <c r="A19">
        <v>21</v>
      </c>
      <c r="B19" t="s">
        <v>533</v>
      </c>
      <c r="E19" s="5"/>
      <c r="F19" s="5">
        <v>-0.16402621801195214</v>
      </c>
      <c r="G19" s="5">
        <v>0.29759042410739889</v>
      </c>
      <c r="H19" s="5">
        <v>0.65780315541450851</v>
      </c>
      <c r="I19" s="5">
        <v>-1.3180610638104635</v>
      </c>
      <c r="J19" s="5">
        <v>-1.318061066668591</v>
      </c>
      <c r="K19" s="5">
        <v>-0.65305704422403899</v>
      </c>
      <c r="L19" s="5">
        <v>-5.8471723195181085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19.377031921620752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</row>
    <row r="20" spans="1:83" x14ac:dyDescent="0.2">
      <c r="A20">
        <v>22</v>
      </c>
      <c r="B20" t="s">
        <v>529</v>
      </c>
      <c r="E20" s="5"/>
      <c r="F20" s="5">
        <v>3.4126540485402199E-4</v>
      </c>
      <c r="G20" s="5">
        <v>-6.1915294880658276E-4</v>
      </c>
      <c r="H20" s="5">
        <v>-1.366547799276883E-3</v>
      </c>
      <c r="I20" s="5">
        <v>2.7422958496460493E-3</v>
      </c>
      <c r="J20" s="5">
        <v>2.7422136411031921E-3</v>
      </c>
      <c r="K20" s="5">
        <v>1.348644104178539E-3</v>
      </c>
      <c r="L20" s="5">
        <v>1.2147160439398341E-2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-7.3503072740388697E-2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1.6689300537109375E-6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</row>
    <row r="21" spans="1:83" x14ac:dyDescent="0.2">
      <c r="A21">
        <v>23</v>
      </c>
      <c r="B21" t="s">
        <v>532</v>
      </c>
      <c r="E21" s="5"/>
      <c r="F21" s="5">
        <v>12.100346176576581</v>
      </c>
      <c r="G21" s="5">
        <v>-21.953485206074657</v>
      </c>
      <c r="H21" s="5">
        <v>-48.874933299349408</v>
      </c>
      <c r="I21" s="5">
        <v>97.234425979261729</v>
      </c>
      <c r="J21" s="5">
        <v>97.234426194487853</v>
      </c>
      <c r="K21" s="5">
        <v>49.917941301409179</v>
      </c>
      <c r="L21" s="5">
        <v>434.44631507344457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2.1422401914605871E-6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753.10841977410018</v>
      </c>
      <c r="AG21" s="5">
        <v>0.99999999938518158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1.1322036476986077E-6</v>
      </c>
      <c r="AN21" s="5">
        <v>0</v>
      </c>
      <c r="AO21" s="5">
        <v>7.62939453125E-5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</row>
    <row r="22" spans="1:83" x14ac:dyDescent="0.2">
      <c r="A22">
        <v>24</v>
      </c>
      <c r="B22" t="s">
        <v>528</v>
      </c>
      <c r="E22" s="5"/>
      <c r="F22" s="5">
        <v>1.4000000022700607</v>
      </c>
      <c r="G22" s="5">
        <v>-2.5400000041185389</v>
      </c>
      <c r="H22" s="5">
        <v>-6.7496388977076798</v>
      </c>
      <c r="I22" s="5">
        <v>11.249942324413176</v>
      </c>
      <c r="J22" s="5">
        <v>11.249942350969793</v>
      </c>
      <c r="K22" s="5">
        <v>11.249942347613786</v>
      </c>
      <c r="L22" s="5">
        <v>59.997129500477058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-1.9073486328125E-6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</row>
    <row r="23" spans="1:83" x14ac:dyDescent="0.2">
      <c r="A23">
        <v>25</v>
      </c>
      <c r="B23" t="s">
        <v>530</v>
      </c>
      <c r="E23" s="5"/>
      <c r="F23" s="5">
        <v>0.50848821360253493</v>
      </c>
      <c r="G23" s="5">
        <v>-0.92254290182174192</v>
      </c>
      <c r="H23" s="5">
        <v>-2.2123379404455745</v>
      </c>
      <c r="I23" s="5">
        <v>4.0860450474221199</v>
      </c>
      <c r="J23" s="5">
        <v>4.0860450567047453</v>
      </c>
      <c r="K23" s="5">
        <v>2.890142420031645</v>
      </c>
      <c r="L23" s="5">
        <v>19.665337517021044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789.22509531462856</v>
      </c>
      <c r="AI23" s="5">
        <v>0.99999999999999289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</row>
    <row r="24" spans="1:83" x14ac:dyDescent="0.2">
      <c r="A24">
        <v>26</v>
      </c>
      <c r="B24" t="s">
        <v>531</v>
      </c>
      <c r="E24" s="5"/>
      <c r="F24" s="5">
        <v>0.81899715802488871</v>
      </c>
      <c r="G24" s="5">
        <v>-1.4858948438451551</v>
      </c>
      <c r="H24" s="5">
        <v>-3.0535712387213643</v>
      </c>
      <c r="I24" s="5">
        <v>6.5811934119107365</v>
      </c>
      <c r="J24" s="5">
        <v>6.5811934260985749</v>
      </c>
      <c r="K24" s="5">
        <v>2.1062368250014898</v>
      </c>
      <c r="L24" s="5">
        <v>27.143009582032846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736.84750043950044</v>
      </c>
      <c r="AB24" s="5">
        <v>1.0240858080160251</v>
      </c>
      <c r="AC24" s="5">
        <v>0</v>
      </c>
      <c r="AD24" s="5">
        <v>0</v>
      </c>
      <c r="AE24" s="5">
        <v>0.99999999999998579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</row>
    <row r="25" spans="1:83" x14ac:dyDescent="0.2">
      <c r="A25">
        <v>30</v>
      </c>
      <c r="B25" t="s">
        <v>592</v>
      </c>
      <c r="E25" s="5"/>
      <c r="F25" s="5">
        <v>1.400000000586006</v>
      </c>
      <c r="G25" s="5">
        <v>-2.5400000010631825</v>
      </c>
      <c r="H25" s="5">
        <v>-2.2498872611665548</v>
      </c>
      <c r="I25" s="5">
        <v>11.249942310367079</v>
      </c>
      <c r="J25" s="5">
        <v>0</v>
      </c>
      <c r="K25" s="5">
        <v>0</v>
      </c>
      <c r="L25" s="5">
        <v>19.999110149703483</v>
      </c>
      <c r="M25" s="5">
        <v>-1</v>
      </c>
      <c r="N25" s="5">
        <v>-0.99999999999878075</v>
      </c>
      <c r="O25" s="5">
        <v>-0.99999999999916445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</row>
    <row r="26" spans="1:83" x14ac:dyDescent="0.2">
      <c r="A26">
        <v>31</v>
      </c>
      <c r="B26" t="s">
        <v>593</v>
      </c>
      <c r="E26" s="5"/>
      <c r="F26" s="5">
        <v>1.4000000018127179</v>
      </c>
      <c r="G26" s="5">
        <v>-2.5400000032887884</v>
      </c>
      <c r="H26" s="5">
        <v>-4.4997447386212155</v>
      </c>
      <c r="I26" s="5">
        <v>11.249942320698327</v>
      </c>
      <c r="J26" s="5">
        <v>11.249942343885092</v>
      </c>
      <c r="K26" s="5">
        <v>0</v>
      </c>
      <c r="L26" s="5">
        <v>39.997958782808382</v>
      </c>
      <c r="M26" s="5">
        <v>0</v>
      </c>
      <c r="N26" s="5">
        <v>0</v>
      </c>
      <c r="O26" s="5">
        <v>0</v>
      </c>
      <c r="P26" s="5">
        <v>-1</v>
      </c>
      <c r="Q26" s="5">
        <v>-0.999999997295836</v>
      </c>
      <c r="R26" s="5">
        <v>-0.99999999733402367</v>
      </c>
      <c r="S26" s="5">
        <v>-0.9999999973318916</v>
      </c>
      <c r="T26" s="5">
        <v>-0.99999999731879496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-1.9073486328125E-6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</row>
    <row r="27" spans="1:83" x14ac:dyDescent="0.2">
      <c r="A27">
        <v>32</v>
      </c>
      <c r="B27" t="s">
        <v>594</v>
      </c>
      <c r="E27" s="5"/>
      <c r="F27" s="5">
        <v>1.4000000022700607</v>
      </c>
      <c r="G27" s="5">
        <v>-2.5400000041185389</v>
      </c>
      <c r="H27" s="5">
        <v>-6.7496388977076798</v>
      </c>
      <c r="I27" s="5">
        <v>11.249942324413176</v>
      </c>
      <c r="J27" s="5">
        <v>11.249942350969793</v>
      </c>
      <c r="K27" s="5">
        <v>11.249942347613786</v>
      </c>
      <c r="L27" s="5">
        <v>59.997129500477058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-1</v>
      </c>
      <c r="V27" s="5">
        <v>-1</v>
      </c>
      <c r="W27" s="5">
        <v>-1</v>
      </c>
      <c r="X27" s="5">
        <v>-0.99999999998801492</v>
      </c>
      <c r="Y27" s="5">
        <v>-0.99999999996479472</v>
      </c>
      <c r="Z27" s="5">
        <v>0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-1.9073486328125E-6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</row>
    <row r="28" spans="1:83" x14ac:dyDescent="0.2">
      <c r="A28">
        <v>69</v>
      </c>
      <c r="B28" t="s">
        <v>553</v>
      </c>
      <c r="E28" s="5"/>
      <c r="F28" s="5">
        <v>-3.6503238403299859E-2</v>
      </c>
      <c r="G28" s="5">
        <v>6.6227303960272613E-2</v>
      </c>
      <c r="H28" s="5">
        <v>0.19330854447911255</v>
      </c>
      <c r="I28" s="5">
        <v>-0.3693007667641432</v>
      </c>
      <c r="J28" s="5">
        <v>-0.27082140889575657</v>
      </c>
      <c r="K28" s="5">
        <v>-0.27603808123847923</v>
      </c>
      <c r="L28" s="5">
        <v>-1.7183079250202411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16.77713313447255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3.1510060538939101E-2</v>
      </c>
      <c r="AM28" s="5">
        <v>-6.6199037914968298E-2</v>
      </c>
      <c r="AN28" s="5">
        <v>0.28569628736954655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</row>
    <row r="29" spans="1:83" x14ac:dyDescent="0.2">
      <c r="A29">
        <v>70</v>
      </c>
      <c r="B29" t="s">
        <v>549</v>
      </c>
      <c r="E29" s="5"/>
      <c r="F29" s="5">
        <v>2.6782076741645937E-4</v>
      </c>
      <c r="G29" s="5">
        <v>-4.8590339231271924E-4</v>
      </c>
      <c r="H29" s="5">
        <v>-6.9888923471702431E-4</v>
      </c>
      <c r="I29" s="5">
        <v>1.8981642847599647E-3</v>
      </c>
      <c r="J29" s="5">
        <v>1.3109078526282176E-3</v>
      </c>
      <c r="K29" s="5">
        <v>1.3110057512108603E-3</v>
      </c>
      <c r="L29" s="5">
        <v>6.2123839506907919E-3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-5.0239837255596997E-2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-8.2923273876889757E-4</v>
      </c>
      <c r="AM29" s="5">
        <v>-6.1059541838961626E-4</v>
      </c>
      <c r="AN29" s="5">
        <v>0</v>
      </c>
      <c r="AO29" s="5">
        <v>0.28569602966308594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</row>
    <row r="30" spans="1:83" x14ac:dyDescent="0.2">
      <c r="A30">
        <v>71</v>
      </c>
      <c r="B30" t="s">
        <v>552</v>
      </c>
      <c r="E30" s="5"/>
      <c r="F30" s="5">
        <v>8.2281750127713789</v>
      </c>
      <c r="G30" s="5">
        <v>-14.928260380313787</v>
      </c>
      <c r="H30" s="5">
        <v>-23.724004913930752</v>
      </c>
      <c r="I30" s="5">
        <v>60.98159328891974</v>
      </c>
      <c r="J30" s="5">
        <v>8.3934608677154969</v>
      </c>
      <c r="K30" s="5">
        <v>8.3229015619640929</v>
      </c>
      <c r="L30" s="5">
        <v>210.88123879052728</v>
      </c>
      <c r="M30" s="5">
        <v>0</v>
      </c>
      <c r="N30" s="5">
        <v>0</v>
      </c>
      <c r="O30" s="5">
        <v>0</v>
      </c>
      <c r="P30" s="5">
        <v>0</v>
      </c>
      <c r="Q30" s="5">
        <v>2.2046201877401472E-6</v>
      </c>
      <c r="R30" s="5">
        <v>2.2044372585128258E-6</v>
      </c>
      <c r="S30" s="5">
        <v>2.2044770288921484E-6</v>
      </c>
      <c r="T30" s="5">
        <v>2.2045450528230638E-6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93.128701314919681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446.69053837750107</v>
      </c>
      <c r="AG30" s="5">
        <v>0.72602800708500581</v>
      </c>
      <c r="AH30" s="5">
        <v>0</v>
      </c>
      <c r="AI30" s="5">
        <v>0</v>
      </c>
      <c r="AJ30" s="5">
        <v>0</v>
      </c>
      <c r="AK30" s="5">
        <v>0</v>
      </c>
      <c r="AL30" s="5">
        <v>-58.304986482835091</v>
      </c>
      <c r="AM30" s="5">
        <v>70.093706083211302</v>
      </c>
      <c r="AN30" s="5">
        <v>0</v>
      </c>
      <c r="AO30" s="5">
        <v>1403.419921875</v>
      </c>
      <c r="AP30" s="5">
        <v>0.27397200249652187</v>
      </c>
      <c r="AQ30" s="5">
        <v>-8.4785390042937746E-6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</row>
    <row r="31" spans="1:83" x14ac:dyDescent="0.2">
      <c r="A31">
        <v>72</v>
      </c>
      <c r="B31" t="s">
        <v>548</v>
      </c>
      <c r="E31" s="5"/>
      <c r="F31" s="5">
        <v>0.34965346621887911</v>
      </c>
      <c r="G31" s="5">
        <v>-0.63437128871139503</v>
      </c>
      <c r="H31" s="5">
        <v>-1.1238223856026737</v>
      </c>
      <c r="I31" s="5">
        <v>2.8097009421895285</v>
      </c>
      <c r="J31" s="5">
        <v>2.0056765621109021</v>
      </c>
      <c r="K31" s="5">
        <v>2.0103295576023013</v>
      </c>
      <c r="L31" s="5">
        <v>9.9895892032992606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0.60706150056638197</v>
      </c>
      <c r="T31" s="5">
        <v>0.77686654987602655</v>
      </c>
      <c r="U31" s="5">
        <v>0</v>
      </c>
      <c r="V31" s="5">
        <v>0</v>
      </c>
      <c r="W31" s="5">
        <v>0</v>
      </c>
      <c r="X31" s="5">
        <v>0.82299067738300691</v>
      </c>
      <c r="Y31" s="5">
        <v>1.1470761539124212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-0.80402427164621537</v>
      </c>
      <c r="AM31" s="5">
        <v>-0.80402529872185291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</row>
    <row r="32" spans="1:83" x14ac:dyDescent="0.2">
      <c r="A32">
        <v>73</v>
      </c>
      <c r="B32" t="s">
        <v>550</v>
      </c>
      <c r="E32" s="5"/>
      <c r="F32" s="5">
        <v>0.4300602473975137</v>
      </c>
      <c r="G32" s="5">
        <v>-0.78025216313548917</v>
      </c>
      <c r="H32" s="5">
        <v>-1.8289515123986311</v>
      </c>
      <c r="I32" s="5">
        <v>3.4540461941779341</v>
      </c>
      <c r="J32" s="5">
        <v>3.0450509686820637</v>
      </c>
      <c r="K32" s="5">
        <v>3.0450243954533445</v>
      </c>
      <c r="L32" s="5">
        <v>16.257438864966161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658.21052880249044</v>
      </c>
      <c r="AI32" s="5">
        <v>0.84576246957789891</v>
      </c>
      <c r="AJ32" s="5">
        <v>0</v>
      </c>
      <c r="AK32" s="5">
        <v>0</v>
      </c>
      <c r="AL32" s="5">
        <v>-0.41328244496159605</v>
      </c>
      <c r="AM32" s="5">
        <v>-0.19216389996322375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0.15423753042213839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</row>
    <row r="33" spans="1:83" x14ac:dyDescent="0.2">
      <c r="A33">
        <v>74</v>
      </c>
      <c r="B33" t="s">
        <v>551</v>
      </c>
      <c r="E33" s="5"/>
      <c r="F33" s="5">
        <v>0.78339409372096425</v>
      </c>
      <c r="G33" s="5">
        <v>-1.4213007128937494</v>
      </c>
      <c r="H33" s="5">
        <v>-0.30391569992907097</v>
      </c>
      <c r="I33" s="5">
        <v>1.4533115533798553</v>
      </c>
      <c r="J33" s="5">
        <v>0.5081716075198186</v>
      </c>
      <c r="K33" s="5">
        <v>0.50819318851914419</v>
      </c>
      <c r="L33" s="5">
        <v>2.7014880718616325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Z33" s="5">
        <v>0</v>
      </c>
      <c r="AA33" s="5">
        <v>338.32458608023808</v>
      </c>
      <c r="AB33" s="5">
        <v>0.97956722580825684</v>
      </c>
      <c r="AC33" s="5">
        <v>0.90012299088143877</v>
      </c>
      <c r="AD33" s="5">
        <v>2.8587715953882764E-2</v>
      </c>
      <c r="AE33" s="5">
        <v>1.712726861596181E-3</v>
      </c>
      <c r="AF33" s="5">
        <v>0</v>
      </c>
      <c r="AG33" s="5">
        <v>0</v>
      </c>
      <c r="AH33" s="5">
        <v>0</v>
      </c>
      <c r="AI33" s="5">
        <v>0</v>
      </c>
      <c r="AJ33" s="5">
        <v>0</v>
      </c>
      <c r="AK33" s="5">
        <v>0</v>
      </c>
      <c r="AL33" s="5">
        <v>-2.1973607380573816</v>
      </c>
      <c r="AM33" s="5">
        <v>0.14914530497942657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0.19473119739685907</v>
      </c>
      <c r="AU33" s="5">
        <v>0</v>
      </c>
      <c r="AV33" s="5">
        <v>0</v>
      </c>
      <c r="AW33" s="5">
        <v>0</v>
      </c>
      <c r="AX33" s="5">
        <v>0</v>
      </c>
      <c r="AY33" s="5">
        <v>0</v>
      </c>
      <c r="AZ33" s="5">
        <v>0</v>
      </c>
      <c r="BA33" s="5">
        <v>0</v>
      </c>
      <c r="BB33" s="5">
        <v>0</v>
      </c>
      <c r="BC33" s="5">
        <v>0</v>
      </c>
      <c r="BD33" s="5">
        <v>0</v>
      </c>
      <c r="BE33" s="5">
        <v>0</v>
      </c>
      <c r="BF33" s="5">
        <v>0</v>
      </c>
      <c r="BG33" s="5">
        <v>0</v>
      </c>
      <c r="BH33" s="5">
        <v>0</v>
      </c>
      <c r="BI33" s="5">
        <v>0</v>
      </c>
      <c r="BJ33" s="5">
        <v>0</v>
      </c>
      <c r="BK33" s="5">
        <v>0</v>
      </c>
      <c r="BL33" s="5">
        <v>0</v>
      </c>
      <c r="BM33" s="5">
        <v>0</v>
      </c>
      <c r="BN33" s="5">
        <v>0</v>
      </c>
      <c r="BO33" s="5">
        <v>0</v>
      </c>
      <c r="BP33" s="5">
        <v>0</v>
      </c>
      <c r="BQ33" s="5">
        <v>0</v>
      </c>
      <c r="BR33" s="5">
        <v>0</v>
      </c>
      <c r="BS33" s="5">
        <v>0</v>
      </c>
      <c r="BT33" s="5">
        <v>0</v>
      </c>
      <c r="BU33" s="5">
        <v>0</v>
      </c>
      <c r="BV33" s="5">
        <v>0</v>
      </c>
      <c r="BW33" s="5">
        <v>0</v>
      </c>
      <c r="BX33" s="5">
        <v>0</v>
      </c>
      <c r="BY33" s="5">
        <v>0</v>
      </c>
      <c r="BZ33" s="5">
        <v>0</v>
      </c>
      <c r="CA33" s="5">
        <v>0</v>
      </c>
      <c r="CB33" s="5">
        <v>0</v>
      </c>
      <c r="CC33" s="5">
        <v>0</v>
      </c>
      <c r="CD33" s="5">
        <v>0</v>
      </c>
      <c r="CE33" s="5">
        <v>0</v>
      </c>
    </row>
    <row r="34" spans="1:83" x14ac:dyDescent="0.2">
      <c r="A34">
        <v>75</v>
      </c>
      <c r="B34" t="s">
        <v>1503</v>
      </c>
      <c r="E34" s="5"/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1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 s="5">
        <v>0</v>
      </c>
      <c r="AY34" s="5">
        <v>0</v>
      </c>
      <c r="AZ34" s="5">
        <v>0</v>
      </c>
      <c r="BA34" s="5">
        <v>0</v>
      </c>
      <c r="BB34" s="5">
        <v>0</v>
      </c>
      <c r="BC34" s="5">
        <v>0</v>
      </c>
      <c r="BD34" s="5">
        <v>0</v>
      </c>
      <c r="BE34" s="5">
        <v>0</v>
      </c>
      <c r="BF34" s="5">
        <v>0</v>
      </c>
      <c r="BG34" s="5">
        <v>0</v>
      </c>
      <c r="BH34" s="5">
        <v>0</v>
      </c>
      <c r="BI34" s="5">
        <v>0</v>
      </c>
      <c r="BJ34" s="5">
        <v>0</v>
      </c>
      <c r="BK34" s="5">
        <v>0</v>
      </c>
      <c r="BL34" s="5">
        <v>0</v>
      </c>
      <c r="BM34" s="5">
        <v>0</v>
      </c>
      <c r="BN34" s="5">
        <v>0</v>
      </c>
      <c r="BO34" s="5">
        <v>0</v>
      </c>
      <c r="BP34" s="5">
        <v>0</v>
      </c>
      <c r="BQ34" s="5">
        <v>0</v>
      </c>
      <c r="BR34" s="5">
        <v>0</v>
      </c>
      <c r="BS34" s="5">
        <v>0</v>
      </c>
      <c r="BT34" s="5">
        <v>0</v>
      </c>
      <c r="BU34" s="5">
        <v>0</v>
      </c>
      <c r="BV34" s="5">
        <v>0</v>
      </c>
      <c r="BW34" s="5">
        <v>0</v>
      </c>
      <c r="BX34" s="5">
        <v>0</v>
      </c>
      <c r="BY34" s="5">
        <v>0</v>
      </c>
      <c r="BZ34" s="5">
        <v>0</v>
      </c>
      <c r="CA34" s="5">
        <v>0</v>
      </c>
      <c r="CB34" s="5">
        <v>0</v>
      </c>
      <c r="CC34" s="5">
        <v>0</v>
      </c>
      <c r="CD34" s="5">
        <v>0</v>
      </c>
      <c r="CE34" s="5">
        <v>0</v>
      </c>
    </row>
    <row r="35" spans="1:83" x14ac:dyDescent="0.2">
      <c r="A35">
        <v>76</v>
      </c>
      <c r="B35" t="s">
        <v>1497</v>
      </c>
      <c r="E35" s="5"/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5">
        <v>0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1</v>
      </c>
      <c r="AP35" s="5">
        <v>0</v>
      </c>
      <c r="AQ35" s="5">
        <v>0</v>
      </c>
      <c r="AR35" s="5">
        <v>0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 s="5">
        <v>0</v>
      </c>
      <c r="AY35" s="5">
        <v>0</v>
      </c>
      <c r="AZ35" s="5">
        <v>0</v>
      </c>
      <c r="BA35" s="5">
        <v>0</v>
      </c>
      <c r="BB35" s="5">
        <v>0</v>
      </c>
      <c r="BC35" s="5">
        <v>0</v>
      </c>
      <c r="BD35" s="5">
        <v>0</v>
      </c>
      <c r="BE35" s="5">
        <v>0</v>
      </c>
      <c r="BF35" s="5">
        <v>0</v>
      </c>
      <c r="BG35" s="5">
        <v>0</v>
      </c>
      <c r="BH35" s="5">
        <v>0</v>
      </c>
      <c r="BI35" s="5">
        <v>0</v>
      </c>
      <c r="BJ35" s="5">
        <v>0</v>
      </c>
      <c r="BK35" s="5">
        <v>0</v>
      </c>
      <c r="BL35" s="5">
        <v>0</v>
      </c>
      <c r="BM35" s="5">
        <v>0</v>
      </c>
      <c r="BN35" s="5">
        <v>0</v>
      </c>
      <c r="BO35" s="5">
        <v>0</v>
      </c>
      <c r="BP35" s="5">
        <v>0</v>
      </c>
      <c r="BQ35" s="5">
        <v>0</v>
      </c>
      <c r="BR35" s="5">
        <v>0</v>
      </c>
      <c r="BS35" s="5">
        <v>0</v>
      </c>
      <c r="BT35" s="5">
        <v>0</v>
      </c>
      <c r="BU35" s="5">
        <v>0</v>
      </c>
      <c r="BV35" s="5">
        <v>0</v>
      </c>
      <c r="BW35" s="5">
        <v>0</v>
      </c>
      <c r="BX35" s="5">
        <v>0</v>
      </c>
      <c r="BY35" s="5">
        <v>0</v>
      </c>
      <c r="BZ35" s="5">
        <v>0</v>
      </c>
      <c r="CA35" s="5">
        <v>0</v>
      </c>
      <c r="CB35" s="5">
        <v>0</v>
      </c>
      <c r="CC35" s="5">
        <v>0</v>
      </c>
      <c r="CD35" s="5">
        <v>0</v>
      </c>
      <c r="CE35" s="5">
        <v>0</v>
      </c>
    </row>
    <row r="36" spans="1:83" x14ac:dyDescent="0.2">
      <c r="A36">
        <v>77</v>
      </c>
      <c r="B36" t="s">
        <v>1501</v>
      </c>
      <c r="E36" s="5"/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Z36" s="5">
        <v>0</v>
      </c>
      <c r="AA36" s="5">
        <v>0</v>
      </c>
      <c r="AB36" s="5">
        <v>0</v>
      </c>
      <c r="AC36" s="5">
        <v>0</v>
      </c>
      <c r="AD36" s="5">
        <v>0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1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 s="5">
        <v>0</v>
      </c>
      <c r="AY36" s="5">
        <v>0</v>
      </c>
      <c r="AZ36" s="5">
        <v>0</v>
      </c>
      <c r="BA36" s="5">
        <v>0</v>
      </c>
      <c r="BB36" s="5">
        <v>0</v>
      </c>
      <c r="BC36" s="5">
        <v>0</v>
      </c>
      <c r="BD36" s="5">
        <v>0</v>
      </c>
      <c r="BE36" s="5">
        <v>0</v>
      </c>
      <c r="BF36" s="5">
        <v>0</v>
      </c>
      <c r="BG36" s="5">
        <v>0</v>
      </c>
      <c r="BH36" s="5">
        <v>0</v>
      </c>
      <c r="BI36" s="5">
        <v>0</v>
      </c>
      <c r="BJ36" s="5">
        <v>0</v>
      </c>
      <c r="BK36" s="5">
        <v>0</v>
      </c>
      <c r="BL36" s="5">
        <v>0</v>
      </c>
      <c r="BM36" s="5">
        <v>0</v>
      </c>
      <c r="BN36" s="5">
        <v>0</v>
      </c>
      <c r="BO36" s="5">
        <v>0</v>
      </c>
      <c r="BP36" s="5">
        <v>0</v>
      </c>
      <c r="BQ36" s="5">
        <v>0</v>
      </c>
      <c r="BR36" s="5">
        <v>0</v>
      </c>
      <c r="BS36" s="5">
        <v>0</v>
      </c>
      <c r="BT36" s="5">
        <v>0</v>
      </c>
      <c r="BU36" s="5">
        <v>0</v>
      </c>
      <c r="BV36" s="5">
        <v>0</v>
      </c>
      <c r="BW36" s="5">
        <v>0</v>
      </c>
      <c r="BX36" s="5">
        <v>0</v>
      </c>
      <c r="BY36" s="5">
        <v>0</v>
      </c>
      <c r="BZ36" s="5">
        <v>0</v>
      </c>
      <c r="CA36" s="5">
        <v>0</v>
      </c>
      <c r="CB36" s="5">
        <v>0</v>
      </c>
      <c r="CC36" s="5">
        <v>0</v>
      </c>
      <c r="CD36" s="5">
        <v>0</v>
      </c>
      <c r="CE36" s="5">
        <v>0</v>
      </c>
    </row>
    <row r="37" spans="1:83" x14ac:dyDescent="0.2">
      <c r="A37">
        <v>78</v>
      </c>
      <c r="B37" t="s">
        <v>1498</v>
      </c>
      <c r="E37" s="5"/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F37" s="5">
        <v>0</v>
      </c>
      <c r="AG37" s="5">
        <v>0</v>
      </c>
      <c r="AH37" s="5">
        <v>0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1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 s="5">
        <v>0</v>
      </c>
      <c r="AY37" s="5">
        <v>0</v>
      </c>
      <c r="AZ37" s="5">
        <v>0</v>
      </c>
      <c r="BA37" s="5">
        <v>0</v>
      </c>
      <c r="BB37" s="5">
        <v>0</v>
      </c>
      <c r="BC37" s="5">
        <v>0</v>
      </c>
      <c r="BD37" s="5">
        <v>0</v>
      </c>
      <c r="BE37" s="5">
        <v>0</v>
      </c>
      <c r="BF37" s="5">
        <v>0</v>
      </c>
      <c r="BG37" s="5">
        <v>0</v>
      </c>
      <c r="BH37" s="5">
        <v>0</v>
      </c>
      <c r="BI37" s="5">
        <v>0</v>
      </c>
      <c r="BJ37" s="5">
        <v>0</v>
      </c>
      <c r="BK37" s="5">
        <v>0</v>
      </c>
      <c r="BL37" s="5">
        <v>0</v>
      </c>
      <c r="BM37" s="5">
        <v>0</v>
      </c>
      <c r="BN37" s="5">
        <v>0</v>
      </c>
      <c r="BO37" s="5">
        <v>0</v>
      </c>
      <c r="BP37" s="5">
        <v>0</v>
      </c>
      <c r="BQ37" s="5">
        <v>0</v>
      </c>
      <c r="BR37" s="5">
        <v>0</v>
      </c>
      <c r="BS37" s="5">
        <v>0</v>
      </c>
      <c r="BT37" s="5">
        <v>0</v>
      </c>
      <c r="BU37" s="5">
        <v>0</v>
      </c>
      <c r="BV37" s="5">
        <v>0</v>
      </c>
      <c r="BW37" s="5">
        <v>0</v>
      </c>
      <c r="BX37" s="5">
        <v>0</v>
      </c>
      <c r="BY37" s="5">
        <v>0</v>
      </c>
      <c r="BZ37" s="5">
        <v>0</v>
      </c>
      <c r="CA37" s="5">
        <v>0</v>
      </c>
      <c r="CB37" s="5">
        <v>0</v>
      </c>
      <c r="CC37" s="5">
        <v>0</v>
      </c>
      <c r="CD37" s="5">
        <v>0</v>
      </c>
      <c r="CE37" s="5">
        <v>0</v>
      </c>
    </row>
    <row r="38" spans="1:83" x14ac:dyDescent="0.2">
      <c r="A38">
        <v>79</v>
      </c>
      <c r="B38" t="s">
        <v>1499</v>
      </c>
      <c r="E38" s="5"/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F38" s="5">
        <v>0</v>
      </c>
      <c r="AG38" s="5">
        <v>0</v>
      </c>
      <c r="AH38" s="5">
        <v>0</v>
      </c>
      <c r="AI38" s="5">
        <v>0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1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 s="5">
        <v>0</v>
      </c>
      <c r="AY38" s="5">
        <v>0</v>
      </c>
      <c r="AZ38" s="5">
        <v>0</v>
      </c>
      <c r="BA38" s="5">
        <v>0</v>
      </c>
      <c r="BB38" s="5">
        <v>0</v>
      </c>
      <c r="BC38" s="5">
        <v>0</v>
      </c>
      <c r="BD38" s="5">
        <v>0</v>
      </c>
      <c r="BE38" s="5">
        <v>0</v>
      </c>
      <c r="BF38" s="5">
        <v>0</v>
      </c>
      <c r="BG38" s="5">
        <v>0</v>
      </c>
      <c r="BH38" s="5">
        <v>0</v>
      </c>
      <c r="BI38" s="5">
        <v>0</v>
      </c>
      <c r="BJ38" s="5">
        <v>0</v>
      </c>
      <c r="BK38" s="5">
        <v>0</v>
      </c>
      <c r="BL38" s="5">
        <v>0</v>
      </c>
      <c r="BM38" s="5">
        <v>0</v>
      </c>
      <c r="BN38" s="5">
        <v>0</v>
      </c>
      <c r="BO38" s="5">
        <v>0</v>
      </c>
      <c r="BP38" s="5">
        <v>0</v>
      </c>
      <c r="BQ38" s="5">
        <v>0</v>
      </c>
      <c r="BR38" s="5">
        <v>0</v>
      </c>
      <c r="BS38" s="5">
        <v>0</v>
      </c>
      <c r="BT38" s="5">
        <v>0</v>
      </c>
      <c r="BU38" s="5">
        <v>0</v>
      </c>
      <c r="BV38" s="5">
        <v>0</v>
      </c>
      <c r="BW38" s="5">
        <v>0</v>
      </c>
      <c r="BX38" s="5">
        <v>0</v>
      </c>
      <c r="BY38" s="5">
        <v>0</v>
      </c>
      <c r="BZ38" s="5">
        <v>0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</row>
    <row r="39" spans="1:83" x14ac:dyDescent="0.2">
      <c r="A39">
        <v>80</v>
      </c>
      <c r="B39" t="s">
        <v>1500</v>
      </c>
      <c r="E39" s="5"/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F39" s="5">
        <v>0</v>
      </c>
      <c r="AG39" s="5">
        <v>0</v>
      </c>
      <c r="AH39" s="5">
        <v>0</v>
      </c>
      <c r="AI39" s="5">
        <v>0</v>
      </c>
      <c r="AJ39" s="5">
        <v>0</v>
      </c>
      <c r="AK39" s="5">
        <v>0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1</v>
      </c>
      <c r="AT39" s="5">
        <v>0</v>
      </c>
      <c r="AU39" s="5">
        <v>0</v>
      </c>
      <c r="AV39" s="5">
        <v>0</v>
      </c>
      <c r="AW39" s="5">
        <v>0</v>
      </c>
      <c r="AX39" s="5">
        <v>0</v>
      </c>
      <c r="AY39" s="5">
        <v>0</v>
      </c>
      <c r="AZ39" s="5">
        <v>0</v>
      </c>
      <c r="BA39" s="5">
        <v>0</v>
      </c>
      <c r="BB39" s="5">
        <v>0</v>
      </c>
      <c r="BC39" s="5">
        <v>0</v>
      </c>
      <c r="BD39" s="5">
        <v>0</v>
      </c>
      <c r="BE39" s="5">
        <v>0</v>
      </c>
      <c r="BF39" s="5">
        <v>0</v>
      </c>
      <c r="BG39" s="5">
        <v>0</v>
      </c>
      <c r="BH39" s="5">
        <v>0</v>
      </c>
      <c r="BI39" s="5">
        <v>0</v>
      </c>
      <c r="BJ39" s="5">
        <v>0</v>
      </c>
      <c r="BK39" s="5">
        <v>0</v>
      </c>
      <c r="BL39" s="5">
        <v>0</v>
      </c>
      <c r="BM39" s="5">
        <v>0</v>
      </c>
      <c r="BN39" s="5">
        <v>0</v>
      </c>
      <c r="BO39" s="5">
        <v>0</v>
      </c>
      <c r="BP39" s="5">
        <v>0</v>
      </c>
      <c r="BQ39" s="5">
        <v>0</v>
      </c>
      <c r="BR39" s="5">
        <v>0</v>
      </c>
      <c r="BS39" s="5">
        <v>0</v>
      </c>
      <c r="BT39" s="5">
        <v>0</v>
      </c>
      <c r="BU39" s="5">
        <v>0</v>
      </c>
      <c r="BV39" s="5">
        <v>0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5">
        <v>0</v>
      </c>
      <c r="CD39" s="5">
        <v>0</v>
      </c>
      <c r="CE39" s="5">
        <v>0</v>
      </c>
    </row>
    <row r="40" spans="1:83" x14ac:dyDescent="0.2">
      <c r="A40">
        <v>81</v>
      </c>
      <c r="B40" t="s">
        <v>1502</v>
      </c>
      <c r="E40" s="5"/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F40" s="5">
        <v>0</v>
      </c>
      <c r="AG40" s="5">
        <v>0</v>
      </c>
      <c r="AH40" s="5">
        <v>0</v>
      </c>
      <c r="AI40" s="5">
        <v>0</v>
      </c>
      <c r="AJ40" s="5">
        <v>0</v>
      </c>
      <c r="AK40" s="5">
        <v>0</v>
      </c>
      <c r="AL40" s="5">
        <v>0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1</v>
      </c>
      <c r="AU40" s="5">
        <v>0</v>
      </c>
      <c r="AV40" s="5">
        <v>0</v>
      </c>
      <c r="AW40" s="5">
        <v>0</v>
      </c>
      <c r="AX40" s="5">
        <v>0</v>
      </c>
      <c r="AY40" s="5">
        <v>0</v>
      </c>
      <c r="AZ40" s="5">
        <v>0</v>
      </c>
      <c r="BA40" s="5">
        <v>0</v>
      </c>
      <c r="BB40" s="5">
        <v>0</v>
      </c>
      <c r="BC40" s="5">
        <v>0</v>
      </c>
      <c r="BD40" s="5">
        <v>0</v>
      </c>
      <c r="BE40" s="5">
        <v>0</v>
      </c>
      <c r="BF40" s="5">
        <v>0</v>
      </c>
      <c r="BG40" s="5">
        <v>0</v>
      </c>
      <c r="BH40" s="5">
        <v>0</v>
      </c>
      <c r="BI40" s="5">
        <v>0</v>
      </c>
      <c r="BJ40" s="5">
        <v>0</v>
      </c>
      <c r="BK40" s="5">
        <v>0</v>
      </c>
      <c r="BL40" s="5">
        <v>0</v>
      </c>
      <c r="BM40" s="5">
        <v>0</v>
      </c>
      <c r="BN40" s="5">
        <v>0</v>
      </c>
      <c r="BO40" s="5">
        <v>0</v>
      </c>
      <c r="BP40" s="5">
        <v>0</v>
      </c>
      <c r="BQ40" s="5">
        <v>0</v>
      </c>
      <c r="BR40" s="5">
        <v>0</v>
      </c>
      <c r="BS40" s="5">
        <v>0</v>
      </c>
      <c r="BT40" s="5">
        <v>0</v>
      </c>
      <c r="BU40" s="5">
        <v>0</v>
      </c>
      <c r="BV40" s="5">
        <v>0</v>
      </c>
      <c r="BW40" s="5">
        <v>0</v>
      </c>
      <c r="BX40" s="5">
        <v>0</v>
      </c>
      <c r="BY40" s="5">
        <v>0</v>
      </c>
      <c r="BZ40" s="5">
        <v>0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</row>
    <row r="41" spans="1:83" x14ac:dyDescent="0.2">
      <c r="A41">
        <v>104</v>
      </c>
      <c r="B41" t="s">
        <v>1290</v>
      </c>
      <c r="E41" s="5"/>
      <c r="F41" s="5">
        <v>0</v>
      </c>
      <c r="G41" s="5">
        <v>0</v>
      </c>
      <c r="H41" s="5">
        <v>0</v>
      </c>
      <c r="I41" s="5">
        <v>6.8786562995113796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F41" s="5">
        <v>0</v>
      </c>
      <c r="AG41" s="5">
        <v>0</v>
      </c>
      <c r="AH41" s="5">
        <v>0</v>
      </c>
      <c r="AI41" s="5">
        <v>0</v>
      </c>
      <c r="AJ41" s="5">
        <v>0</v>
      </c>
      <c r="AK41" s="5">
        <v>0</v>
      </c>
      <c r="AL41" s="5">
        <v>-6.8786562995058125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-1.3024944779242198</v>
      </c>
      <c r="AW41" s="5">
        <v>-9.668939651523524E-2</v>
      </c>
      <c r="AX41" s="5">
        <v>0</v>
      </c>
      <c r="AY41" s="5">
        <v>-55.006597678004489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>
        <v>0</v>
      </c>
      <c r="BK41" s="5">
        <v>0</v>
      </c>
      <c r="BL41" s="5">
        <v>0</v>
      </c>
      <c r="BM41" s="5">
        <v>0</v>
      </c>
      <c r="BN41" s="5">
        <v>0</v>
      </c>
      <c r="BO41" s="5">
        <v>0</v>
      </c>
      <c r="BP41" s="5">
        <v>0</v>
      </c>
      <c r="BQ41" s="5">
        <v>0</v>
      </c>
      <c r="BR41" s="5">
        <v>0</v>
      </c>
      <c r="BS41" s="5">
        <v>0</v>
      </c>
      <c r="BT41" s="5">
        <v>0</v>
      </c>
      <c r="BU41" s="5">
        <v>0</v>
      </c>
      <c r="BV41" s="5">
        <v>0</v>
      </c>
      <c r="BW41" s="5">
        <v>0</v>
      </c>
      <c r="BX41" s="5">
        <v>0</v>
      </c>
      <c r="BY41" s="5">
        <v>0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</row>
    <row r="42" spans="1:83" x14ac:dyDescent="0.2">
      <c r="A42">
        <v>105</v>
      </c>
      <c r="B42" t="s">
        <v>1293</v>
      </c>
      <c r="E42" s="5"/>
      <c r="F42" s="5">
        <v>4.801391420211104E-4</v>
      </c>
      <c r="G42" s="5">
        <v>-8.7110958623830032E-4</v>
      </c>
      <c r="H42" s="5">
        <v>-3.767259133025156E-4</v>
      </c>
      <c r="I42" s="5">
        <v>4.2105439613674984E-3</v>
      </c>
      <c r="J42" s="5">
        <v>0</v>
      </c>
      <c r="K42" s="5">
        <v>0</v>
      </c>
      <c r="L42" s="5">
        <v>3.3486935840882914E-3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Z42" s="5">
        <v>-7.2605027010698084E-2</v>
      </c>
      <c r="AA42" s="5">
        <v>0</v>
      </c>
      <c r="AB42" s="5">
        <v>0</v>
      </c>
      <c r="AC42" s="5">
        <v>0</v>
      </c>
      <c r="AD42" s="5">
        <v>0</v>
      </c>
      <c r="AE42" s="5">
        <v>0</v>
      </c>
      <c r="AF42" s="5">
        <v>0</v>
      </c>
      <c r="AG42" s="5">
        <v>0</v>
      </c>
      <c r="AH42" s="5">
        <v>0</v>
      </c>
      <c r="AI42" s="5">
        <v>0</v>
      </c>
      <c r="AJ42" s="5">
        <v>0</v>
      </c>
      <c r="AK42" s="5">
        <v>0</v>
      </c>
      <c r="AL42" s="5">
        <v>-2.3268492782148893E-3</v>
      </c>
      <c r="AM42" s="5">
        <v>0</v>
      </c>
      <c r="AN42" s="5">
        <v>0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2.7971256697922066E-3</v>
      </c>
      <c r="AY42" s="5">
        <v>0</v>
      </c>
      <c r="AZ42" s="5">
        <v>-0.10701118955103084</v>
      </c>
      <c r="BA42" s="5">
        <v>-0.13895208517495128</v>
      </c>
      <c r="BB42" s="5">
        <v>0</v>
      </c>
      <c r="BC42" s="5">
        <v>0</v>
      </c>
      <c r="BD42" s="5">
        <v>0</v>
      </c>
      <c r="BE42" s="5">
        <v>0</v>
      </c>
      <c r="BF42" s="5">
        <v>0</v>
      </c>
      <c r="BG42" s="5">
        <v>0</v>
      </c>
      <c r="BH42" s="5">
        <v>0</v>
      </c>
      <c r="BI42" s="5">
        <v>0</v>
      </c>
      <c r="BJ42" s="5">
        <v>0</v>
      </c>
      <c r="BK42" s="5">
        <v>0</v>
      </c>
      <c r="BL42" s="5">
        <v>0</v>
      </c>
      <c r="BM42" s="5">
        <v>0</v>
      </c>
      <c r="BN42" s="5">
        <v>0</v>
      </c>
      <c r="BO42" s="5">
        <v>0</v>
      </c>
      <c r="BP42" s="5">
        <v>0</v>
      </c>
      <c r="BQ42" s="5">
        <v>0</v>
      </c>
      <c r="BR42" s="5">
        <v>0</v>
      </c>
      <c r="BS42" s="5">
        <v>0</v>
      </c>
      <c r="BT42" s="5">
        <v>0</v>
      </c>
      <c r="BU42" s="5">
        <v>0</v>
      </c>
      <c r="BV42" s="5">
        <v>0</v>
      </c>
      <c r="BW42" s="5">
        <v>0</v>
      </c>
      <c r="BX42" s="5">
        <v>0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</row>
    <row r="43" spans="1:83" x14ac:dyDescent="0.2">
      <c r="A43">
        <v>106</v>
      </c>
      <c r="B43" t="s">
        <v>1294</v>
      </c>
      <c r="E43" s="5"/>
      <c r="F43" s="5">
        <v>0.5859323287100705</v>
      </c>
      <c r="G43" s="5">
        <v>-1.0630486535168422</v>
      </c>
      <c r="H43" s="5">
        <v>-0.66603333407397547</v>
      </c>
      <c r="I43" s="5">
        <v>3.3684183651217148</v>
      </c>
      <c r="J43" s="5">
        <v>0</v>
      </c>
      <c r="K43" s="5">
        <v>0</v>
      </c>
      <c r="L43" s="5">
        <v>5.9203295389180539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Z43" s="5">
        <v>0</v>
      </c>
      <c r="AA43" s="5">
        <v>0</v>
      </c>
      <c r="AB43" s="5">
        <v>0</v>
      </c>
      <c r="AC43" s="5">
        <v>0</v>
      </c>
      <c r="AD43" s="5">
        <v>0</v>
      </c>
      <c r="AE43" s="5">
        <v>0</v>
      </c>
      <c r="AF43" s="5">
        <v>0</v>
      </c>
      <c r="AG43" s="5">
        <v>0</v>
      </c>
      <c r="AH43" s="5">
        <v>494.61807579802189</v>
      </c>
      <c r="AI43" s="5">
        <v>1.1523026763565731</v>
      </c>
      <c r="AJ43" s="5">
        <v>0</v>
      </c>
      <c r="AK43" s="5">
        <v>0</v>
      </c>
      <c r="AL43" s="5">
        <v>-3.8101889546870236E-2</v>
      </c>
      <c r="AM43" s="5">
        <v>0</v>
      </c>
      <c r="AN43" s="5">
        <v>0</v>
      </c>
      <c r="AO43" s="5">
        <v>-1.1920928955078125E-6</v>
      </c>
      <c r="AP43" s="5">
        <v>0</v>
      </c>
      <c r="AQ43" s="5">
        <v>0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-0.31224972743246315</v>
      </c>
      <c r="AY43" s="5">
        <v>0</v>
      </c>
      <c r="AZ43" s="5">
        <v>3.810190234798938E-2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-0.15230267635659889</v>
      </c>
      <c r="BG43" s="5">
        <v>1.1523026763565838</v>
      </c>
      <c r="BH43" s="5">
        <v>0</v>
      </c>
      <c r="BI43" s="5">
        <v>0</v>
      </c>
      <c r="BJ43" s="5">
        <v>0</v>
      </c>
      <c r="BK43" s="5">
        <v>0</v>
      </c>
      <c r="BL43" s="5">
        <v>0</v>
      </c>
      <c r="BM43" s="5">
        <v>0</v>
      </c>
      <c r="BN43" s="5">
        <v>0</v>
      </c>
      <c r="BO43" s="5">
        <v>0</v>
      </c>
      <c r="BP43" s="5">
        <v>0</v>
      </c>
      <c r="BQ43" s="5">
        <v>0</v>
      </c>
      <c r="BR43" s="5">
        <v>0</v>
      </c>
      <c r="BS43" s="5">
        <v>0</v>
      </c>
      <c r="BT43" s="5">
        <v>0</v>
      </c>
      <c r="BU43" s="5">
        <v>0</v>
      </c>
      <c r="BV43" s="5">
        <v>0</v>
      </c>
      <c r="BW43" s="5">
        <v>0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</row>
    <row r="44" spans="1:83" x14ac:dyDescent="0.2">
      <c r="A44">
        <v>107</v>
      </c>
      <c r="B44" t="s">
        <v>1296</v>
      </c>
      <c r="E44" s="5"/>
      <c r="F44" s="5">
        <v>0.31144187484824015</v>
      </c>
      <c r="G44" s="5">
        <v>-0.56504454436752138</v>
      </c>
      <c r="H44" s="5">
        <v>-0.30940084846267346</v>
      </c>
      <c r="I44" s="5">
        <v>1.6241737543096362</v>
      </c>
      <c r="J44" s="5">
        <v>0</v>
      </c>
      <c r="K44" s="5">
        <v>0</v>
      </c>
      <c r="L44" s="5">
        <v>2.7502452036678449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5">
        <v>0</v>
      </c>
      <c r="AA44" s="5">
        <v>0</v>
      </c>
      <c r="AB44" s="5">
        <v>0</v>
      </c>
      <c r="AC44" s="5">
        <v>0</v>
      </c>
      <c r="AD44" s="5">
        <v>0</v>
      </c>
      <c r="AE44" s="5">
        <v>0</v>
      </c>
      <c r="AF44" s="5">
        <v>0</v>
      </c>
      <c r="AG44" s="5">
        <v>0</v>
      </c>
      <c r="AH44" s="5">
        <v>0</v>
      </c>
      <c r="AI44" s="5">
        <v>0</v>
      </c>
      <c r="AJ44" s="5">
        <v>481.77636551029377</v>
      </c>
      <c r="AK44" s="5">
        <v>1.1659699043669165</v>
      </c>
      <c r="AL44" s="5">
        <v>-7.7099921077941516E-2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-0.6319051018908427</v>
      </c>
      <c r="AY44" s="5">
        <v>0</v>
      </c>
      <c r="AZ44" s="5">
        <v>7.7099927042581839E-2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-0.16596990436691561</v>
      </c>
      <c r="BI44" s="5">
        <v>1.1659699043669178</v>
      </c>
      <c r="BJ44" s="5">
        <v>0</v>
      </c>
      <c r="BK44" s="5">
        <v>0</v>
      </c>
      <c r="BL44" s="5">
        <v>0</v>
      </c>
      <c r="BM44" s="5">
        <v>0</v>
      </c>
      <c r="BN44" s="5">
        <v>0</v>
      </c>
      <c r="BO44" s="5">
        <v>0</v>
      </c>
      <c r="BP44" s="5">
        <v>0</v>
      </c>
      <c r="BQ44" s="5">
        <v>0</v>
      </c>
      <c r="BR44" s="5">
        <v>0</v>
      </c>
      <c r="BS44" s="5">
        <v>0</v>
      </c>
      <c r="BT44" s="5">
        <v>0</v>
      </c>
      <c r="BU44" s="5">
        <v>0</v>
      </c>
      <c r="BV44" s="5">
        <v>0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</row>
    <row r="45" spans="1:83" x14ac:dyDescent="0.2">
      <c r="A45">
        <v>108</v>
      </c>
      <c r="B45" t="s">
        <v>1295</v>
      </c>
      <c r="E45" s="5"/>
      <c r="F45" s="5">
        <v>1.7318697238829375</v>
      </c>
      <c r="G45" s="5">
        <v>-3.142106499044758</v>
      </c>
      <c r="H45" s="5">
        <v>-0.57174372639480775</v>
      </c>
      <c r="I45" s="5">
        <v>0.34493282635626432</v>
      </c>
      <c r="J45" s="5">
        <v>0</v>
      </c>
      <c r="K45" s="5">
        <v>0</v>
      </c>
      <c r="L45" s="5">
        <v>5.08219498769148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5">
        <v>0</v>
      </c>
      <c r="AA45" s="5">
        <v>733.91996716725953</v>
      </c>
      <c r="AB45" s="5">
        <v>2.1655547769737318</v>
      </c>
      <c r="AC45" s="5">
        <v>2.0557413989812447</v>
      </c>
      <c r="AD45" s="5">
        <v>0</v>
      </c>
      <c r="AE45" s="5">
        <v>0</v>
      </c>
      <c r="AF45" s="5">
        <v>0</v>
      </c>
      <c r="AG45" s="5">
        <v>0</v>
      </c>
      <c r="AH45" s="5">
        <v>0</v>
      </c>
      <c r="AI45" s="5">
        <v>0</v>
      </c>
      <c r="AJ45" s="5">
        <v>0</v>
      </c>
      <c r="AK45" s="5">
        <v>0</v>
      </c>
      <c r="AL45" s="5">
        <v>2.5139144033854128</v>
      </c>
      <c r="AM45" s="5">
        <v>0</v>
      </c>
      <c r="AN45" s="5">
        <v>0</v>
      </c>
      <c r="AO45" s="5">
        <v>0</v>
      </c>
      <c r="AP45" s="5">
        <v>0</v>
      </c>
      <c r="AQ45" s="5">
        <v>0</v>
      </c>
      <c r="AR45" s="5">
        <v>0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20.605753510660705</v>
      </c>
      <c r="AY45" s="5">
        <v>0</v>
      </c>
      <c r="AZ45" s="5">
        <v>-2.5139143920969218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5">
        <v>0</v>
      </c>
      <c r="BJ45" s="5">
        <v>-1.1414764158778326</v>
      </c>
      <c r="BK45" s="5">
        <v>2.0557413989810129</v>
      </c>
      <c r="BL45" s="5">
        <v>0</v>
      </c>
      <c r="BM45" s="5">
        <v>0</v>
      </c>
      <c r="BN45" s="5">
        <v>0</v>
      </c>
      <c r="BO45" s="5">
        <v>0</v>
      </c>
      <c r="BP45" s="5">
        <v>0</v>
      </c>
      <c r="BQ45" s="5">
        <v>0</v>
      </c>
      <c r="BR45" s="5">
        <v>0</v>
      </c>
      <c r="BS45" s="5">
        <v>0</v>
      </c>
      <c r="BT45" s="5">
        <v>0</v>
      </c>
      <c r="BU45" s="5">
        <v>0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</row>
    <row r="46" spans="1:83" x14ac:dyDescent="0.2">
      <c r="A46">
        <v>122</v>
      </c>
      <c r="B46" t="s">
        <v>1287</v>
      </c>
      <c r="E46" s="5"/>
      <c r="F46" s="5">
        <v>4.0546799897146359E-2</v>
      </c>
      <c r="G46" s="5">
        <v>-7.3563479813394117E-2</v>
      </c>
      <c r="H46" s="5">
        <v>-0.11164609465412423</v>
      </c>
      <c r="I46" s="5">
        <v>0.33254949372699888</v>
      </c>
      <c r="J46" s="5">
        <v>2.0573459367969624</v>
      </c>
      <c r="K46" s="5">
        <v>2.2523246632033511</v>
      </c>
      <c r="L46" s="5">
        <v>0.99241534230587547</v>
      </c>
      <c r="M46" s="5">
        <v>0</v>
      </c>
      <c r="N46" s="5">
        <v>0</v>
      </c>
      <c r="O46" s="5">
        <v>0</v>
      </c>
      <c r="P46" s="5">
        <v>0</v>
      </c>
      <c r="Q46" s="5">
        <v>1.4125120226479659E-2</v>
      </c>
      <c r="R46" s="5">
        <v>1.4125120225528837E-2</v>
      </c>
      <c r="S46" s="5">
        <v>1.4125120225176566E-2</v>
      </c>
      <c r="T46" s="5">
        <v>1.4125120224255869E-2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0.50219914542241817</v>
      </c>
      <c r="AA46" s="5">
        <v>0</v>
      </c>
      <c r="AB46" s="5">
        <v>0</v>
      </c>
      <c r="AC46" s="5">
        <v>0</v>
      </c>
      <c r="AD46" s="5">
        <v>0</v>
      </c>
      <c r="AE46" s="5">
        <v>0</v>
      </c>
      <c r="AF46" s="5">
        <v>1.3730648689634108</v>
      </c>
      <c r="AG46" s="5">
        <v>1.9745635743753098E-3</v>
      </c>
      <c r="AH46" s="5">
        <v>0</v>
      </c>
      <c r="AI46" s="5">
        <v>0</v>
      </c>
      <c r="AJ46" s="5">
        <v>0</v>
      </c>
      <c r="AK46" s="5">
        <v>0</v>
      </c>
      <c r="AL46" s="5">
        <v>1.7655864443382865</v>
      </c>
      <c r="AM46" s="5">
        <v>2.5158426874806707</v>
      </c>
      <c r="AN46" s="5">
        <v>0</v>
      </c>
      <c r="AO46" s="5">
        <v>7.5679779052734375</v>
      </c>
      <c r="AP46" s="5">
        <v>1.2096759186270845E-3</v>
      </c>
      <c r="AQ46" s="5">
        <v>0.11200698685066464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5">
        <v>0</v>
      </c>
      <c r="BK46" s="5">
        <v>0</v>
      </c>
      <c r="BL46" s="5">
        <v>-2.835013885129297</v>
      </c>
      <c r="BM46" s="5">
        <v>-0.21045446738891521</v>
      </c>
      <c r="BN46" s="5">
        <v>0</v>
      </c>
      <c r="BO46" s="5">
        <v>-119.72754649739471</v>
      </c>
      <c r="BP46" s="5">
        <v>0</v>
      </c>
      <c r="BQ46" s="5">
        <v>0</v>
      </c>
      <c r="BR46" s="5">
        <v>0</v>
      </c>
      <c r="BS46" s="5">
        <v>0</v>
      </c>
      <c r="BT46" s="5">
        <v>0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5">
        <v>0</v>
      </c>
      <c r="CC46" s="5">
        <v>0</v>
      </c>
      <c r="CD46" s="5">
        <v>0</v>
      </c>
      <c r="CE46" s="5">
        <v>0</v>
      </c>
    </row>
    <row r="47" spans="1:83" x14ac:dyDescent="0.2">
      <c r="A47">
        <v>123</v>
      </c>
      <c r="B47" t="s">
        <v>1300</v>
      </c>
      <c r="E47" s="5"/>
      <c r="F47" s="5">
        <v>-4.4107537905514263E-2</v>
      </c>
      <c r="G47" s="5">
        <v>8.0023675914290174E-2</v>
      </c>
      <c r="H47" s="5">
        <v>0.23357828861633897</v>
      </c>
      <c r="I47" s="5">
        <v>-0.44623294488759618</v>
      </c>
      <c r="J47" s="5">
        <v>-0.36284866452828718</v>
      </c>
      <c r="K47" s="5">
        <v>-0.36915206596375177</v>
      </c>
      <c r="L47" s="5">
        <v>-2.0762632377353327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20.272120189451215</v>
      </c>
      <c r="AA47" s="5">
        <v>0</v>
      </c>
      <c r="AB47" s="5">
        <v>0</v>
      </c>
      <c r="AC47" s="5">
        <v>0</v>
      </c>
      <c r="AD47" s="5">
        <v>0</v>
      </c>
      <c r="AE47" s="5">
        <v>0</v>
      </c>
      <c r="AF47" s="5">
        <v>0</v>
      </c>
      <c r="AG47" s="5">
        <v>0</v>
      </c>
      <c r="AH47" s="5">
        <v>0</v>
      </c>
      <c r="AI47" s="5">
        <v>0</v>
      </c>
      <c r="AJ47" s="5">
        <v>0</v>
      </c>
      <c r="AK47" s="5">
        <v>0</v>
      </c>
      <c r="AL47" s="5">
        <v>2.4640408477536995E-3</v>
      </c>
      <c r="AM47" s="5">
        <v>-0.11559966721855791</v>
      </c>
      <c r="AN47" s="5">
        <v>0.34521210678622083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>
        <v>0</v>
      </c>
      <c r="BK47" s="5">
        <v>0</v>
      </c>
      <c r="BL47" s="5">
        <v>0</v>
      </c>
      <c r="BM47" s="5">
        <v>0</v>
      </c>
      <c r="BN47" s="5">
        <v>0.20655080631424991</v>
      </c>
      <c r="BO47" s="5">
        <v>0</v>
      </c>
      <c r="BP47" s="5">
        <v>-3.5610150174761657E-2</v>
      </c>
      <c r="BQ47" s="5">
        <v>0</v>
      </c>
      <c r="BR47" s="5">
        <v>-0.20831843009659679</v>
      </c>
      <c r="BS47" s="5">
        <v>-1.2083184908115072</v>
      </c>
      <c r="BT47" s="5">
        <v>0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</row>
    <row r="48" spans="1:83" x14ac:dyDescent="0.2">
      <c r="A48">
        <v>124</v>
      </c>
      <c r="B48" t="s">
        <v>1297</v>
      </c>
      <c r="E48" s="5"/>
      <c r="F48" s="5">
        <v>3.1245438479755232E-4</v>
      </c>
      <c r="G48" s="5">
        <v>-5.668815267041307E-4</v>
      </c>
      <c r="H48" s="5">
        <v>-8.1536248255090617E-4</v>
      </c>
      <c r="I48" s="5">
        <v>2.2145024803309401E-3</v>
      </c>
      <c r="J48" s="5">
        <v>1.8993250369367352E-3</v>
      </c>
      <c r="K48" s="5">
        <v>1.8994392485073822E-3</v>
      </c>
      <c r="L48" s="5">
        <v>7.2477075750717601E-3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-5.8612547528618199E-2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F48" s="5">
        <v>0</v>
      </c>
      <c r="AG48" s="5">
        <v>0</v>
      </c>
      <c r="AH48" s="5">
        <v>0</v>
      </c>
      <c r="AI48" s="5">
        <v>0</v>
      </c>
      <c r="AJ48" s="5">
        <v>0</v>
      </c>
      <c r="AK48" s="5">
        <v>0</v>
      </c>
      <c r="AL48" s="5">
        <v>-5.9748027216147863E-4</v>
      </c>
      <c r="AM48" s="5">
        <v>-3.4240601591726996E-4</v>
      </c>
      <c r="AN48" s="5">
        <v>0</v>
      </c>
      <c r="AO48" s="5">
        <v>0.3333134651184082</v>
      </c>
      <c r="AP48" s="5">
        <v>0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5">
        <v>0</v>
      </c>
      <c r="BL48" s="5">
        <v>0</v>
      </c>
      <c r="BM48" s="5">
        <v>0</v>
      </c>
      <c r="BN48" s="5">
        <v>1.3260702467946569E-3</v>
      </c>
      <c r="BO48" s="5">
        <v>0</v>
      </c>
      <c r="BP48" s="5">
        <v>-1.6989558786519865E-2</v>
      </c>
      <c r="BQ48" s="5">
        <v>-0.20831843009723627</v>
      </c>
      <c r="BR48" s="5">
        <v>0</v>
      </c>
      <c r="BS48" s="5">
        <v>0</v>
      </c>
      <c r="BT48" s="5">
        <v>0</v>
      </c>
      <c r="BU48" s="5">
        <v>0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</row>
    <row r="49" spans="1:83" x14ac:dyDescent="0.2">
      <c r="A49">
        <v>125</v>
      </c>
      <c r="B49" t="s">
        <v>1298</v>
      </c>
      <c r="E49" s="5"/>
      <c r="F49" s="5">
        <v>0.43089726281048374</v>
      </c>
      <c r="G49" s="5">
        <v>-0.78177074824187776</v>
      </c>
      <c r="H49" s="5">
        <v>-1.8325111545405823</v>
      </c>
      <c r="I49" s="5">
        <v>3.4607687171948127</v>
      </c>
      <c r="J49" s="5">
        <v>2.9677629658096927</v>
      </c>
      <c r="K49" s="5">
        <v>2.9677363413708013</v>
      </c>
      <c r="L49" s="5">
        <v>16.289080307678432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F49" s="5">
        <v>0</v>
      </c>
      <c r="AG49" s="5">
        <v>0</v>
      </c>
      <c r="AH49" s="5">
        <v>659.49158723981964</v>
      </c>
      <c r="AI49" s="5">
        <v>0.84740855559476813</v>
      </c>
      <c r="AJ49" s="5">
        <v>0</v>
      </c>
      <c r="AK49" s="5">
        <v>0</v>
      </c>
      <c r="AL49" s="5">
        <v>-0.49730131316123344</v>
      </c>
      <c r="AM49" s="5">
        <v>-0.27575240533962919</v>
      </c>
      <c r="AN49" s="5">
        <v>0</v>
      </c>
      <c r="AO49" s="5">
        <v>0</v>
      </c>
      <c r="AP49" s="5">
        <v>0</v>
      </c>
      <c r="AQ49" s="5">
        <v>0</v>
      </c>
      <c r="AR49" s="5">
        <v>0</v>
      </c>
      <c r="AS49" s="5">
        <v>0.15453771901084057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5">
        <v>0</v>
      </c>
      <c r="BL49" s="5">
        <v>0</v>
      </c>
      <c r="BM49" s="5">
        <v>0</v>
      </c>
      <c r="BN49" s="5">
        <v>0.48267262823168572</v>
      </c>
      <c r="BO49" s="5">
        <v>0</v>
      </c>
      <c r="BP49" s="5">
        <v>-8.321451257870649E-2</v>
      </c>
      <c r="BQ49" s="5">
        <v>0</v>
      </c>
      <c r="BR49" s="5">
        <v>0</v>
      </c>
      <c r="BS49" s="5">
        <v>0</v>
      </c>
      <c r="BT49" s="5">
        <v>0</v>
      </c>
      <c r="BU49" s="5">
        <v>0</v>
      </c>
      <c r="BV49" s="5">
        <v>0</v>
      </c>
      <c r="BW49" s="5">
        <v>0</v>
      </c>
      <c r="BX49" s="5">
        <v>0</v>
      </c>
      <c r="BY49" s="5">
        <v>0</v>
      </c>
      <c r="BZ49" s="5">
        <v>0</v>
      </c>
      <c r="CA49" s="5">
        <v>0</v>
      </c>
      <c r="CB49" s="5">
        <v>-1.9462746056748276E-3</v>
      </c>
      <c r="CC49" s="5">
        <v>1.0019462746057286</v>
      </c>
      <c r="CD49" s="5">
        <v>0</v>
      </c>
      <c r="CE49" s="5">
        <v>0</v>
      </c>
    </row>
    <row r="50" spans="1:83" x14ac:dyDescent="0.2">
      <c r="A50">
        <v>126</v>
      </c>
      <c r="B50" t="s">
        <v>1299</v>
      </c>
      <c r="E50" s="5"/>
      <c r="F50" s="5">
        <v>1.749407639637341</v>
      </c>
      <c r="G50" s="5">
        <v>-3.1739252890563185</v>
      </c>
      <c r="H50" s="5">
        <v>-0.67867814237499724</v>
      </c>
      <c r="I50" s="5">
        <v>3.2454091200971522</v>
      </c>
      <c r="J50" s="5">
        <v>0.66625749264461387</v>
      </c>
      <c r="K50" s="5">
        <v>0.66630568832520576</v>
      </c>
      <c r="L50" s="5">
        <v>6.032728505592786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755.51707648528463</v>
      </c>
      <c r="AB50" s="5">
        <v>2.1874844368772379</v>
      </c>
      <c r="AC50" s="5">
        <v>2.0100764724992448</v>
      </c>
      <c r="AD50" s="5">
        <v>6.3839603946934886E-2</v>
      </c>
      <c r="AE50" s="5">
        <v>3.8247128483384074E-3</v>
      </c>
      <c r="AF50" s="5">
        <v>0</v>
      </c>
      <c r="AG50" s="5">
        <v>0</v>
      </c>
      <c r="AH50" s="5">
        <v>0</v>
      </c>
      <c r="AI50" s="5">
        <v>0</v>
      </c>
      <c r="AJ50" s="5">
        <v>0</v>
      </c>
      <c r="AK50" s="5">
        <v>0</v>
      </c>
      <c r="AL50" s="5">
        <v>-5.3755023141549332</v>
      </c>
      <c r="AM50" s="5">
        <v>-0.1354888216550276</v>
      </c>
      <c r="AN50" s="5">
        <v>0</v>
      </c>
      <c r="AO50" s="5">
        <v>0</v>
      </c>
      <c r="AP50" s="5">
        <v>0</v>
      </c>
      <c r="AQ50" s="5">
        <v>0</v>
      </c>
      <c r="AR50" s="5">
        <v>0</v>
      </c>
      <c r="AS50" s="5">
        <v>0</v>
      </c>
      <c r="AT50" s="5">
        <v>0.43485679436511537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5">
        <v>0</v>
      </c>
      <c r="BL50" s="5">
        <v>0</v>
      </c>
      <c r="BM50" s="5">
        <v>0</v>
      </c>
      <c r="BN50" s="5">
        <v>2.7177350941914189</v>
      </c>
      <c r="BO50" s="5">
        <v>0</v>
      </c>
      <c r="BP50" s="5">
        <v>-0.46854722002535709</v>
      </c>
      <c r="BQ50" s="5">
        <v>0</v>
      </c>
      <c r="BR50" s="5">
        <v>0</v>
      </c>
      <c r="BS50" s="5">
        <v>0</v>
      </c>
      <c r="BT50" s="5">
        <v>0</v>
      </c>
      <c r="BU50" s="5">
        <v>0</v>
      </c>
      <c r="BV50" s="5">
        <v>0</v>
      </c>
      <c r="BW50" s="5">
        <v>0</v>
      </c>
      <c r="BX50" s="5">
        <v>0</v>
      </c>
      <c r="BY50" s="5">
        <v>0</v>
      </c>
      <c r="BZ50" s="5">
        <v>0</v>
      </c>
      <c r="CA50" s="5">
        <v>0</v>
      </c>
      <c r="CB50" s="5">
        <v>0</v>
      </c>
      <c r="CC50" s="5">
        <v>0</v>
      </c>
      <c r="CD50" s="5">
        <v>-1.3146046186183469</v>
      </c>
      <c r="CE50" s="5">
        <v>2.2331131332740028</v>
      </c>
    </row>
  </sheetData>
  <sortState xmlns:xlrd2="http://schemas.microsoft.com/office/spreadsheetml/2017/richdata2" columnSort="1" ref="F1:CE50">
    <sortCondition ref="F1:CE1"/>
  </sortState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"/>
  <dimension ref="A1:EWY12054"/>
  <sheetViews>
    <sheetView workbookViewId="0"/>
  </sheetViews>
  <sheetFormatPr defaultRowHeight="12.75" x14ac:dyDescent="0.2"/>
  <cols>
    <col min="2" max="2" width="48.140625" customWidth="1"/>
  </cols>
  <sheetData>
    <row r="1" spans="1:172" ht="15" x14ac:dyDescent="0.25">
      <c r="B1" s="31"/>
    </row>
    <row r="4" spans="1:172" ht="25.5" x14ac:dyDescent="0.25">
      <c r="B4" t="s">
        <v>116</v>
      </c>
      <c r="C4" s="13" t="s">
        <v>512</v>
      </c>
      <c r="D4" s="13" t="s">
        <v>513</v>
      </c>
      <c r="E4" s="13" t="s">
        <v>514</v>
      </c>
      <c r="F4" s="13" t="s">
        <v>515</v>
      </c>
      <c r="G4" s="13" t="s">
        <v>516</v>
      </c>
      <c r="H4" s="13" t="s">
        <v>517</v>
      </c>
      <c r="I4" s="13" t="s">
        <v>519</v>
      </c>
      <c r="J4" s="13" t="s">
        <v>520</v>
      </c>
      <c r="K4" s="13" t="s">
        <v>564</v>
      </c>
      <c r="L4" s="13" t="s">
        <v>565</v>
      </c>
      <c r="M4" s="13" t="s">
        <v>566</v>
      </c>
      <c r="N4" s="13" t="s">
        <v>567</v>
      </c>
      <c r="O4" s="13" t="s">
        <v>568</v>
      </c>
      <c r="P4" s="13" t="s">
        <v>569</v>
      </c>
      <c r="Q4" s="13" t="s">
        <v>570</v>
      </c>
      <c r="R4" s="13" t="s">
        <v>571</v>
      </c>
      <c r="S4" s="13" t="s">
        <v>572</v>
      </c>
      <c r="T4" s="13" t="s">
        <v>573</v>
      </c>
      <c r="U4" s="13" t="s">
        <v>574</v>
      </c>
      <c r="V4" s="13" t="s">
        <v>575</v>
      </c>
      <c r="W4" s="13" t="s">
        <v>576</v>
      </c>
      <c r="X4" s="13" t="s">
        <v>577</v>
      </c>
      <c r="Y4" s="13" t="s">
        <v>578</v>
      </c>
      <c r="Z4" s="13" t="s">
        <v>579</v>
      </c>
      <c r="AA4" s="13" t="s">
        <v>580</v>
      </c>
      <c r="AB4" s="13" t="s">
        <v>581</v>
      </c>
      <c r="AC4" s="13" t="s">
        <v>582</v>
      </c>
      <c r="AD4" s="13" t="s">
        <v>583</v>
      </c>
      <c r="AE4" s="13" t="s">
        <v>584</v>
      </c>
      <c r="AF4" s="13" t="s">
        <v>585</v>
      </c>
      <c r="AG4" s="13" t="s">
        <v>586</v>
      </c>
      <c r="AH4" s="13" t="s">
        <v>587</v>
      </c>
      <c r="AI4" s="13" t="s">
        <v>588</v>
      </c>
      <c r="AJ4" s="13" t="s">
        <v>623</v>
      </c>
      <c r="AK4" s="13" t="s">
        <v>624</v>
      </c>
      <c r="AL4" s="13" t="s">
        <v>625</v>
      </c>
      <c r="AM4" s="13" t="s">
        <v>626</v>
      </c>
      <c r="AN4" s="13" t="s">
        <v>627</v>
      </c>
      <c r="AO4" s="13" t="s">
        <v>628</v>
      </c>
      <c r="AP4" s="13" t="s">
        <v>629</v>
      </c>
      <c r="AQ4" s="13" t="s">
        <v>630</v>
      </c>
      <c r="AR4" s="13" t="s">
        <v>1763</v>
      </c>
      <c r="AS4" s="13" t="s">
        <v>631</v>
      </c>
      <c r="AT4" s="13" t="s">
        <v>632</v>
      </c>
      <c r="AU4" s="13" t="s">
        <v>633</v>
      </c>
      <c r="AV4" s="13" t="s">
        <v>634</v>
      </c>
      <c r="AW4" s="13" t="s">
        <v>1764</v>
      </c>
      <c r="AX4" s="13" t="s">
        <v>635</v>
      </c>
      <c r="AY4" s="13" t="s">
        <v>636</v>
      </c>
      <c r="AZ4" s="13" t="s">
        <v>637</v>
      </c>
      <c r="BA4" s="13" t="s">
        <v>638</v>
      </c>
      <c r="BB4" s="13" t="s">
        <v>639</v>
      </c>
      <c r="BC4" s="13" t="s">
        <v>1765</v>
      </c>
      <c r="BD4" s="13" t="s">
        <v>640</v>
      </c>
      <c r="BE4" s="13" t="s">
        <v>641</v>
      </c>
      <c r="BF4" s="13" t="s">
        <v>642</v>
      </c>
      <c r="BG4" s="13" t="s">
        <v>1766</v>
      </c>
      <c r="BH4" s="13" t="s">
        <v>643</v>
      </c>
      <c r="BI4" s="13" t="s">
        <v>644</v>
      </c>
      <c r="BJ4" s="13" t="s">
        <v>645</v>
      </c>
      <c r="BK4" s="13" t="s">
        <v>646</v>
      </c>
      <c r="BL4" s="60" t="s">
        <v>647</v>
      </c>
      <c r="BM4" s="60" t="s">
        <v>648</v>
      </c>
      <c r="BN4" s="60" t="s">
        <v>649</v>
      </c>
      <c r="BO4" s="13" t="s">
        <v>650</v>
      </c>
      <c r="BP4" s="13" t="s">
        <v>651</v>
      </c>
      <c r="BQ4" s="13" t="s">
        <v>652</v>
      </c>
      <c r="BR4" s="13" t="s">
        <v>653</v>
      </c>
      <c r="BS4" s="13" t="s">
        <v>654</v>
      </c>
      <c r="BT4" s="13" t="s">
        <v>655</v>
      </c>
      <c r="BU4" s="13" t="s">
        <v>656</v>
      </c>
      <c r="BV4" s="13" t="s">
        <v>657</v>
      </c>
      <c r="BW4" s="13" t="s">
        <v>554</v>
      </c>
      <c r="BX4" s="13" t="s">
        <v>555</v>
      </c>
      <c r="BY4" s="13" t="s">
        <v>662</v>
      </c>
      <c r="BZ4" s="13" t="s">
        <v>663</v>
      </c>
      <c r="CA4" s="13" t="s">
        <v>664</v>
      </c>
      <c r="CB4" s="13" t="s">
        <v>665</v>
      </c>
      <c r="CC4" s="13" t="s">
        <v>1512</v>
      </c>
      <c r="CD4" s="13" t="s">
        <v>547</v>
      </c>
      <c r="CE4" s="13" t="s">
        <v>1496</v>
      </c>
      <c r="CF4" s="13" t="s">
        <v>666</v>
      </c>
      <c r="CG4" s="13" t="s">
        <v>667</v>
      </c>
      <c r="CH4" s="13" t="s">
        <v>668</v>
      </c>
      <c r="CI4" s="13" t="s">
        <v>669</v>
      </c>
      <c r="CJ4" s="13" t="s">
        <v>670</v>
      </c>
      <c r="CK4" s="13" t="s">
        <v>671</v>
      </c>
      <c r="CL4" s="13" t="s">
        <v>1513</v>
      </c>
      <c r="CM4" s="13" t="s">
        <v>1514</v>
      </c>
      <c r="CN4" s="13" t="s">
        <v>1515</v>
      </c>
      <c r="CO4" s="13" t="s">
        <v>1516</v>
      </c>
      <c r="CP4" s="13" t="s">
        <v>1517</v>
      </c>
      <c r="CQ4" s="13" t="s">
        <v>1518</v>
      </c>
      <c r="CR4" s="13" t="s">
        <v>1519</v>
      </c>
      <c r="CS4" s="13" t="s">
        <v>546</v>
      </c>
      <c r="CT4" s="13" t="s">
        <v>1524</v>
      </c>
      <c r="CU4" s="13" t="s">
        <v>683</v>
      </c>
      <c r="CV4" s="13" t="s">
        <v>1525</v>
      </c>
      <c r="CW4" s="13" t="s">
        <v>1526</v>
      </c>
      <c r="CX4" s="13" t="s">
        <v>1527</v>
      </c>
      <c r="CY4" s="13" t="s">
        <v>1769</v>
      </c>
      <c r="CZ4" s="13" t="s">
        <v>684</v>
      </c>
      <c r="DA4" s="13" t="s">
        <v>685</v>
      </c>
      <c r="DB4" s="13" t="s">
        <v>686</v>
      </c>
      <c r="DC4" s="13" t="s">
        <v>1770</v>
      </c>
      <c r="DD4" s="13" t="s">
        <v>1306</v>
      </c>
      <c r="DE4" s="13" t="s">
        <v>1276</v>
      </c>
      <c r="DF4" s="13" t="s">
        <v>1277</v>
      </c>
      <c r="DG4" s="13" t="s">
        <v>1307</v>
      </c>
      <c r="DH4" s="13" t="s">
        <v>1308</v>
      </c>
      <c r="DI4" s="13" t="s">
        <v>1309</v>
      </c>
      <c r="DJ4" s="13" t="s">
        <v>1288</v>
      </c>
      <c r="DK4" s="13" t="s">
        <v>1289</v>
      </c>
      <c r="DL4" s="13" t="s">
        <v>1291</v>
      </c>
      <c r="DM4" s="13" t="s">
        <v>1292</v>
      </c>
      <c r="DN4" s="13" t="s">
        <v>1320</v>
      </c>
      <c r="DO4" s="13" t="s">
        <v>1329</v>
      </c>
      <c r="DP4" s="13" t="s">
        <v>1335</v>
      </c>
      <c r="DQ4" s="13" t="s">
        <v>1332</v>
      </c>
      <c r="DR4" s="13" t="s">
        <v>1318</v>
      </c>
      <c r="DS4" s="13" t="s">
        <v>1319</v>
      </c>
      <c r="DT4" s="13" t="s">
        <v>1321</v>
      </c>
      <c r="DU4" s="13" t="s">
        <v>1322</v>
      </c>
      <c r="DV4" s="13" t="s">
        <v>1323</v>
      </c>
      <c r="DW4" s="13" t="s">
        <v>1324</v>
      </c>
      <c r="DX4" s="13" t="s">
        <v>1325</v>
      </c>
      <c r="DY4" s="13" t="s">
        <v>1326</v>
      </c>
      <c r="DZ4" s="13" t="s">
        <v>1327</v>
      </c>
      <c r="EA4" s="13" t="s">
        <v>1328</v>
      </c>
      <c r="EB4" s="13" t="s">
        <v>1330</v>
      </c>
      <c r="EC4" s="13" t="s">
        <v>1331</v>
      </c>
      <c r="ED4" s="13" t="s">
        <v>1333</v>
      </c>
      <c r="EE4" s="13" t="s">
        <v>1334</v>
      </c>
      <c r="EF4" s="13" t="s">
        <v>1336</v>
      </c>
      <c r="EG4" s="13" t="s">
        <v>1533</v>
      </c>
      <c r="EH4" s="13" t="s">
        <v>1505</v>
      </c>
      <c r="EI4" s="13" t="s">
        <v>1506</v>
      </c>
      <c r="EJ4" s="13" t="s">
        <v>1534</v>
      </c>
      <c r="EK4" s="13" t="s">
        <v>1535</v>
      </c>
      <c r="EL4" s="13" t="s">
        <v>1536</v>
      </c>
      <c r="EM4" s="13" t="s">
        <v>1283</v>
      </c>
      <c r="EN4" s="13" t="s">
        <v>1284</v>
      </c>
      <c r="EO4" s="13" t="s">
        <v>1285</v>
      </c>
      <c r="EP4" s="13" t="s">
        <v>1286</v>
      </c>
      <c r="EQ4" s="13" t="s">
        <v>1550</v>
      </c>
      <c r="ER4" s="13" t="s">
        <v>1548</v>
      </c>
      <c r="ES4" s="13" t="s">
        <v>1563</v>
      </c>
      <c r="ET4" s="13" t="s">
        <v>1566</v>
      </c>
      <c r="EU4" s="13" t="s">
        <v>1546</v>
      </c>
      <c r="EV4" s="13" t="s">
        <v>1547</v>
      </c>
      <c r="EW4" s="13" t="s">
        <v>1549</v>
      </c>
      <c r="EX4" s="13" t="s">
        <v>1551</v>
      </c>
      <c r="EY4" s="13" t="s">
        <v>1552</v>
      </c>
      <c r="EZ4" s="13" t="s">
        <v>1553</v>
      </c>
      <c r="FA4" s="13" t="s">
        <v>1554</v>
      </c>
      <c r="FB4" s="13" t="s">
        <v>1555</v>
      </c>
      <c r="FC4" s="13" t="s">
        <v>1556</v>
      </c>
      <c r="FD4" s="13" t="s">
        <v>1557</v>
      </c>
      <c r="FE4" s="13" t="s">
        <v>1558</v>
      </c>
      <c r="FF4" s="13" t="s">
        <v>1559</v>
      </c>
      <c r="FG4" s="13" t="s">
        <v>1560</v>
      </c>
      <c r="FH4" s="13" t="s">
        <v>1561</v>
      </c>
      <c r="FI4" s="13" t="s">
        <v>1772</v>
      </c>
      <c r="FJ4" s="13" t="s">
        <v>1773</v>
      </c>
      <c r="FK4" s="13" t="s">
        <v>1774</v>
      </c>
      <c r="FL4" s="13" t="s">
        <v>1562</v>
      </c>
      <c r="FM4" s="13" t="s">
        <v>1564</v>
      </c>
      <c r="FN4" s="13" t="s">
        <v>1565</v>
      </c>
      <c r="FO4" s="13" t="s">
        <v>1567</v>
      </c>
      <c r="FP4" s="13"/>
    </row>
    <row r="5" spans="1:172" x14ac:dyDescent="0.2">
      <c r="B5" t="s">
        <v>117</v>
      </c>
      <c r="C5">
        <v>1</v>
      </c>
      <c r="D5">
        <v>2</v>
      </c>
      <c r="E5">
        <v>3</v>
      </c>
      <c r="F5">
        <v>4</v>
      </c>
      <c r="G5">
        <v>5</v>
      </c>
      <c r="H5">
        <v>6</v>
      </c>
      <c r="I5">
        <v>7</v>
      </c>
      <c r="J5">
        <v>8</v>
      </c>
      <c r="K5">
        <v>9</v>
      </c>
      <c r="L5">
        <v>10</v>
      </c>
      <c r="M5">
        <v>11</v>
      </c>
      <c r="N5">
        <v>12</v>
      </c>
      <c r="O5">
        <v>13</v>
      </c>
      <c r="P5">
        <v>14</v>
      </c>
      <c r="Q5">
        <v>15</v>
      </c>
      <c r="R5">
        <v>16</v>
      </c>
      <c r="S5">
        <v>17</v>
      </c>
      <c r="T5">
        <v>18</v>
      </c>
      <c r="U5">
        <v>19</v>
      </c>
      <c r="V5">
        <v>20</v>
      </c>
      <c r="W5">
        <v>21</v>
      </c>
      <c r="X5">
        <v>22</v>
      </c>
      <c r="Y5">
        <v>23</v>
      </c>
      <c r="Z5">
        <v>24</v>
      </c>
      <c r="AA5">
        <v>25</v>
      </c>
      <c r="AB5">
        <v>26</v>
      </c>
      <c r="AC5">
        <v>27</v>
      </c>
      <c r="AD5">
        <v>28</v>
      </c>
      <c r="AE5">
        <v>29</v>
      </c>
      <c r="AF5">
        <v>30</v>
      </c>
      <c r="AG5">
        <v>31</v>
      </c>
      <c r="AH5">
        <v>32</v>
      </c>
      <c r="AI5">
        <v>33</v>
      </c>
      <c r="AJ5">
        <v>34</v>
      </c>
      <c r="AK5">
        <v>35</v>
      </c>
      <c r="AL5">
        <v>36</v>
      </c>
      <c r="AM5">
        <v>37</v>
      </c>
      <c r="AN5">
        <v>38</v>
      </c>
      <c r="AO5">
        <v>39</v>
      </c>
      <c r="AP5">
        <v>40</v>
      </c>
      <c r="AQ5">
        <v>41</v>
      </c>
      <c r="AR5">
        <v>42</v>
      </c>
      <c r="AS5">
        <v>43</v>
      </c>
      <c r="AT5">
        <v>44</v>
      </c>
      <c r="AU5">
        <v>45</v>
      </c>
      <c r="AV5">
        <v>46</v>
      </c>
      <c r="AW5">
        <v>47</v>
      </c>
      <c r="AX5">
        <v>48</v>
      </c>
      <c r="AY5">
        <v>49</v>
      </c>
      <c r="AZ5">
        <v>50</v>
      </c>
      <c r="BA5">
        <v>51</v>
      </c>
      <c r="BB5">
        <v>52</v>
      </c>
      <c r="BC5">
        <v>53</v>
      </c>
      <c r="BD5">
        <v>54</v>
      </c>
      <c r="BE5">
        <v>55</v>
      </c>
      <c r="BF5">
        <v>56</v>
      </c>
      <c r="BG5">
        <v>57</v>
      </c>
      <c r="BH5">
        <v>58</v>
      </c>
      <c r="BI5">
        <v>59</v>
      </c>
      <c r="BJ5">
        <v>60</v>
      </c>
      <c r="BK5">
        <v>61</v>
      </c>
      <c r="BL5">
        <v>62</v>
      </c>
      <c r="BM5">
        <v>63</v>
      </c>
      <c r="BN5">
        <v>64</v>
      </c>
      <c r="BO5">
        <v>65</v>
      </c>
      <c r="BP5">
        <v>66</v>
      </c>
      <c r="BQ5">
        <v>67</v>
      </c>
      <c r="BR5">
        <v>68</v>
      </c>
      <c r="BS5">
        <v>69</v>
      </c>
      <c r="BT5">
        <v>70</v>
      </c>
      <c r="BU5">
        <v>71</v>
      </c>
      <c r="BV5">
        <v>72</v>
      </c>
      <c r="BW5">
        <v>73</v>
      </c>
      <c r="BX5">
        <v>74</v>
      </c>
      <c r="BY5">
        <v>75</v>
      </c>
      <c r="BZ5">
        <v>76</v>
      </c>
      <c r="CA5">
        <v>77</v>
      </c>
      <c r="CB5">
        <v>78</v>
      </c>
      <c r="CC5">
        <v>79</v>
      </c>
      <c r="CD5">
        <v>80</v>
      </c>
      <c r="CE5">
        <v>81</v>
      </c>
      <c r="CF5">
        <v>82</v>
      </c>
      <c r="CG5">
        <v>83</v>
      </c>
      <c r="CH5">
        <v>84</v>
      </c>
      <c r="CI5">
        <v>85</v>
      </c>
      <c r="CJ5">
        <v>86</v>
      </c>
      <c r="CK5">
        <v>87</v>
      </c>
      <c r="CL5">
        <v>88</v>
      </c>
      <c r="CM5">
        <v>89</v>
      </c>
      <c r="CN5">
        <v>90</v>
      </c>
      <c r="CO5">
        <v>91</v>
      </c>
      <c r="CP5">
        <v>92</v>
      </c>
      <c r="CQ5">
        <v>93</v>
      </c>
      <c r="CR5">
        <v>94</v>
      </c>
      <c r="CS5">
        <v>95</v>
      </c>
      <c r="CT5">
        <v>96</v>
      </c>
      <c r="CU5">
        <v>97</v>
      </c>
      <c r="CV5">
        <v>98</v>
      </c>
      <c r="CW5">
        <v>99</v>
      </c>
      <c r="CX5">
        <v>100</v>
      </c>
      <c r="CY5">
        <v>101</v>
      </c>
      <c r="CZ5">
        <v>102</v>
      </c>
      <c r="DA5">
        <v>103</v>
      </c>
      <c r="DB5">
        <v>104</v>
      </c>
      <c r="DC5">
        <v>105</v>
      </c>
      <c r="DD5">
        <v>106</v>
      </c>
      <c r="DE5">
        <v>107</v>
      </c>
      <c r="DF5">
        <v>108</v>
      </c>
      <c r="DG5">
        <v>109</v>
      </c>
      <c r="DH5">
        <v>110</v>
      </c>
      <c r="DI5">
        <v>111</v>
      </c>
      <c r="DJ5">
        <v>112</v>
      </c>
      <c r="DK5">
        <v>113</v>
      </c>
      <c r="DL5">
        <v>114</v>
      </c>
      <c r="DM5">
        <v>115</v>
      </c>
      <c r="DN5">
        <v>116</v>
      </c>
      <c r="DO5">
        <v>117</v>
      </c>
      <c r="DP5">
        <v>118</v>
      </c>
      <c r="DQ5">
        <v>119</v>
      </c>
      <c r="DR5">
        <v>120</v>
      </c>
      <c r="DS5">
        <v>121</v>
      </c>
      <c r="DT5">
        <v>122</v>
      </c>
      <c r="DU5">
        <v>123</v>
      </c>
      <c r="DV5">
        <v>124</v>
      </c>
      <c r="DW5">
        <v>125</v>
      </c>
      <c r="DX5">
        <v>126</v>
      </c>
      <c r="DY5">
        <v>127</v>
      </c>
      <c r="DZ5">
        <v>128</v>
      </c>
      <c r="EA5">
        <v>129</v>
      </c>
      <c r="EB5">
        <v>130</v>
      </c>
      <c r="EC5">
        <v>131</v>
      </c>
      <c r="ED5">
        <v>132</v>
      </c>
      <c r="EE5">
        <v>133</v>
      </c>
      <c r="EF5">
        <v>134</v>
      </c>
      <c r="EG5">
        <v>135</v>
      </c>
      <c r="EH5">
        <v>136</v>
      </c>
      <c r="EI5">
        <v>137</v>
      </c>
      <c r="EJ5">
        <v>138</v>
      </c>
      <c r="EK5">
        <v>139</v>
      </c>
      <c r="EL5">
        <v>140</v>
      </c>
      <c r="EM5">
        <v>141</v>
      </c>
      <c r="EN5">
        <v>142</v>
      </c>
      <c r="EO5">
        <v>143</v>
      </c>
      <c r="EP5">
        <v>144</v>
      </c>
      <c r="EQ5">
        <v>145</v>
      </c>
      <c r="ER5">
        <v>146</v>
      </c>
      <c r="ES5">
        <v>147</v>
      </c>
      <c r="ET5">
        <v>148</v>
      </c>
      <c r="EU5">
        <v>149</v>
      </c>
      <c r="EV5">
        <v>150</v>
      </c>
      <c r="EW5">
        <v>151</v>
      </c>
      <c r="EX5">
        <v>152</v>
      </c>
      <c r="EY5">
        <v>153</v>
      </c>
      <c r="EZ5">
        <v>154</v>
      </c>
      <c r="FA5">
        <v>155</v>
      </c>
      <c r="FB5">
        <v>156</v>
      </c>
      <c r="FC5">
        <v>157</v>
      </c>
      <c r="FD5">
        <v>158</v>
      </c>
      <c r="FE5">
        <v>159</v>
      </c>
      <c r="FF5">
        <v>160</v>
      </c>
      <c r="FG5">
        <v>161</v>
      </c>
      <c r="FH5">
        <v>162</v>
      </c>
      <c r="FI5">
        <v>163</v>
      </c>
      <c r="FJ5">
        <v>164</v>
      </c>
      <c r="FK5">
        <v>165</v>
      </c>
      <c r="FL5">
        <v>166</v>
      </c>
      <c r="FM5">
        <v>167</v>
      </c>
      <c r="FN5">
        <v>168</v>
      </c>
      <c r="FO5">
        <v>169</v>
      </c>
    </row>
    <row r="6" spans="1:172" ht="13.5" x14ac:dyDescent="0.25">
      <c r="B6" t="s">
        <v>100</v>
      </c>
      <c r="C6" s="12">
        <v>0</v>
      </c>
      <c r="D6" s="12">
        <v>0</v>
      </c>
      <c r="E6" s="12">
        <v>0</v>
      </c>
      <c r="F6" s="12">
        <v>4</v>
      </c>
      <c r="G6" s="12">
        <v>0</v>
      </c>
      <c r="H6" s="12">
        <v>0</v>
      </c>
      <c r="I6" s="12">
        <v>0</v>
      </c>
      <c r="J6" s="12">
        <v>4</v>
      </c>
      <c r="K6" s="12">
        <v>4</v>
      </c>
      <c r="L6" s="12">
        <v>4</v>
      </c>
      <c r="M6" s="12">
        <v>4</v>
      </c>
      <c r="N6" s="12">
        <v>4</v>
      </c>
      <c r="O6" s="12">
        <v>4</v>
      </c>
      <c r="P6" s="12">
        <v>4</v>
      </c>
      <c r="Q6" s="12">
        <v>4</v>
      </c>
      <c r="R6" s="12">
        <v>4</v>
      </c>
      <c r="S6" s="12">
        <v>4</v>
      </c>
      <c r="T6" s="12">
        <v>4</v>
      </c>
      <c r="U6" s="12">
        <v>4</v>
      </c>
      <c r="V6" s="12">
        <v>4</v>
      </c>
      <c r="W6" s="12">
        <v>4</v>
      </c>
      <c r="X6" s="12">
        <v>4</v>
      </c>
      <c r="Y6" s="12">
        <v>4</v>
      </c>
      <c r="Z6" s="12">
        <v>4</v>
      </c>
      <c r="AA6" s="12">
        <v>4</v>
      </c>
      <c r="AB6" s="12">
        <v>4</v>
      </c>
      <c r="AC6" s="12">
        <v>4</v>
      </c>
      <c r="AD6" s="12">
        <v>4</v>
      </c>
      <c r="AE6" s="12">
        <v>4</v>
      </c>
      <c r="AF6" s="12">
        <v>4</v>
      </c>
      <c r="AG6" s="12">
        <v>4</v>
      </c>
      <c r="AH6" s="12">
        <v>4</v>
      </c>
      <c r="AI6" s="12">
        <v>4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4</v>
      </c>
      <c r="AY6" s="12">
        <v>4</v>
      </c>
      <c r="AZ6" s="12">
        <v>4</v>
      </c>
      <c r="BA6" s="12">
        <v>4</v>
      </c>
      <c r="BB6" s="12">
        <v>4</v>
      </c>
      <c r="BC6" s="12">
        <v>4</v>
      </c>
      <c r="BD6" s="12">
        <v>4</v>
      </c>
      <c r="BE6" s="12">
        <v>4</v>
      </c>
      <c r="BF6" s="12">
        <v>4</v>
      </c>
      <c r="BG6" s="12">
        <v>4</v>
      </c>
      <c r="BH6" s="12">
        <v>0</v>
      </c>
      <c r="BI6" s="12">
        <v>4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4</v>
      </c>
      <c r="BR6" s="12">
        <v>4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4</v>
      </c>
      <c r="BY6" s="12">
        <v>4</v>
      </c>
      <c r="BZ6" s="12">
        <v>4</v>
      </c>
      <c r="CA6" s="12">
        <v>4</v>
      </c>
      <c r="CB6" s="12">
        <v>4</v>
      </c>
      <c r="CC6" s="12">
        <v>4</v>
      </c>
      <c r="CD6" s="12">
        <v>4</v>
      </c>
      <c r="CE6" s="12">
        <v>0</v>
      </c>
      <c r="CF6" s="12">
        <v>4</v>
      </c>
      <c r="CG6" s="12">
        <v>4</v>
      </c>
      <c r="CH6" s="12">
        <v>4</v>
      </c>
      <c r="CI6" s="12">
        <v>4</v>
      </c>
      <c r="CJ6" s="12">
        <v>4</v>
      </c>
      <c r="CK6" s="12">
        <v>4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4</v>
      </c>
      <c r="CU6" s="12">
        <v>4</v>
      </c>
      <c r="CV6" s="12">
        <v>4</v>
      </c>
      <c r="CW6" s="12">
        <v>4</v>
      </c>
      <c r="CX6" s="12">
        <v>4</v>
      </c>
      <c r="CY6" s="12">
        <v>4</v>
      </c>
      <c r="CZ6" s="12">
        <v>4</v>
      </c>
      <c r="DA6" s="12">
        <v>4</v>
      </c>
      <c r="DB6" s="12">
        <v>4</v>
      </c>
      <c r="DC6" s="12">
        <v>4</v>
      </c>
      <c r="DD6" s="12">
        <v>4</v>
      </c>
      <c r="DE6" s="12">
        <v>4</v>
      </c>
      <c r="DF6" s="12">
        <v>4</v>
      </c>
      <c r="DG6" s="12">
        <v>4</v>
      </c>
      <c r="DH6" s="12">
        <v>4</v>
      </c>
      <c r="DI6" s="12">
        <v>4</v>
      </c>
      <c r="DJ6" s="12">
        <v>0</v>
      </c>
      <c r="DK6" s="12">
        <v>0</v>
      </c>
      <c r="DL6" s="12">
        <v>4</v>
      </c>
      <c r="DM6" s="12">
        <v>0</v>
      </c>
      <c r="DN6" s="12">
        <v>4</v>
      </c>
      <c r="DO6" s="12">
        <v>4</v>
      </c>
      <c r="DP6" s="12">
        <v>4</v>
      </c>
      <c r="DQ6" s="12">
        <v>4</v>
      </c>
      <c r="DR6" s="12">
        <v>0</v>
      </c>
      <c r="DS6" s="12">
        <v>0</v>
      </c>
      <c r="DT6" s="12">
        <v>0</v>
      </c>
      <c r="DU6" s="12">
        <v>4</v>
      </c>
      <c r="DV6" s="12">
        <v>0</v>
      </c>
      <c r="DW6" s="12">
        <v>0</v>
      </c>
      <c r="DX6" s="12">
        <v>4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4</v>
      </c>
      <c r="EH6" s="12">
        <v>4</v>
      </c>
      <c r="EI6" s="12">
        <v>4</v>
      </c>
      <c r="EJ6" s="12">
        <v>4</v>
      </c>
      <c r="EK6" s="12">
        <v>4</v>
      </c>
      <c r="EL6" s="12">
        <v>4</v>
      </c>
      <c r="EM6" s="12">
        <v>0</v>
      </c>
      <c r="EN6" s="12">
        <v>0</v>
      </c>
      <c r="EO6" s="12">
        <v>4</v>
      </c>
      <c r="EP6" s="12">
        <v>0</v>
      </c>
      <c r="EQ6" s="12">
        <v>4</v>
      </c>
      <c r="ER6" s="12">
        <v>4</v>
      </c>
      <c r="ES6" s="12">
        <v>4</v>
      </c>
      <c r="ET6" s="12">
        <v>4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4</v>
      </c>
      <c r="FA6" s="12">
        <v>0</v>
      </c>
      <c r="FB6" s="12">
        <v>0</v>
      </c>
      <c r="FC6" s="12">
        <v>4</v>
      </c>
      <c r="FD6" s="12">
        <v>0</v>
      </c>
      <c r="FE6" s="12">
        <v>0</v>
      </c>
      <c r="FF6" s="12">
        <v>4</v>
      </c>
      <c r="FG6" s="12">
        <v>0</v>
      </c>
      <c r="FH6" s="12">
        <v>0</v>
      </c>
      <c r="FI6" s="12">
        <v>4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/>
    </row>
    <row r="7" spans="1:172" x14ac:dyDescent="0.2">
      <c r="B7" t="s">
        <v>118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  <c r="T7">
        <v>1</v>
      </c>
      <c r="U7">
        <v>1</v>
      </c>
      <c r="V7">
        <v>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v>1</v>
      </c>
      <c r="AS7">
        <v>1</v>
      </c>
      <c r="AT7">
        <v>1</v>
      </c>
      <c r="AU7">
        <v>1</v>
      </c>
      <c r="AV7">
        <v>1</v>
      </c>
      <c r="AW7">
        <v>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1</v>
      </c>
      <c r="BW7">
        <v>1</v>
      </c>
      <c r="BX7">
        <v>1</v>
      </c>
      <c r="BY7">
        <v>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1</v>
      </c>
      <c r="CL7">
        <v>1</v>
      </c>
      <c r="CM7">
        <v>1</v>
      </c>
      <c r="CN7">
        <v>1</v>
      </c>
      <c r="CO7">
        <v>1</v>
      </c>
      <c r="CP7">
        <v>1</v>
      </c>
      <c r="CQ7">
        <v>1</v>
      </c>
      <c r="CR7">
        <v>1</v>
      </c>
      <c r="CS7">
        <v>1</v>
      </c>
      <c r="CT7">
        <v>1</v>
      </c>
      <c r="CU7">
        <v>1</v>
      </c>
      <c r="CV7">
        <v>1</v>
      </c>
      <c r="CW7">
        <v>1</v>
      </c>
      <c r="CX7">
        <v>1</v>
      </c>
      <c r="CY7">
        <v>1</v>
      </c>
      <c r="CZ7">
        <v>1</v>
      </c>
      <c r="DA7">
        <v>1</v>
      </c>
      <c r="DB7">
        <v>1</v>
      </c>
      <c r="DC7">
        <v>1</v>
      </c>
      <c r="DD7">
        <v>1</v>
      </c>
      <c r="DE7">
        <v>1</v>
      </c>
      <c r="DF7">
        <v>1</v>
      </c>
      <c r="DG7">
        <v>1</v>
      </c>
      <c r="DH7">
        <v>1</v>
      </c>
      <c r="DI7">
        <v>1</v>
      </c>
      <c r="DJ7">
        <v>1</v>
      </c>
      <c r="DK7">
        <v>1</v>
      </c>
      <c r="DL7">
        <v>1</v>
      </c>
      <c r="DM7">
        <v>1</v>
      </c>
      <c r="DN7">
        <v>1</v>
      </c>
      <c r="DO7">
        <v>1</v>
      </c>
      <c r="DP7">
        <v>1</v>
      </c>
      <c r="DQ7">
        <v>1</v>
      </c>
      <c r="DR7">
        <v>1</v>
      </c>
      <c r="DS7">
        <v>1</v>
      </c>
      <c r="DT7">
        <v>1</v>
      </c>
      <c r="DU7">
        <v>1</v>
      </c>
      <c r="DV7">
        <v>1</v>
      </c>
      <c r="DW7">
        <v>1</v>
      </c>
      <c r="DX7">
        <v>1</v>
      </c>
      <c r="DY7">
        <v>1</v>
      </c>
      <c r="DZ7">
        <v>1</v>
      </c>
      <c r="EA7">
        <v>1</v>
      </c>
      <c r="EB7">
        <v>1</v>
      </c>
      <c r="EC7">
        <v>1</v>
      </c>
      <c r="ED7">
        <v>1</v>
      </c>
      <c r="EE7">
        <v>1</v>
      </c>
      <c r="EF7">
        <v>1</v>
      </c>
      <c r="EG7">
        <v>1</v>
      </c>
      <c r="EH7">
        <v>1</v>
      </c>
      <c r="EI7">
        <v>1</v>
      </c>
      <c r="EJ7">
        <v>1</v>
      </c>
      <c r="EK7">
        <v>1</v>
      </c>
      <c r="EL7">
        <v>1</v>
      </c>
      <c r="EM7">
        <v>1</v>
      </c>
      <c r="EN7">
        <v>1</v>
      </c>
      <c r="EO7">
        <v>1</v>
      </c>
      <c r="EP7">
        <v>1</v>
      </c>
      <c r="EQ7">
        <v>1</v>
      </c>
      <c r="ER7">
        <v>1</v>
      </c>
      <c r="ES7">
        <v>1</v>
      </c>
      <c r="ET7">
        <v>1</v>
      </c>
      <c r="EU7">
        <v>1</v>
      </c>
      <c r="EV7">
        <v>1</v>
      </c>
      <c r="EW7">
        <v>1</v>
      </c>
      <c r="EX7">
        <v>1</v>
      </c>
      <c r="EY7">
        <v>1</v>
      </c>
      <c r="EZ7">
        <v>1</v>
      </c>
      <c r="FA7">
        <v>1</v>
      </c>
      <c r="FB7">
        <v>1</v>
      </c>
      <c r="FC7">
        <v>1</v>
      </c>
      <c r="FD7">
        <v>1</v>
      </c>
      <c r="FE7">
        <v>1</v>
      </c>
      <c r="FF7">
        <v>1</v>
      </c>
      <c r="FG7">
        <v>1</v>
      </c>
      <c r="FH7">
        <v>1</v>
      </c>
      <c r="FI7">
        <v>1</v>
      </c>
      <c r="FJ7">
        <v>1</v>
      </c>
      <c r="FK7">
        <v>1</v>
      </c>
      <c r="FL7">
        <v>1</v>
      </c>
      <c r="FM7">
        <v>1</v>
      </c>
      <c r="FN7">
        <v>1</v>
      </c>
      <c r="FO7">
        <v>1</v>
      </c>
    </row>
    <row r="9" spans="1:172" ht="33.75" x14ac:dyDescent="0.2">
      <c r="B9" t="s">
        <v>119</v>
      </c>
      <c r="C9" s="19" t="s">
        <v>557</v>
      </c>
      <c r="D9" s="19" t="s">
        <v>558</v>
      </c>
      <c r="E9" s="19" t="s">
        <v>559</v>
      </c>
      <c r="F9" s="19" t="s">
        <v>560</v>
      </c>
      <c r="G9" s="19" t="s">
        <v>561</v>
      </c>
      <c r="H9" s="19" t="s">
        <v>562</v>
      </c>
      <c r="I9" s="19" t="s">
        <v>563</v>
      </c>
      <c r="J9" s="19" t="s">
        <v>521</v>
      </c>
      <c r="K9" s="19" t="s">
        <v>535</v>
      </c>
      <c r="L9" s="19" t="s">
        <v>538</v>
      </c>
      <c r="M9" s="19" t="s">
        <v>534</v>
      </c>
      <c r="N9" s="19" t="s">
        <v>536</v>
      </c>
      <c r="O9" s="19" t="s">
        <v>539</v>
      </c>
      <c r="P9" s="19" t="s">
        <v>537</v>
      </c>
      <c r="Q9" s="19" t="s">
        <v>527</v>
      </c>
      <c r="R9" s="19" t="s">
        <v>523</v>
      </c>
      <c r="S9" s="19" t="s">
        <v>526</v>
      </c>
      <c r="T9" s="19" t="s">
        <v>522</v>
      </c>
      <c r="U9" s="19" t="s">
        <v>524</v>
      </c>
      <c r="V9" s="19" t="s">
        <v>525</v>
      </c>
      <c r="W9" s="19" t="s">
        <v>533</v>
      </c>
      <c r="X9" s="19" t="s">
        <v>529</v>
      </c>
      <c r="Y9" s="19" t="s">
        <v>532</v>
      </c>
      <c r="Z9" s="19" t="s">
        <v>528</v>
      </c>
      <c r="AA9" s="19" t="s">
        <v>530</v>
      </c>
      <c r="AB9" s="19" t="s">
        <v>531</v>
      </c>
      <c r="AC9" s="19" t="s">
        <v>589</v>
      </c>
      <c r="AD9" s="19" t="s">
        <v>590</v>
      </c>
      <c r="AE9" s="19" t="s">
        <v>591</v>
      </c>
      <c r="AF9" s="19" t="s">
        <v>592</v>
      </c>
      <c r="AG9" s="19" t="s">
        <v>593</v>
      </c>
      <c r="AH9" s="19" t="s">
        <v>594</v>
      </c>
      <c r="AI9" s="19" t="s">
        <v>595</v>
      </c>
      <c r="AJ9" s="19" t="s">
        <v>596</v>
      </c>
      <c r="AK9" s="19" t="s">
        <v>597</v>
      </c>
      <c r="AL9" s="19" t="s">
        <v>598</v>
      </c>
      <c r="AM9" s="19" t="s">
        <v>599</v>
      </c>
      <c r="AN9" s="19" t="s">
        <v>1761</v>
      </c>
      <c r="AO9" s="19" t="s">
        <v>600</v>
      </c>
      <c r="AP9" s="19" t="s">
        <v>601</v>
      </c>
      <c r="AQ9" s="19" t="s">
        <v>602</v>
      </c>
      <c r="AR9" s="19" t="s">
        <v>1762</v>
      </c>
      <c r="AS9" s="19" t="s">
        <v>603</v>
      </c>
      <c r="AT9" s="19" t="s">
        <v>604</v>
      </c>
      <c r="AU9" s="19" t="s">
        <v>605</v>
      </c>
      <c r="AV9" s="19" t="s">
        <v>606</v>
      </c>
      <c r="AW9" s="19" t="s">
        <v>607</v>
      </c>
      <c r="AX9" s="19" t="s">
        <v>608</v>
      </c>
      <c r="AY9" s="19" t="s">
        <v>609</v>
      </c>
      <c r="AZ9" s="19" t="s">
        <v>610</v>
      </c>
      <c r="BA9" s="19" t="s">
        <v>611</v>
      </c>
      <c r="BB9" s="19" t="s">
        <v>612</v>
      </c>
      <c r="BC9" s="19" t="s">
        <v>613</v>
      </c>
      <c r="BD9" s="19" t="s">
        <v>614</v>
      </c>
      <c r="BE9" s="19" t="s">
        <v>615</v>
      </c>
      <c r="BF9" s="19" t="s">
        <v>616</v>
      </c>
      <c r="BG9" s="19" t="s">
        <v>617</v>
      </c>
      <c r="BH9" s="19" t="s">
        <v>618</v>
      </c>
      <c r="BI9" s="19" t="s">
        <v>619</v>
      </c>
      <c r="BJ9" s="19" t="s">
        <v>620</v>
      </c>
      <c r="BK9" s="19" t="s">
        <v>621</v>
      </c>
      <c r="BL9" s="19" t="s">
        <v>622</v>
      </c>
      <c r="BM9" s="19" t="s">
        <v>556</v>
      </c>
      <c r="BN9" s="19" t="s">
        <v>658</v>
      </c>
      <c r="BO9" s="19" t="s">
        <v>659</v>
      </c>
      <c r="BP9" s="19" t="s">
        <v>660</v>
      </c>
      <c r="BQ9" s="19" t="s">
        <v>661</v>
      </c>
      <c r="BR9" s="19" t="s">
        <v>1511</v>
      </c>
      <c r="BS9" s="19" t="s">
        <v>553</v>
      </c>
      <c r="BT9" s="19" t="s">
        <v>549</v>
      </c>
      <c r="BU9" s="19" t="s">
        <v>552</v>
      </c>
      <c r="BV9" s="19" t="s">
        <v>548</v>
      </c>
      <c r="BW9" s="19" t="s">
        <v>550</v>
      </c>
      <c r="BX9" s="19" t="s">
        <v>551</v>
      </c>
      <c r="BY9" s="19" t="s">
        <v>1503</v>
      </c>
      <c r="BZ9" s="19" t="s">
        <v>1497</v>
      </c>
      <c r="CA9" s="19" t="s">
        <v>1501</v>
      </c>
      <c r="CB9" s="19" t="s">
        <v>1498</v>
      </c>
      <c r="CC9" s="19" t="s">
        <v>1499</v>
      </c>
      <c r="CD9" s="19" t="s">
        <v>1500</v>
      </c>
      <c r="CE9" s="19" t="s">
        <v>1502</v>
      </c>
      <c r="CF9" s="19" t="s">
        <v>672</v>
      </c>
      <c r="CG9" s="19" t="s">
        <v>673</v>
      </c>
      <c r="CH9" s="19" t="s">
        <v>674</v>
      </c>
      <c r="CI9" s="19" t="s">
        <v>675</v>
      </c>
      <c r="CJ9" s="19" t="s">
        <v>676</v>
      </c>
      <c r="CK9" s="19" t="s">
        <v>677</v>
      </c>
      <c r="CL9" s="19" t="s">
        <v>1767</v>
      </c>
      <c r="CM9" s="19" t="s">
        <v>678</v>
      </c>
      <c r="CN9" s="19" t="s">
        <v>679</v>
      </c>
      <c r="CO9" s="19" t="s">
        <v>680</v>
      </c>
      <c r="CP9" s="19" t="s">
        <v>681</v>
      </c>
      <c r="CQ9" s="19" t="s">
        <v>682</v>
      </c>
      <c r="CR9" s="19" t="s">
        <v>1520</v>
      </c>
      <c r="CS9" s="19" t="s">
        <v>1521</v>
      </c>
      <c r="CT9" s="19" t="s">
        <v>1522</v>
      </c>
      <c r="CU9" s="19" t="s">
        <v>1768</v>
      </c>
      <c r="CV9" s="19" t="s">
        <v>1523</v>
      </c>
      <c r="CW9" s="19" t="s">
        <v>1301</v>
      </c>
      <c r="CX9" s="19" t="s">
        <v>1302</v>
      </c>
      <c r="CY9" s="19" t="s">
        <v>1303</v>
      </c>
      <c r="CZ9" s="19" t="s">
        <v>1304</v>
      </c>
      <c r="DA9" s="19" t="s">
        <v>1305</v>
      </c>
      <c r="DB9" s="19" t="s">
        <v>1290</v>
      </c>
      <c r="DC9" s="19" t="s">
        <v>1293</v>
      </c>
      <c r="DD9" s="19" t="s">
        <v>1294</v>
      </c>
      <c r="DE9" s="19" t="s">
        <v>1296</v>
      </c>
      <c r="DF9" s="19" t="s">
        <v>1295</v>
      </c>
      <c r="DG9" s="19" t="s">
        <v>1310</v>
      </c>
      <c r="DH9" s="19" t="s">
        <v>1311</v>
      </c>
      <c r="DI9" s="19" t="s">
        <v>1312</v>
      </c>
      <c r="DJ9" s="19" t="s">
        <v>1313</v>
      </c>
      <c r="DK9" s="19" t="s">
        <v>1314</v>
      </c>
      <c r="DL9" s="19" t="s">
        <v>1315</v>
      </c>
      <c r="DM9" s="19" t="s">
        <v>1316</v>
      </c>
      <c r="DN9" s="19" t="s">
        <v>1317</v>
      </c>
      <c r="DO9" s="19" t="s">
        <v>1528</v>
      </c>
      <c r="DP9" s="19" t="s">
        <v>1529</v>
      </c>
      <c r="DQ9" s="19" t="s">
        <v>1530</v>
      </c>
      <c r="DR9" s="19" t="s">
        <v>1531</v>
      </c>
      <c r="DS9" s="19" t="s">
        <v>1532</v>
      </c>
      <c r="DT9" s="19" t="s">
        <v>1287</v>
      </c>
      <c r="DU9" s="19" t="s">
        <v>1300</v>
      </c>
      <c r="DV9" s="19" t="s">
        <v>1297</v>
      </c>
      <c r="DW9" s="19" t="s">
        <v>1298</v>
      </c>
      <c r="DX9" s="19" t="s">
        <v>1299</v>
      </c>
      <c r="DY9" s="19" t="s">
        <v>1537</v>
      </c>
      <c r="DZ9" s="19" t="s">
        <v>1538</v>
      </c>
      <c r="EA9" s="19" t="s">
        <v>1539</v>
      </c>
      <c r="EB9" s="19" t="s">
        <v>1540</v>
      </c>
      <c r="EC9" s="19" t="s">
        <v>1541</v>
      </c>
      <c r="ED9" s="19" t="s">
        <v>1542</v>
      </c>
      <c r="EE9" s="19" t="s">
        <v>1543</v>
      </c>
      <c r="EF9" s="19" t="s">
        <v>1771</v>
      </c>
      <c r="EG9" s="19" t="s">
        <v>1544</v>
      </c>
      <c r="EH9" s="19" t="s">
        <v>1545</v>
      </c>
      <c r="EI9" s="19"/>
    </row>
    <row r="10" spans="1:172" x14ac:dyDescent="0.2">
      <c r="B10" t="s">
        <v>120</v>
      </c>
      <c r="C10">
        <v>1</v>
      </c>
      <c r="D10">
        <v>2</v>
      </c>
      <c r="E10">
        <v>3</v>
      </c>
      <c r="F10">
        <v>4</v>
      </c>
      <c r="G10">
        <v>5</v>
      </c>
      <c r="H10">
        <v>6</v>
      </c>
      <c r="I10">
        <v>7</v>
      </c>
      <c r="J10">
        <v>8</v>
      </c>
      <c r="K10">
        <v>9</v>
      </c>
      <c r="L10">
        <v>10</v>
      </c>
      <c r="M10">
        <v>11</v>
      </c>
      <c r="N10">
        <v>12</v>
      </c>
      <c r="O10">
        <v>13</v>
      </c>
      <c r="P10">
        <v>14</v>
      </c>
      <c r="Q10">
        <v>15</v>
      </c>
      <c r="R10">
        <v>16</v>
      </c>
      <c r="S10">
        <v>17</v>
      </c>
      <c r="T10">
        <v>18</v>
      </c>
      <c r="U10">
        <v>19</v>
      </c>
      <c r="V10">
        <v>20</v>
      </c>
      <c r="W10">
        <v>21</v>
      </c>
      <c r="X10">
        <v>22</v>
      </c>
      <c r="Y10">
        <v>23</v>
      </c>
      <c r="Z10">
        <v>24</v>
      </c>
      <c r="AA10">
        <v>25</v>
      </c>
      <c r="AB10">
        <v>26</v>
      </c>
      <c r="AC10">
        <v>27</v>
      </c>
      <c r="AD10">
        <v>28</v>
      </c>
      <c r="AE10">
        <v>29</v>
      </c>
      <c r="AF10">
        <v>30</v>
      </c>
      <c r="AG10">
        <v>31</v>
      </c>
      <c r="AH10">
        <v>32</v>
      </c>
      <c r="AI10">
        <v>33</v>
      </c>
      <c r="AJ10">
        <v>34</v>
      </c>
      <c r="AK10">
        <v>35</v>
      </c>
      <c r="AL10">
        <v>36</v>
      </c>
      <c r="AM10">
        <v>37</v>
      </c>
      <c r="AN10">
        <v>38</v>
      </c>
      <c r="AO10">
        <v>39</v>
      </c>
      <c r="AP10">
        <v>40</v>
      </c>
      <c r="AQ10">
        <v>41</v>
      </c>
      <c r="AR10">
        <v>42</v>
      </c>
      <c r="AS10">
        <v>43</v>
      </c>
      <c r="AT10">
        <v>44</v>
      </c>
      <c r="AU10">
        <v>45</v>
      </c>
      <c r="AV10">
        <v>46</v>
      </c>
      <c r="AW10">
        <v>47</v>
      </c>
      <c r="AX10">
        <v>48</v>
      </c>
      <c r="AY10">
        <v>49</v>
      </c>
      <c r="AZ10">
        <v>50</v>
      </c>
      <c r="BA10">
        <v>51</v>
      </c>
      <c r="BB10">
        <v>52</v>
      </c>
      <c r="BC10">
        <v>53</v>
      </c>
      <c r="BD10">
        <v>54</v>
      </c>
      <c r="BE10">
        <v>55</v>
      </c>
      <c r="BF10">
        <v>56</v>
      </c>
      <c r="BG10">
        <v>57</v>
      </c>
      <c r="BH10">
        <v>58</v>
      </c>
      <c r="BI10">
        <v>59</v>
      </c>
      <c r="BJ10">
        <v>60</v>
      </c>
      <c r="BK10">
        <v>61</v>
      </c>
      <c r="BL10">
        <v>62</v>
      </c>
      <c r="BM10">
        <v>63</v>
      </c>
      <c r="BN10">
        <v>64</v>
      </c>
      <c r="BO10">
        <v>65</v>
      </c>
      <c r="BP10">
        <v>66</v>
      </c>
      <c r="BQ10">
        <v>67</v>
      </c>
      <c r="BR10">
        <v>68</v>
      </c>
      <c r="BS10">
        <v>69</v>
      </c>
      <c r="BT10">
        <v>70</v>
      </c>
      <c r="BU10">
        <v>71</v>
      </c>
      <c r="BV10">
        <v>72</v>
      </c>
      <c r="BW10">
        <v>73</v>
      </c>
      <c r="BX10">
        <v>74</v>
      </c>
      <c r="BY10">
        <v>75</v>
      </c>
      <c r="BZ10">
        <v>76</v>
      </c>
      <c r="CA10">
        <v>77</v>
      </c>
      <c r="CB10">
        <v>78</v>
      </c>
      <c r="CC10">
        <v>79</v>
      </c>
      <c r="CD10">
        <v>80</v>
      </c>
      <c r="CE10">
        <v>81</v>
      </c>
      <c r="CF10">
        <v>82</v>
      </c>
      <c r="CG10">
        <v>83</v>
      </c>
      <c r="CH10">
        <v>84</v>
      </c>
      <c r="CI10">
        <v>85</v>
      </c>
      <c r="CJ10">
        <v>86</v>
      </c>
      <c r="CK10">
        <v>87</v>
      </c>
      <c r="CL10">
        <v>88</v>
      </c>
      <c r="CM10">
        <v>89</v>
      </c>
      <c r="CN10">
        <v>90</v>
      </c>
      <c r="CO10">
        <v>91</v>
      </c>
      <c r="CP10">
        <v>92</v>
      </c>
      <c r="CQ10">
        <v>93</v>
      </c>
      <c r="CR10">
        <v>94</v>
      </c>
      <c r="CS10">
        <v>95</v>
      </c>
      <c r="CT10">
        <v>96</v>
      </c>
      <c r="CU10">
        <v>97</v>
      </c>
      <c r="CV10">
        <v>98</v>
      </c>
      <c r="CW10">
        <v>99</v>
      </c>
      <c r="CX10">
        <v>100</v>
      </c>
      <c r="CY10">
        <v>101</v>
      </c>
      <c r="CZ10">
        <v>102</v>
      </c>
      <c r="DA10">
        <v>103</v>
      </c>
      <c r="DB10">
        <v>104</v>
      </c>
      <c r="DC10">
        <v>105</v>
      </c>
      <c r="DD10">
        <v>106</v>
      </c>
      <c r="DE10">
        <v>107</v>
      </c>
      <c r="DF10">
        <v>108</v>
      </c>
      <c r="DG10">
        <v>109</v>
      </c>
      <c r="DH10">
        <v>110</v>
      </c>
      <c r="DI10">
        <v>111</v>
      </c>
      <c r="DJ10">
        <v>112</v>
      </c>
      <c r="DK10">
        <v>113</v>
      </c>
      <c r="DL10">
        <v>114</v>
      </c>
      <c r="DM10">
        <v>115</v>
      </c>
      <c r="DN10">
        <v>116</v>
      </c>
      <c r="DO10">
        <v>117</v>
      </c>
      <c r="DP10">
        <v>118</v>
      </c>
      <c r="DQ10">
        <v>119</v>
      </c>
      <c r="DR10">
        <v>120</v>
      </c>
      <c r="DS10">
        <v>121</v>
      </c>
      <c r="DT10">
        <v>122</v>
      </c>
      <c r="DU10">
        <v>123</v>
      </c>
      <c r="DV10">
        <v>124</v>
      </c>
      <c r="DW10">
        <v>125</v>
      </c>
      <c r="DX10">
        <v>126</v>
      </c>
      <c r="DY10">
        <v>127</v>
      </c>
      <c r="DZ10">
        <v>128</v>
      </c>
      <c r="EA10">
        <v>129</v>
      </c>
      <c r="EB10">
        <v>130</v>
      </c>
      <c r="EC10">
        <v>131</v>
      </c>
      <c r="ED10">
        <v>132</v>
      </c>
      <c r="EE10">
        <v>133</v>
      </c>
      <c r="EF10">
        <v>134</v>
      </c>
      <c r="EG10">
        <v>135</v>
      </c>
      <c r="EH10">
        <v>136</v>
      </c>
    </row>
    <row r="11" spans="1:172" x14ac:dyDescent="0.2">
      <c r="B11" t="s">
        <v>100</v>
      </c>
      <c r="C11" s="18">
        <v>1</v>
      </c>
      <c r="D11" s="18">
        <v>1</v>
      </c>
      <c r="E11" s="18">
        <v>1</v>
      </c>
      <c r="F11" s="18">
        <v>1</v>
      </c>
      <c r="G11" s="18">
        <v>1</v>
      </c>
      <c r="H11" s="18">
        <v>1</v>
      </c>
      <c r="I11" s="18">
        <v>1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0</v>
      </c>
      <c r="S11" s="18">
        <v>0</v>
      </c>
      <c r="T11" s="18">
        <v>0</v>
      </c>
      <c r="U11" s="18">
        <v>0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8">
        <v>0</v>
      </c>
      <c r="AB11" s="18">
        <v>0</v>
      </c>
      <c r="AC11" s="18">
        <v>1</v>
      </c>
      <c r="AD11" s="18">
        <v>1</v>
      </c>
      <c r="AE11" s="18">
        <v>1</v>
      </c>
      <c r="AF11" s="18">
        <v>0</v>
      </c>
      <c r="AG11" s="18">
        <v>0</v>
      </c>
      <c r="AH11" s="18">
        <v>0</v>
      </c>
      <c r="AI11" s="18">
        <v>1</v>
      </c>
      <c r="AJ11" s="18">
        <v>1</v>
      </c>
      <c r="AK11" s="18">
        <v>1</v>
      </c>
      <c r="AL11" s="18">
        <v>1</v>
      </c>
      <c r="AM11" s="18">
        <v>1</v>
      </c>
      <c r="AN11" s="18">
        <v>1</v>
      </c>
      <c r="AO11" s="18">
        <v>1</v>
      </c>
      <c r="AP11" s="18">
        <v>1</v>
      </c>
      <c r="AQ11" s="18">
        <v>1</v>
      </c>
      <c r="AR11" s="18">
        <v>1</v>
      </c>
      <c r="AS11" s="18">
        <v>1</v>
      </c>
      <c r="AT11" s="18">
        <v>1</v>
      </c>
      <c r="AU11" s="18">
        <v>1</v>
      </c>
      <c r="AV11" s="18">
        <v>1</v>
      </c>
      <c r="AW11" s="18">
        <v>1</v>
      </c>
      <c r="AX11" s="18">
        <v>1</v>
      </c>
      <c r="AY11" s="18">
        <v>1</v>
      </c>
      <c r="AZ11" s="18">
        <v>1</v>
      </c>
      <c r="BA11" s="18">
        <v>1</v>
      </c>
      <c r="BB11" s="18">
        <v>1</v>
      </c>
      <c r="BC11" s="18">
        <v>1</v>
      </c>
      <c r="BD11" s="18">
        <v>1</v>
      </c>
      <c r="BE11" s="18">
        <v>1</v>
      </c>
      <c r="BF11" s="18">
        <v>1</v>
      </c>
      <c r="BG11" s="18">
        <v>1</v>
      </c>
      <c r="BH11" s="18">
        <v>1</v>
      </c>
      <c r="BI11" s="18">
        <v>1</v>
      </c>
      <c r="BJ11" s="18">
        <v>1</v>
      </c>
      <c r="BK11" s="18">
        <v>1</v>
      </c>
      <c r="BL11" s="18">
        <v>1</v>
      </c>
      <c r="BM11" s="18">
        <v>1</v>
      </c>
      <c r="BN11" s="18">
        <v>1</v>
      </c>
      <c r="BO11" s="18">
        <v>1</v>
      </c>
      <c r="BP11" s="18">
        <v>1</v>
      </c>
      <c r="BQ11" s="18">
        <v>1</v>
      </c>
      <c r="BR11" s="18">
        <v>1</v>
      </c>
      <c r="BS11" s="18">
        <v>0</v>
      </c>
      <c r="BT11" s="18">
        <v>0</v>
      </c>
      <c r="BU11" s="18">
        <v>0</v>
      </c>
      <c r="BV11" s="18">
        <v>0</v>
      </c>
      <c r="BW11" s="18">
        <v>0</v>
      </c>
      <c r="BX11" s="18">
        <v>0</v>
      </c>
      <c r="BY11" s="18">
        <v>0</v>
      </c>
      <c r="BZ11" s="18">
        <v>0</v>
      </c>
      <c r="CA11" s="18">
        <v>0</v>
      </c>
      <c r="CB11" s="18">
        <v>0</v>
      </c>
      <c r="CC11" s="18">
        <v>0</v>
      </c>
      <c r="CD11" s="18">
        <v>0</v>
      </c>
      <c r="CE11" s="18">
        <v>0</v>
      </c>
      <c r="CF11" s="18">
        <v>1</v>
      </c>
      <c r="CG11" s="18">
        <v>1</v>
      </c>
      <c r="CH11" s="18">
        <v>1</v>
      </c>
      <c r="CI11" s="18">
        <v>1</v>
      </c>
      <c r="CJ11" s="18">
        <v>1</v>
      </c>
      <c r="CK11" s="18">
        <v>1</v>
      </c>
      <c r="CL11" s="18">
        <v>1</v>
      </c>
      <c r="CM11" s="18">
        <v>1</v>
      </c>
      <c r="CN11" s="18">
        <v>1</v>
      </c>
      <c r="CO11" s="18">
        <v>1</v>
      </c>
      <c r="CP11" s="18">
        <v>1</v>
      </c>
      <c r="CQ11" s="18">
        <v>1</v>
      </c>
      <c r="CR11" s="18">
        <v>1</v>
      </c>
      <c r="CS11" s="18">
        <v>1</v>
      </c>
      <c r="CT11" s="18">
        <v>1</v>
      </c>
      <c r="CU11" s="18">
        <v>1</v>
      </c>
      <c r="CV11" s="18">
        <v>1</v>
      </c>
      <c r="CW11" s="18">
        <v>1</v>
      </c>
      <c r="CX11" s="18">
        <v>1</v>
      </c>
      <c r="CY11" s="18">
        <v>1</v>
      </c>
      <c r="CZ11" s="18">
        <v>1</v>
      </c>
      <c r="DA11" s="18">
        <v>1</v>
      </c>
      <c r="DB11" s="18">
        <v>0</v>
      </c>
      <c r="DC11" s="18">
        <v>0</v>
      </c>
      <c r="DD11" s="18">
        <v>0</v>
      </c>
      <c r="DE11" s="18">
        <v>0</v>
      </c>
      <c r="DF11" s="18">
        <v>0</v>
      </c>
      <c r="DG11" s="18">
        <v>1</v>
      </c>
      <c r="DH11" s="18">
        <v>1</v>
      </c>
      <c r="DI11" s="18">
        <v>1</v>
      </c>
      <c r="DJ11" s="18">
        <v>1</v>
      </c>
      <c r="DK11" s="18">
        <v>1</v>
      </c>
      <c r="DL11" s="18">
        <v>1</v>
      </c>
      <c r="DM11" s="18">
        <v>1</v>
      </c>
      <c r="DN11" s="18">
        <v>1</v>
      </c>
      <c r="DO11" s="18">
        <v>1</v>
      </c>
      <c r="DP11" s="18">
        <v>1</v>
      </c>
      <c r="DQ11" s="18">
        <v>1</v>
      </c>
      <c r="DR11" s="18">
        <v>1</v>
      </c>
      <c r="DS11" s="18">
        <v>1</v>
      </c>
      <c r="DT11" s="18">
        <v>0</v>
      </c>
      <c r="DU11" s="18">
        <v>0</v>
      </c>
      <c r="DV11" s="18">
        <v>0</v>
      </c>
      <c r="DW11" s="18">
        <v>0</v>
      </c>
      <c r="DX11" s="18">
        <v>0</v>
      </c>
      <c r="DY11" s="18">
        <v>1</v>
      </c>
      <c r="DZ11" s="18">
        <v>1</v>
      </c>
      <c r="EA11" s="18">
        <v>1</v>
      </c>
      <c r="EB11" s="18">
        <v>1</v>
      </c>
      <c r="EC11" s="18">
        <v>1</v>
      </c>
      <c r="ED11" s="18">
        <v>1</v>
      </c>
      <c r="EE11" s="18">
        <v>1</v>
      </c>
      <c r="EF11" s="18">
        <v>1</v>
      </c>
      <c r="EG11" s="18">
        <v>1</v>
      </c>
      <c r="EH11" s="18">
        <v>1</v>
      </c>
      <c r="EI11" s="18"/>
    </row>
    <row r="12" spans="1:172" x14ac:dyDescent="0.2">
      <c r="B12" t="s">
        <v>118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1</v>
      </c>
      <c r="BL12">
        <v>1</v>
      </c>
      <c r="BM12">
        <v>1</v>
      </c>
      <c r="BN12">
        <v>1</v>
      </c>
      <c r="BO12">
        <v>1</v>
      </c>
      <c r="BP12">
        <v>1</v>
      </c>
      <c r="BQ12">
        <v>1</v>
      </c>
      <c r="BR12">
        <v>1</v>
      </c>
      <c r="BS12">
        <v>1</v>
      </c>
      <c r="BT12">
        <v>1</v>
      </c>
      <c r="BU12">
        <v>1</v>
      </c>
      <c r="BV12">
        <v>1</v>
      </c>
      <c r="BW12">
        <v>1</v>
      </c>
      <c r="BX12">
        <v>1</v>
      </c>
      <c r="BY12">
        <v>1</v>
      </c>
      <c r="BZ12">
        <v>1</v>
      </c>
      <c r="CA12">
        <v>1</v>
      </c>
      <c r="CB12">
        <v>1</v>
      </c>
      <c r="CC12">
        <v>1</v>
      </c>
      <c r="CD12">
        <v>1</v>
      </c>
      <c r="CE12">
        <v>1</v>
      </c>
      <c r="CF12">
        <v>1</v>
      </c>
      <c r="CG12">
        <v>1</v>
      </c>
      <c r="CH12">
        <v>1</v>
      </c>
      <c r="CI12">
        <v>1</v>
      </c>
      <c r="CJ12">
        <v>1</v>
      </c>
      <c r="CK12">
        <v>1</v>
      </c>
      <c r="CL12">
        <v>1</v>
      </c>
      <c r="CM12">
        <v>1</v>
      </c>
      <c r="CN12">
        <v>1</v>
      </c>
      <c r="CO12">
        <v>1</v>
      </c>
      <c r="CP12">
        <v>1</v>
      </c>
      <c r="CQ12">
        <v>1</v>
      </c>
      <c r="CR12">
        <v>1</v>
      </c>
      <c r="CS12">
        <v>1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1</v>
      </c>
      <c r="CZ12">
        <v>1</v>
      </c>
      <c r="DA12">
        <v>1</v>
      </c>
      <c r="DB12">
        <v>1</v>
      </c>
      <c r="DC12">
        <v>1</v>
      </c>
      <c r="DD12">
        <v>1</v>
      </c>
      <c r="DE12">
        <v>1</v>
      </c>
      <c r="DF12">
        <v>1</v>
      </c>
      <c r="DG12">
        <v>1</v>
      </c>
      <c r="DH12">
        <v>1</v>
      </c>
      <c r="DI12">
        <v>1</v>
      </c>
      <c r="DJ12">
        <v>1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1</v>
      </c>
      <c r="DU12">
        <v>1</v>
      </c>
      <c r="DV12">
        <v>1</v>
      </c>
      <c r="DW12">
        <v>1</v>
      </c>
      <c r="DX12">
        <v>1</v>
      </c>
      <c r="DY12">
        <v>1</v>
      </c>
      <c r="DZ12">
        <v>1</v>
      </c>
      <c r="EA12">
        <v>1</v>
      </c>
      <c r="EB12">
        <v>1</v>
      </c>
      <c r="EC12">
        <v>1</v>
      </c>
      <c r="ED12">
        <v>1</v>
      </c>
      <c r="EE12">
        <v>1</v>
      </c>
      <c r="EF12">
        <v>1</v>
      </c>
      <c r="EG12">
        <v>1</v>
      </c>
      <c r="EH12">
        <v>1</v>
      </c>
    </row>
    <row r="15" spans="1:172" x14ac:dyDescent="0.2">
      <c r="A15" t="s">
        <v>121</v>
      </c>
      <c r="B15" t="s">
        <v>122</v>
      </c>
      <c r="C15" t="e">
        <f t="array" aca="1" ref="C15:D24" ca="1">_xll.GDOT_GetSizes('Opt Config'!$B$19,'Gain Matrix'!$F$6:$FR$141,Diagnostics_2!$C$5:$FO$7,Diagnostics_2!$C$10:$EH$12)</f>
        <v>#VALUE!</v>
      </c>
      <c r="D15" t="e">
        <f ca="1"/>
        <v>#VALUE!</v>
      </c>
    </row>
    <row r="16" spans="1:172" x14ac:dyDescent="0.2">
      <c r="B16" t="s">
        <v>123</v>
      </c>
      <c r="C16" t="e">
        <f ca="1"/>
        <v>#VALUE!</v>
      </c>
      <c r="D16" t="e">
        <f ca="1"/>
        <v>#VALUE!</v>
      </c>
    </row>
    <row r="17" spans="1:4" x14ac:dyDescent="0.2">
      <c r="B17" t="s">
        <v>124</v>
      </c>
      <c r="C17" t="e">
        <f ca="1"/>
        <v>#VALUE!</v>
      </c>
      <c r="D17" t="e">
        <f ca="1"/>
        <v>#VALUE!</v>
      </c>
    </row>
    <row r="18" spans="1:4" x14ac:dyDescent="0.2">
      <c r="B18" t="s">
        <v>125</v>
      </c>
      <c r="C18" t="e">
        <f ca="1"/>
        <v>#VALUE!</v>
      </c>
      <c r="D18" t="e">
        <f ca="1"/>
        <v>#VALUE!</v>
      </c>
    </row>
    <row r="19" spans="1:4" x14ac:dyDescent="0.2">
      <c r="B19" t="s">
        <v>126</v>
      </c>
      <c r="C19" t="e">
        <f ca="1"/>
        <v>#VALUE!</v>
      </c>
      <c r="D19" t="e">
        <f ca="1"/>
        <v>#VALUE!</v>
      </c>
    </row>
    <row r="20" spans="1:4" x14ac:dyDescent="0.2">
      <c r="A20" t="s">
        <v>127</v>
      </c>
      <c r="B20" t="s">
        <v>122</v>
      </c>
      <c r="C20" t="e">
        <f ca="1"/>
        <v>#VALUE!</v>
      </c>
      <c r="D20" t="e">
        <f ca="1"/>
        <v>#VALUE!</v>
      </c>
    </row>
    <row r="21" spans="1:4" x14ac:dyDescent="0.2">
      <c r="B21" t="s">
        <v>123</v>
      </c>
      <c r="C21" t="e">
        <f ca="1"/>
        <v>#VALUE!</v>
      </c>
      <c r="D21" t="e">
        <f ca="1"/>
        <v>#VALUE!</v>
      </c>
    </row>
    <row r="22" spans="1:4" x14ac:dyDescent="0.2">
      <c r="B22" t="s">
        <v>124</v>
      </c>
      <c r="C22" t="e">
        <f ca="1"/>
        <v>#VALUE!</v>
      </c>
      <c r="D22" t="e">
        <f ca="1"/>
        <v>#VALUE!</v>
      </c>
    </row>
    <row r="23" spans="1:4" x14ac:dyDescent="0.2">
      <c r="B23" t="s">
        <v>125</v>
      </c>
      <c r="C23" t="e">
        <f ca="1"/>
        <v>#VALUE!</v>
      </c>
      <c r="D23" t="e">
        <f ca="1"/>
        <v>#VALUE!</v>
      </c>
    </row>
    <row r="24" spans="1:4" x14ac:dyDescent="0.2">
      <c r="B24" t="s">
        <v>126</v>
      </c>
      <c r="C24" t="e">
        <f ca="1"/>
        <v>#VALUE!</v>
      </c>
      <c r="D24" t="e">
        <f ca="1"/>
        <v>#VALUE!</v>
      </c>
    </row>
    <row r="27" spans="1:4" x14ac:dyDescent="0.2">
      <c r="B27" t="s">
        <v>128</v>
      </c>
      <c r="C27">
        <f t="array" ref="C27">_xll.GDOT_RowRank()</f>
        <v>91</v>
      </c>
    </row>
    <row r="28" spans="1:4" x14ac:dyDescent="0.2">
      <c r="B28" t="s">
        <v>129</v>
      </c>
      <c r="C28">
        <f t="array" ref="C28">_xll.GDOT_ColRank()</f>
        <v>91</v>
      </c>
    </row>
    <row r="29" spans="1:4" x14ac:dyDescent="0.2">
      <c r="B29" t="s">
        <v>130</v>
      </c>
      <c r="C29">
        <f t="array" ref="C29">_xll.GDOT_SVD_Amatrix(D36:CP126)</f>
        <v>743626531.27464008</v>
      </c>
    </row>
    <row r="34" spans="2:4003" x14ac:dyDescent="0.2">
      <c r="B34" s="27" t="s">
        <v>131</v>
      </c>
    </row>
    <row r="35" spans="2:4003" ht="15" x14ac:dyDescent="0.25">
      <c r="B35" s="32" t="s">
        <v>132</v>
      </c>
      <c r="D35" s="79" t="s">
        <v>515</v>
      </c>
      <c r="E35" s="79" t="s">
        <v>520</v>
      </c>
      <c r="F35" s="79" t="s">
        <v>564</v>
      </c>
      <c r="G35" s="79" t="s">
        <v>565</v>
      </c>
      <c r="H35" s="79" t="s">
        <v>566</v>
      </c>
      <c r="I35" s="79" t="s">
        <v>567</v>
      </c>
      <c r="J35" s="79" t="s">
        <v>568</v>
      </c>
      <c r="K35" s="79" t="s">
        <v>569</v>
      </c>
      <c r="L35" s="79" t="s">
        <v>570</v>
      </c>
      <c r="M35" s="79" t="s">
        <v>571</v>
      </c>
      <c r="N35" s="79" t="s">
        <v>572</v>
      </c>
      <c r="O35" s="79" t="s">
        <v>573</v>
      </c>
      <c r="P35" s="79" t="s">
        <v>574</v>
      </c>
      <c r="Q35" s="79" t="s">
        <v>575</v>
      </c>
      <c r="R35" s="79" t="s">
        <v>576</v>
      </c>
      <c r="S35" s="79" t="s">
        <v>577</v>
      </c>
      <c r="T35" s="79" t="s">
        <v>578</v>
      </c>
      <c r="U35" s="79" t="s">
        <v>579</v>
      </c>
      <c r="V35" s="79" t="s">
        <v>580</v>
      </c>
      <c r="W35" s="79" t="s">
        <v>581</v>
      </c>
      <c r="X35" s="79" t="s">
        <v>582</v>
      </c>
      <c r="Y35" s="79" t="s">
        <v>583</v>
      </c>
      <c r="Z35" s="79" t="s">
        <v>584</v>
      </c>
      <c r="AA35" s="79" t="s">
        <v>585</v>
      </c>
      <c r="AB35" s="79" t="s">
        <v>586</v>
      </c>
      <c r="AC35" s="79" t="s">
        <v>587</v>
      </c>
      <c r="AD35" s="79" t="s">
        <v>588</v>
      </c>
      <c r="AE35" s="79" t="s">
        <v>635</v>
      </c>
      <c r="AF35" s="79" t="s">
        <v>636</v>
      </c>
      <c r="AG35" s="79" t="s">
        <v>637</v>
      </c>
      <c r="AH35" s="79" t="s">
        <v>638</v>
      </c>
      <c r="AI35" s="79" t="s">
        <v>639</v>
      </c>
      <c r="AJ35" s="79" t="s">
        <v>1765</v>
      </c>
      <c r="AK35" s="79" t="s">
        <v>640</v>
      </c>
      <c r="AL35" s="79" t="s">
        <v>641</v>
      </c>
      <c r="AM35" s="79" t="s">
        <v>642</v>
      </c>
      <c r="AN35" s="79" t="s">
        <v>1766</v>
      </c>
      <c r="AO35" s="79" t="s">
        <v>644</v>
      </c>
      <c r="AP35" s="79" t="s">
        <v>652</v>
      </c>
      <c r="AQ35" s="79" t="s">
        <v>653</v>
      </c>
      <c r="AR35" s="79" t="s">
        <v>555</v>
      </c>
      <c r="AS35" s="79" t="s">
        <v>662</v>
      </c>
      <c r="AT35" s="79" t="s">
        <v>663</v>
      </c>
      <c r="AU35" s="79" t="s">
        <v>664</v>
      </c>
      <c r="AV35" s="79" t="s">
        <v>665</v>
      </c>
      <c r="AW35" s="79" t="s">
        <v>1512</v>
      </c>
      <c r="AX35" s="79" t="s">
        <v>547</v>
      </c>
      <c r="AY35" s="79" t="s">
        <v>666</v>
      </c>
      <c r="AZ35" s="79" t="s">
        <v>667</v>
      </c>
      <c r="BA35" s="79" t="s">
        <v>668</v>
      </c>
      <c r="BB35" s="79" t="s">
        <v>669</v>
      </c>
      <c r="BC35" s="79" t="s">
        <v>670</v>
      </c>
      <c r="BD35" s="79" t="s">
        <v>671</v>
      </c>
      <c r="BE35" s="79" t="s">
        <v>1524</v>
      </c>
      <c r="BF35" s="79" t="s">
        <v>683</v>
      </c>
      <c r="BG35" s="79" t="s">
        <v>1525</v>
      </c>
      <c r="BH35" s="79" t="s">
        <v>1526</v>
      </c>
      <c r="BI35" s="79" t="s">
        <v>1527</v>
      </c>
      <c r="BJ35" s="79" t="s">
        <v>1769</v>
      </c>
      <c r="BK35" s="79" t="s">
        <v>684</v>
      </c>
      <c r="BL35" s="79" t="s">
        <v>685</v>
      </c>
      <c r="BM35" s="79" t="s">
        <v>686</v>
      </c>
      <c r="BN35" s="79" t="s">
        <v>1770</v>
      </c>
      <c r="BO35" s="79" t="s">
        <v>1306</v>
      </c>
      <c r="BP35" s="79" t="s">
        <v>1276</v>
      </c>
      <c r="BQ35" s="79" t="s">
        <v>1277</v>
      </c>
      <c r="BR35" s="79" t="s">
        <v>1307</v>
      </c>
      <c r="BS35" s="79" t="s">
        <v>1308</v>
      </c>
      <c r="BT35" s="79" t="s">
        <v>1309</v>
      </c>
      <c r="BU35" s="79" t="s">
        <v>1291</v>
      </c>
      <c r="BV35" s="79" t="s">
        <v>1320</v>
      </c>
      <c r="BW35" s="79" t="s">
        <v>1329</v>
      </c>
      <c r="BX35" s="79" t="s">
        <v>1335</v>
      </c>
      <c r="BY35" s="79" t="s">
        <v>1332</v>
      </c>
      <c r="BZ35" s="79" t="s">
        <v>1322</v>
      </c>
      <c r="CA35" s="79" t="s">
        <v>1325</v>
      </c>
      <c r="CB35" s="79" t="s">
        <v>1533</v>
      </c>
      <c r="CC35" s="79" t="s">
        <v>1505</v>
      </c>
      <c r="CD35" s="79" t="s">
        <v>1506</v>
      </c>
      <c r="CE35" s="79" t="s">
        <v>1534</v>
      </c>
      <c r="CF35" s="79" t="s">
        <v>1535</v>
      </c>
      <c r="CG35" s="79" t="s">
        <v>1536</v>
      </c>
      <c r="CH35" s="79" t="s">
        <v>1285</v>
      </c>
      <c r="CI35" s="79" t="s">
        <v>1550</v>
      </c>
      <c r="CJ35" s="79" t="s">
        <v>1548</v>
      </c>
      <c r="CK35" s="79" t="s">
        <v>1563</v>
      </c>
      <c r="CL35" s="79" t="s">
        <v>1566</v>
      </c>
      <c r="CM35" s="79" t="s">
        <v>1553</v>
      </c>
      <c r="CN35" s="79" t="s">
        <v>1556</v>
      </c>
      <c r="CO35" s="79" t="s">
        <v>1559</v>
      </c>
      <c r="CP35" s="79" t="s">
        <v>1772</v>
      </c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  <c r="AAA35" s="5"/>
      <c r="AAB35" s="5"/>
      <c r="AAC35" s="5"/>
      <c r="AAD35" s="5"/>
      <c r="AAE35" s="5"/>
      <c r="AAF35" s="5"/>
      <c r="AAG35" s="5"/>
      <c r="AAH35" s="5"/>
      <c r="AAI35" s="5"/>
      <c r="AAJ35" s="5"/>
      <c r="AAK35" s="5"/>
      <c r="AAL35" s="5"/>
      <c r="AAM35" s="5"/>
      <c r="AAN35" s="5"/>
      <c r="AAO35" s="5"/>
      <c r="AAP35" s="5"/>
      <c r="AAQ35" s="5"/>
      <c r="AAR35" s="5"/>
      <c r="AAS35" s="5"/>
      <c r="AAT35" s="5"/>
      <c r="AAU35" s="5"/>
      <c r="AAV35" s="5"/>
      <c r="AAW35" s="5"/>
      <c r="AAX35" s="5"/>
      <c r="AAY35" s="5"/>
      <c r="AAZ35" s="5"/>
      <c r="ABA35" s="5"/>
      <c r="ABB35" s="5"/>
      <c r="ABC35" s="5"/>
      <c r="ABD35" s="5"/>
      <c r="ABE35" s="5"/>
      <c r="ABF35" s="5"/>
      <c r="ABG35" s="5"/>
      <c r="ABH35" s="5"/>
      <c r="ABI35" s="5"/>
      <c r="ABJ35" s="5"/>
      <c r="ABK35" s="5"/>
      <c r="ABL35" s="5"/>
      <c r="ABM35" s="5"/>
      <c r="ABN35" s="5"/>
      <c r="ABO35" s="5"/>
      <c r="ABP35" s="5"/>
      <c r="ABQ35" s="5"/>
      <c r="ABR35" s="5"/>
      <c r="ABS35" s="5"/>
      <c r="ABT35" s="5"/>
      <c r="ABU35" s="5"/>
      <c r="ABV35" s="5"/>
      <c r="ABW35" s="5"/>
      <c r="ABX35" s="5"/>
      <c r="ABY35" s="5"/>
      <c r="ABZ35" s="5"/>
      <c r="ACA35" s="5"/>
      <c r="ACB35" s="5"/>
      <c r="ACC35" s="5"/>
      <c r="ACD35" s="5"/>
      <c r="ACE35" s="5"/>
      <c r="ACF35" s="5"/>
      <c r="ACG35" s="5"/>
      <c r="ACH35" s="5"/>
      <c r="ACI35" s="5"/>
      <c r="ACJ35" s="5"/>
      <c r="ACK35" s="5"/>
      <c r="ACL35" s="5"/>
      <c r="ACM35" s="5"/>
      <c r="ACN35" s="5"/>
      <c r="ACO35" s="5"/>
      <c r="ACP35" s="5"/>
      <c r="ACQ35" s="5"/>
      <c r="ACR35" s="5"/>
      <c r="ACS35" s="5"/>
      <c r="ACT35" s="5"/>
      <c r="ACU35" s="5"/>
      <c r="ACV35" s="5"/>
      <c r="ACW35" s="5"/>
      <c r="ACX35" s="5"/>
      <c r="ACY35" s="5"/>
      <c r="ACZ35" s="5"/>
      <c r="ADA35" s="5"/>
      <c r="ADB35" s="5"/>
      <c r="ADC35" s="5"/>
      <c r="ADD35" s="5"/>
      <c r="ADE35" s="5"/>
      <c r="ADF35" s="5"/>
      <c r="ADG35" s="5"/>
      <c r="ADH35" s="5"/>
      <c r="ADI35" s="5"/>
      <c r="ADJ35" s="5"/>
      <c r="ADK35" s="5"/>
      <c r="ADL35" s="5"/>
      <c r="ADM35" s="5"/>
      <c r="ADN35" s="5"/>
      <c r="ADO35" s="5"/>
      <c r="ADP35" s="5"/>
      <c r="ADQ35" s="5"/>
      <c r="ADR35" s="5"/>
      <c r="ADS35" s="5"/>
      <c r="ADT35" s="5"/>
      <c r="ADU35" s="5"/>
      <c r="ADV35" s="5"/>
      <c r="ADW35" s="5"/>
      <c r="ADX35" s="5"/>
      <c r="ADY35" s="5"/>
      <c r="ADZ35" s="5"/>
      <c r="AEA35" s="5"/>
      <c r="AEB35" s="5"/>
      <c r="AEC35" s="5"/>
      <c r="AED35" s="5"/>
      <c r="AEE35" s="5"/>
      <c r="AEF35" s="5"/>
      <c r="AEG35" s="5"/>
      <c r="AEH35" s="5"/>
      <c r="AEI35" s="5"/>
      <c r="AEJ35" s="5"/>
      <c r="AEK35" s="5"/>
      <c r="AEL35" s="5"/>
      <c r="AEM35" s="5"/>
      <c r="AEN35" s="5"/>
      <c r="AEO35" s="5"/>
      <c r="AEP35" s="5"/>
      <c r="AEQ35" s="5"/>
      <c r="AER35" s="5"/>
      <c r="AES35" s="5"/>
      <c r="AET35" s="5"/>
      <c r="AEU35" s="5"/>
      <c r="AEV35" s="5"/>
      <c r="AEW35" s="5"/>
      <c r="AEX35" s="5"/>
      <c r="AEY35" s="5"/>
      <c r="AEZ35" s="5"/>
      <c r="AFA35" s="5"/>
      <c r="AFB35" s="5"/>
      <c r="AFC35" s="5"/>
      <c r="AFD35" s="5"/>
      <c r="AFE35" s="5"/>
      <c r="AFF35" s="5"/>
      <c r="AFG35" s="5"/>
      <c r="AFH35" s="5"/>
      <c r="AFI35" s="5"/>
      <c r="AFJ35" s="5"/>
      <c r="AFK35" s="5"/>
      <c r="AFL35" s="5"/>
      <c r="AFM35" s="5"/>
      <c r="AFN35" s="5"/>
      <c r="AFO35" s="5"/>
      <c r="AFP35" s="5"/>
      <c r="AFQ35" s="5"/>
      <c r="AFR35" s="5"/>
      <c r="AFS35" s="5"/>
      <c r="AFT35" s="5"/>
      <c r="AFU35" s="5"/>
      <c r="AFV35" s="5"/>
      <c r="AFW35" s="5"/>
      <c r="AFX35" s="5"/>
      <c r="AFY35" s="5"/>
      <c r="AFZ35" s="5"/>
      <c r="AGA35" s="5"/>
      <c r="AGB35" s="5"/>
      <c r="AGC35" s="5"/>
      <c r="AGD35" s="5"/>
      <c r="AGE35" s="5"/>
      <c r="AGF35" s="5"/>
      <c r="AGG35" s="5"/>
      <c r="AGH35" s="5"/>
      <c r="AGI35" s="5"/>
      <c r="AGJ35" s="5"/>
      <c r="AGK35" s="5"/>
      <c r="AGL35" s="5"/>
      <c r="AGM35" s="5"/>
      <c r="AGN35" s="5"/>
      <c r="AGO35" s="5"/>
      <c r="AGP35" s="5"/>
      <c r="AGQ35" s="5"/>
      <c r="AGR35" s="5"/>
      <c r="AGS35" s="5"/>
      <c r="AGT35" s="5"/>
      <c r="AGU35" s="5"/>
      <c r="AGV35" s="5"/>
      <c r="AGW35" s="5"/>
      <c r="AGX35" s="5"/>
      <c r="AGY35" s="5"/>
      <c r="AGZ35" s="5"/>
      <c r="AHA35" s="5"/>
      <c r="AHB35" s="5"/>
      <c r="AHC35" s="5"/>
      <c r="AHD35" s="5"/>
      <c r="AHE35" s="5"/>
      <c r="AHF35" s="5"/>
      <c r="AHG35" s="5"/>
      <c r="AHH35" s="5"/>
      <c r="AHI35" s="5"/>
      <c r="AHJ35" s="5"/>
      <c r="AHK35" s="5"/>
      <c r="AHL35" s="5"/>
      <c r="AHM35" s="5"/>
      <c r="AHN35" s="5"/>
      <c r="AHO35" s="5"/>
      <c r="AHP35" s="5"/>
      <c r="AHQ35" s="5"/>
      <c r="AHR35" s="5"/>
      <c r="AHS35" s="5"/>
      <c r="AHT35" s="5"/>
      <c r="AHU35" s="5"/>
      <c r="AHV35" s="5"/>
      <c r="AHW35" s="5"/>
      <c r="AHX35" s="5"/>
      <c r="AHY35" s="5"/>
      <c r="AHZ35" s="5"/>
      <c r="AIA35" s="5"/>
      <c r="AIB35" s="5"/>
      <c r="AIC35" s="5"/>
      <c r="AID35" s="5"/>
      <c r="AIE35" s="5"/>
      <c r="AIF35" s="5"/>
      <c r="AIG35" s="5"/>
      <c r="AIH35" s="5"/>
      <c r="AII35" s="5"/>
      <c r="AIJ35" s="5"/>
      <c r="AIK35" s="5"/>
      <c r="AIL35" s="5"/>
      <c r="AIM35" s="5"/>
      <c r="AIN35" s="5"/>
      <c r="AIO35" s="5"/>
      <c r="AIP35" s="5"/>
      <c r="AIQ35" s="5"/>
      <c r="AIR35" s="5"/>
      <c r="AIS35" s="5"/>
      <c r="AIT35" s="5"/>
      <c r="AIU35" s="5"/>
      <c r="AIV35" s="5"/>
      <c r="AIW35" s="5"/>
      <c r="AIX35" s="5"/>
      <c r="AIY35" s="5"/>
      <c r="AIZ35" s="5"/>
      <c r="AJA35" s="5"/>
      <c r="AJB35" s="5"/>
      <c r="AJC35" s="5"/>
      <c r="AJD35" s="5"/>
      <c r="AJE35" s="5"/>
      <c r="AJF35" s="5"/>
      <c r="AJG35" s="5"/>
      <c r="AJH35" s="5"/>
      <c r="AJI35" s="5"/>
      <c r="AJJ35" s="5"/>
      <c r="AJK35" s="5"/>
      <c r="AJL35" s="5"/>
      <c r="AJM35" s="5"/>
      <c r="AJN35" s="5"/>
      <c r="AJO35" s="5"/>
      <c r="AJP35" s="5"/>
      <c r="AJQ35" s="5"/>
      <c r="AJR35" s="5"/>
      <c r="AJS35" s="5"/>
      <c r="AJT35" s="5"/>
      <c r="AJU35" s="5"/>
      <c r="AJV35" s="5"/>
      <c r="AJW35" s="5"/>
      <c r="AJX35" s="5"/>
      <c r="AJY35" s="5"/>
      <c r="AJZ35" s="5"/>
      <c r="AKA35" s="5"/>
      <c r="AKB35" s="5"/>
      <c r="AKC35" s="5"/>
      <c r="AKD35" s="5"/>
      <c r="AKE35" s="5"/>
      <c r="AKF35" s="5"/>
      <c r="AKG35" s="5"/>
      <c r="AKH35" s="5"/>
      <c r="AKI35" s="5"/>
      <c r="AKJ35" s="5"/>
      <c r="AKK35" s="5"/>
      <c r="AKL35" s="5"/>
      <c r="AKM35" s="5"/>
      <c r="AKN35" s="5"/>
      <c r="AKO35" s="5"/>
      <c r="AKP35" s="5"/>
      <c r="AKQ35" s="5"/>
      <c r="AKR35" s="5"/>
      <c r="AKS35" s="5"/>
      <c r="AKT35" s="5"/>
      <c r="AKU35" s="5"/>
      <c r="AKV35" s="5"/>
      <c r="AKW35" s="5"/>
      <c r="AKX35" s="5"/>
      <c r="AKY35" s="5"/>
      <c r="AKZ35" s="5"/>
      <c r="ALA35" s="5"/>
      <c r="ALB35" s="5"/>
      <c r="ALC35" s="5"/>
      <c r="ALD35" s="5"/>
      <c r="ALE35" s="5"/>
      <c r="ALF35" s="5"/>
      <c r="ALG35" s="5"/>
      <c r="ALH35" s="5"/>
      <c r="ALI35" s="5"/>
      <c r="ALJ35" s="5"/>
      <c r="ALK35" s="5"/>
      <c r="ALL35" s="5"/>
      <c r="ALM35" s="5"/>
      <c r="ALN35" s="5"/>
      <c r="ALO35" s="5"/>
      <c r="ALP35" s="5"/>
      <c r="ALQ35" s="5"/>
      <c r="ALR35" s="5"/>
      <c r="ALS35" s="5"/>
      <c r="ALT35" s="5"/>
      <c r="ALU35" s="5"/>
      <c r="ALV35" s="5"/>
      <c r="ALW35" s="5"/>
      <c r="ALX35" s="5"/>
      <c r="ALY35" s="5"/>
      <c r="ALZ35" s="5"/>
      <c r="AMA35" s="5"/>
      <c r="AMB35" s="5"/>
      <c r="AMC35" s="5"/>
      <c r="AMD35" s="5"/>
      <c r="AME35" s="5"/>
      <c r="AMF35" s="5"/>
      <c r="AMG35" s="5"/>
      <c r="AMH35" s="5"/>
      <c r="AMI35" s="5"/>
      <c r="AMJ35" s="5"/>
      <c r="AMK35" s="5"/>
      <c r="AML35" s="5"/>
      <c r="AMM35" s="5"/>
      <c r="AMN35" s="5"/>
      <c r="AMO35" s="5"/>
      <c r="AMP35" s="5"/>
      <c r="AMQ35" s="5"/>
      <c r="AMR35" s="5"/>
      <c r="AMS35" s="5"/>
      <c r="AMT35" s="5"/>
      <c r="AMU35" s="5"/>
      <c r="AMV35" s="5"/>
      <c r="AMW35" s="5"/>
      <c r="AMX35" s="5"/>
      <c r="AMY35" s="5"/>
      <c r="AMZ35" s="5"/>
      <c r="ANA35" s="5"/>
      <c r="ANB35" s="5"/>
      <c r="ANC35" s="5"/>
      <c r="AND35" s="5"/>
      <c r="ANE35" s="5"/>
      <c r="ANF35" s="5"/>
      <c r="ANG35" s="5"/>
      <c r="ANH35" s="5"/>
      <c r="ANI35" s="5"/>
      <c r="ANJ35" s="5"/>
      <c r="ANK35" s="5"/>
      <c r="ANL35" s="5"/>
      <c r="ANM35" s="5"/>
      <c r="ANN35" s="5"/>
      <c r="ANO35" s="5"/>
      <c r="ANP35" s="5"/>
      <c r="ANQ35" s="5"/>
      <c r="ANR35" s="5"/>
      <c r="ANS35" s="5"/>
      <c r="ANT35" s="5"/>
      <c r="ANU35" s="5"/>
      <c r="ANV35" s="5"/>
      <c r="ANW35" s="5"/>
      <c r="ANX35" s="5"/>
      <c r="ANY35" s="5"/>
      <c r="ANZ35" s="5"/>
      <c r="AOA35" s="5"/>
      <c r="AOB35" s="5"/>
      <c r="AOC35" s="5"/>
      <c r="AOD35" s="5"/>
      <c r="AOE35" s="5"/>
      <c r="AOF35" s="5"/>
      <c r="AOG35" s="5"/>
      <c r="AOH35" s="5"/>
      <c r="AOI35" s="5"/>
      <c r="AOJ35" s="5"/>
      <c r="AOK35" s="5"/>
      <c r="AOL35" s="5"/>
      <c r="AOM35" s="5"/>
      <c r="AON35" s="5"/>
      <c r="AOO35" s="5"/>
      <c r="AOP35" s="5"/>
      <c r="AOQ35" s="5"/>
      <c r="AOR35" s="5"/>
      <c r="AOS35" s="5"/>
      <c r="AOT35" s="5"/>
      <c r="AOU35" s="5"/>
      <c r="AOV35" s="5"/>
      <c r="AOW35" s="5"/>
      <c r="AOX35" s="5"/>
      <c r="AOY35" s="5"/>
      <c r="AOZ35" s="5"/>
      <c r="APA35" s="5"/>
      <c r="APB35" s="5"/>
      <c r="APC35" s="5"/>
      <c r="APD35" s="5"/>
      <c r="APE35" s="5"/>
      <c r="APF35" s="5"/>
      <c r="APG35" s="5"/>
      <c r="APH35" s="5"/>
      <c r="API35" s="5"/>
      <c r="APJ35" s="5"/>
      <c r="APK35" s="5"/>
      <c r="APL35" s="5"/>
      <c r="APM35" s="5"/>
      <c r="APN35" s="5"/>
      <c r="APO35" s="5"/>
      <c r="APP35" s="5"/>
      <c r="APQ35" s="5"/>
      <c r="APR35" s="5"/>
      <c r="APS35" s="5"/>
      <c r="APT35" s="5"/>
      <c r="APU35" s="5"/>
      <c r="APV35" s="5"/>
      <c r="APW35" s="5"/>
      <c r="APX35" s="5"/>
      <c r="APY35" s="5"/>
      <c r="APZ35" s="5"/>
      <c r="AQA35" s="5"/>
      <c r="AQB35" s="5"/>
      <c r="AQC35" s="5"/>
      <c r="AQD35" s="5"/>
      <c r="AQE35" s="5"/>
      <c r="AQF35" s="5"/>
      <c r="AQG35" s="5"/>
      <c r="AQH35" s="5"/>
      <c r="AQI35" s="5"/>
      <c r="AQJ35" s="5"/>
      <c r="AQK35" s="5"/>
      <c r="AQL35" s="5"/>
      <c r="AQM35" s="5"/>
      <c r="AQN35" s="5"/>
      <c r="AQO35" s="5"/>
      <c r="AQP35" s="5"/>
      <c r="AQQ35" s="5"/>
      <c r="AQR35" s="5"/>
      <c r="AQS35" s="5"/>
      <c r="AQT35" s="5"/>
      <c r="AQU35" s="5"/>
      <c r="AQV35" s="5"/>
      <c r="AQW35" s="5"/>
      <c r="AQX35" s="5"/>
      <c r="AQY35" s="5"/>
      <c r="AQZ35" s="5"/>
      <c r="ARA35" s="5"/>
      <c r="ARB35" s="5"/>
      <c r="ARC35" s="5"/>
      <c r="ARD35" s="5"/>
      <c r="ARE35" s="5"/>
      <c r="ARF35" s="5"/>
      <c r="ARG35" s="5"/>
      <c r="ARH35" s="5"/>
      <c r="ARI35" s="5"/>
      <c r="ARJ35" s="5"/>
      <c r="ARK35" s="5"/>
      <c r="ARL35" s="5"/>
      <c r="ARM35" s="5"/>
      <c r="ARN35" s="5"/>
      <c r="ARO35" s="5"/>
      <c r="ARP35" s="5"/>
      <c r="ARQ35" s="5"/>
      <c r="ARR35" s="5"/>
      <c r="ARS35" s="5"/>
      <c r="ART35" s="5"/>
      <c r="ARU35" s="5"/>
      <c r="ARV35" s="5"/>
      <c r="ARW35" s="5"/>
      <c r="ARX35" s="5"/>
      <c r="ARY35" s="5"/>
      <c r="ARZ35" s="5"/>
      <c r="ASA35" s="5"/>
      <c r="ASB35" s="5"/>
      <c r="ASC35" s="5"/>
      <c r="ASD35" s="5"/>
      <c r="ASE35" s="5"/>
      <c r="ASF35" s="5"/>
      <c r="ASG35" s="5"/>
      <c r="ASH35" s="5"/>
      <c r="ASI35" s="5"/>
      <c r="ASJ35" s="5"/>
      <c r="ASK35" s="5"/>
      <c r="ASL35" s="5"/>
      <c r="ASM35" s="5"/>
      <c r="ASN35" s="5"/>
      <c r="ASO35" s="5"/>
      <c r="ASP35" s="5"/>
      <c r="ASQ35" s="5"/>
      <c r="ASR35" s="5"/>
      <c r="ASS35" s="5"/>
      <c r="AST35" s="5"/>
      <c r="ASU35" s="5"/>
      <c r="ASV35" s="5"/>
      <c r="ASW35" s="5"/>
      <c r="ASX35" s="5"/>
      <c r="ASY35" s="5"/>
      <c r="ASZ35" s="5"/>
      <c r="ATA35" s="5"/>
      <c r="ATB35" s="5"/>
      <c r="ATC35" s="5"/>
      <c r="ATD35" s="5"/>
      <c r="ATE35" s="5"/>
      <c r="ATF35" s="5"/>
      <c r="ATG35" s="5"/>
      <c r="ATH35" s="5"/>
      <c r="ATI35" s="5"/>
      <c r="ATJ35" s="5"/>
      <c r="ATK35" s="5"/>
      <c r="ATL35" s="5"/>
      <c r="ATM35" s="5"/>
      <c r="ATN35" s="5"/>
      <c r="ATO35" s="5"/>
      <c r="ATP35" s="5"/>
      <c r="ATQ35" s="5"/>
      <c r="ATR35" s="5"/>
      <c r="ATS35" s="5"/>
      <c r="ATT35" s="5"/>
      <c r="ATU35" s="5"/>
      <c r="ATV35" s="5"/>
      <c r="ATW35" s="5"/>
      <c r="ATX35" s="5"/>
      <c r="ATY35" s="5"/>
      <c r="ATZ35" s="5"/>
      <c r="AUA35" s="5"/>
      <c r="AUB35" s="5"/>
      <c r="AUC35" s="5"/>
      <c r="AUD35" s="5"/>
      <c r="AUE35" s="5"/>
      <c r="AUF35" s="5"/>
      <c r="AUG35" s="5"/>
      <c r="AUH35" s="5"/>
      <c r="AUI35" s="5"/>
      <c r="AUJ35" s="5"/>
      <c r="AUK35" s="5"/>
      <c r="AUL35" s="5"/>
      <c r="AUM35" s="5"/>
      <c r="AUN35" s="5"/>
      <c r="AUO35" s="5"/>
      <c r="AUP35" s="5"/>
      <c r="AUQ35" s="5"/>
      <c r="AUR35" s="5"/>
      <c r="AUS35" s="5"/>
      <c r="AUT35" s="5"/>
      <c r="AUU35" s="5"/>
      <c r="AUV35" s="5"/>
      <c r="AUW35" s="5"/>
      <c r="AUX35" s="5"/>
      <c r="AUY35" s="5"/>
      <c r="AUZ35" s="5"/>
      <c r="AVA35" s="5"/>
      <c r="AVB35" s="5"/>
      <c r="AVC35" s="5"/>
      <c r="AVD35" s="5"/>
      <c r="AVE35" s="5"/>
      <c r="AVF35" s="5"/>
      <c r="AVG35" s="5"/>
      <c r="AVH35" s="5"/>
      <c r="AVI35" s="5"/>
      <c r="AVJ35" s="5"/>
      <c r="AVK35" s="5"/>
      <c r="AVL35" s="5"/>
      <c r="AVM35" s="5"/>
      <c r="AVN35" s="5"/>
      <c r="AVO35" s="5"/>
      <c r="AVP35" s="5"/>
      <c r="AVQ35" s="5"/>
      <c r="AVR35" s="5"/>
      <c r="AVS35" s="5"/>
      <c r="AVT35" s="5"/>
      <c r="AVU35" s="5"/>
      <c r="AVV35" s="5"/>
      <c r="AVW35" s="5"/>
      <c r="AVX35" s="5"/>
      <c r="AVY35" s="5"/>
      <c r="AVZ35" s="5"/>
      <c r="AWA35" s="5"/>
      <c r="AWB35" s="5"/>
      <c r="AWC35" s="5"/>
      <c r="AWD35" s="5"/>
      <c r="AWE35" s="5"/>
      <c r="AWF35" s="5"/>
      <c r="AWG35" s="5"/>
      <c r="AWH35" s="5"/>
      <c r="AWI35" s="5"/>
      <c r="AWJ35" s="5"/>
      <c r="AWK35" s="5"/>
      <c r="AWL35" s="5"/>
      <c r="AWM35" s="5"/>
      <c r="AWN35" s="5"/>
      <c r="AWO35" s="5"/>
      <c r="AWP35" s="5"/>
      <c r="AWQ35" s="5"/>
      <c r="AWR35" s="5"/>
      <c r="AWS35" s="5"/>
      <c r="AWT35" s="5"/>
      <c r="AWU35" s="5"/>
      <c r="AWV35" s="5"/>
      <c r="AWW35" s="5"/>
      <c r="AWX35" s="5"/>
      <c r="AWY35" s="5"/>
      <c r="AWZ35" s="5"/>
      <c r="AXA35" s="5"/>
      <c r="AXB35" s="5"/>
      <c r="AXC35" s="5"/>
      <c r="AXD35" s="5"/>
      <c r="AXE35" s="5"/>
      <c r="AXF35" s="5"/>
      <c r="AXG35" s="5"/>
      <c r="AXH35" s="5"/>
      <c r="AXI35" s="5"/>
      <c r="AXJ35" s="5"/>
      <c r="AXK35" s="5"/>
      <c r="AXL35" s="5"/>
      <c r="AXM35" s="5"/>
      <c r="AXN35" s="5"/>
      <c r="AXO35" s="5"/>
      <c r="AXP35" s="5"/>
      <c r="AXQ35" s="5"/>
      <c r="AXR35" s="5"/>
      <c r="AXS35" s="5"/>
      <c r="AXT35" s="5"/>
      <c r="AXU35" s="5"/>
      <c r="AXV35" s="5"/>
      <c r="AXW35" s="5"/>
      <c r="AXX35" s="5"/>
      <c r="AXY35" s="5"/>
      <c r="AXZ35" s="5"/>
      <c r="AYA35" s="5"/>
      <c r="AYB35" s="5"/>
      <c r="AYC35" s="5"/>
      <c r="AYD35" s="5"/>
      <c r="AYE35" s="5"/>
      <c r="AYF35" s="5"/>
      <c r="AYG35" s="5"/>
      <c r="AYH35" s="5"/>
      <c r="AYI35" s="5"/>
      <c r="AYJ35" s="5"/>
      <c r="AYK35" s="5"/>
      <c r="AYL35" s="5"/>
      <c r="AYM35" s="5"/>
      <c r="AYN35" s="5"/>
      <c r="AYO35" s="5"/>
      <c r="AYP35" s="5"/>
      <c r="AYQ35" s="5"/>
      <c r="AYR35" s="5"/>
      <c r="AYS35" s="5"/>
      <c r="AYT35" s="5"/>
      <c r="AYU35" s="5"/>
      <c r="AYV35" s="5"/>
      <c r="AYW35" s="5"/>
      <c r="AYX35" s="5"/>
      <c r="AYY35" s="5"/>
      <c r="AYZ35" s="5"/>
      <c r="AZA35" s="5"/>
      <c r="AZB35" s="5"/>
      <c r="AZC35" s="5"/>
      <c r="AZD35" s="5"/>
      <c r="AZE35" s="5"/>
      <c r="AZF35" s="5"/>
      <c r="AZG35" s="5"/>
      <c r="AZH35" s="5"/>
      <c r="AZI35" s="5"/>
      <c r="AZJ35" s="5"/>
      <c r="AZK35" s="5"/>
      <c r="AZL35" s="5"/>
      <c r="AZM35" s="5"/>
      <c r="AZN35" s="5"/>
      <c r="AZO35" s="5"/>
      <c r="AZP35" s="5"/>
      <c r="AZQ35" s="5"/>
      <c r="AZR35" s="5"/>
      <c r="AZS35" s="5"/>
      <c r="AZT35" s="5"/>
      <c r="AZU35" s="5"/>
      <c r="AZV35" s="5"/>
      <c r="AZW35" s="5"/>
      <c r="AZX35" s="5"/>
      <c r="AZY35" s="5"/>
      <c r="AZZ35" s="5"/>
      <c r="BAA35" s="5"/>
      <c r="BAB35" s="5"/>
      <c r="BAC35" s="5"/>
      <c r="BAD35" s="5"/>
      <c r="BAE35" s="5"/>
      <c r="BAF35" s="5"/>
      <c r="BAG35" s="5"/>
      <c r="BAH35" s="5"/>
      <c r="BAI35" s="5"/>
      <c r="BAJ35" s="5"/>
      <c r="BAK35" s="5"/>
      <c r="BAL35" s="5"/>
      <c r="BAM35" s="5"/>
      <c r="BAN35" s="5"/>
      <c r="BAO35" s="5"/>
      <c r="BAP35" s="5"/>
      <c r="BAQ35" s="5"/>
      <c r="BAR35" s="5"/>
      <c r="BAS35" s="5"/>
      <c r="BAT35" s="5"/>
      <c r="BAU35" s="5"/>
      <c r="BAV35" s="5"/>
      <c r="BAW35" s="5"/>
      <c r="BAX35" s="5"/>
      <c r="BAY35" s="5"/>
      <c r="BAZ35" s="5"/>
      <c r="BBA35" s="5"/>
      <c r="BBB35" s="5"/>
      <c r="BBC35" s="5"/>
      <c r="BBD35" s="5"/>
      <c r="BBE35" s="5"/>
      <c r="BBF35" s="5"/>
      <c r="BBG35" s="5"/>
      <c r="BBH35" s="5"/>
      <c r="BBI35" s="5"/>
      <c r="BBJ35" s="5"/>
      <c r="BBK35" s="5"/>
      <c r="BBL35" s="5"/>
      <c r="BBM35" s="5"/>
      <c r="BBN35" s="5"/>
      <c r="BBO35" s="5"/>
      <c r="BBP35" s="5"/>
      <c r="BBQ35" s="5"/>
      <c r="BBR35" s="5"/>
      <c r="BBS35" s="5"/>
      <c r="BBT35" s="5"/>
      <c r="BBU35" s="5"/>
      <c r="BBV35" s="5"/>
      <c r="BBW35" s="5"/>
      <c r="BBX35" s="5"/>
      <c r="BBY35" s="5"/>
      <c r="BBZ35" s="5"/>
      <c r="BCA35" s="5"/>
      <c r="BCB35" s="5"/>
      <c r="BCC35" s="5"/>
      <c r="BCD35" s="5"/>
      <c r="BCE35" s="5"/>
      <c r="BCF35" s="5"/>
      <c r="BCG35" s="5"/>
      <c r="BCH35" s="5"/>
      <c r="BCI35" s="5"/>
      <c r="BCJ35" s="5"/>
      <c r="BCK35" s="5"/>
      <c r="BCL35" s="5"/>
      <c r="BCM35" s="5"/>
      <c r="BCN35" s="5"/>
      <c r="BCO35" s="5"/>
      <c r="BCP35" s="5"/>
      <c r="BCQ35" s="5"/>
      <c r="BCR35" s="5"/>
      <c r="BCS35" s="5"/>
      <c r="BCT35" s="5"/>
      <c r="BCU35" s="5"/>
      <c r="BCV35" s="5"/>
      <c r="BCW35" s="5"/>
      <c r="BCX35" s="5"/>
      <c r="BCY35" s="5"/>
      <c r="BCZ35" s="5"/>
      <c r="BDA35" s="5"/>
      <c r="BDB35" s="5"/>
      <c r="BDC35" s="5"/>
      <c r="BDD35" s="5"/>
      <c r="BDE35" s="5"/>
      <c r="BDF35" s="5"/>
      <c r="BDG35" s="5"/>
      <c r="BDH35" s="5"/>
      <c r="BDI35" s="5"/>
      <c r="BDJ35" s="5"/>
      <c r="BDK35" s="5"/>
      <c r="BDL35" s="5"/>
      <c r="BDM35" s="5"/>
      <c r="BDN35" s="5"/>
      <c r="BDO35" s="5"/>
      <c r="BDP35" s="5"/>
      <c r="BDQ35" s="5"/>
      <c r="BDR35" s="5"/>
      <c r="BDS35" s="5"/>
      <c r="BDT35" s="5"/>
      <c r="BDU35" s="5"/>
      <c r="BDV35" s="5"/>
      <c r="BDW35" s="5"/>
      <c r="BDX35" s="5"/>
      <c r="BDY35" s="5"/>
      <c r="BDZ35" s="5"/>
      <c r="BEA35" s="5"/>
      <c r="BEB35" s="5"/>
      <c r="BEC35" s="5"/>
      <c r="BED35" s="5"/>
      <c r="BEE35" s="5"/>
      <c r="BEF35" s="5"/>
      <c r="BEG35" s="5"/>
      <c r="BEH35" s="5"/>
      <c r="BEI35" s="5"/>
      <c r="BEJ35" s="5"/>
      <c r="BEK35" s="5"/>
      <c r="BEL35" s="5"/>
      <c r="BEM35" s="5"/>
      <c r="BEN35" s="5"/>
      <c r="BEO35" s="5"/>
      <c r="BEP35" s="5"/>
      <c r="BEQ35" s="5"/>
      <c r="BER35" s="5"/>
      <c r="BES35" s="5"/>
      <c r="BET35" s="5"/>
      <c r="BEU35" s="5"/>
      <c r="BEV35" s="5"/>
      <c r="BEW35" s="5"/>
      <c r="BEX35" s="5"/>
      <c r="BEY35" s="5"/>
      <c r="BEZ35" s="5"/>
      <c r="BFA35" s="5"/>
      <c r="BFB35" s="5"/>
      <c r="BFC35" s="5"/>
      <c r="BFD35" s="5"/>
      <c r="BFE35" s="5"/>
      <c r="BFF35" s="5"/>
      <c r="BFG35" s="5"/>
      <c r="BFH35" s="5"/>
      <c r="BFI35" s="5"/>
      <c r="BFJ35" s="5"/>
      <c r="BFK35" s="5"/>
      <c r="BFL35" s="5"/>
      <c r="BFM35" s="5"/>
      <c r="BFN35" s="5"/>
      <c r="BFO35" s="5"/>
      <c r="BFP35" s="5"/>
      <c r="BFQ35" s="5"/>
      <c r="BFR35" s="5"/>
      <c r="BFS35" s="5"/>
      <c r="BFT35" s="5"/>
      <c r="BFU35" s="5"/>
      <c r="BFV35" s="5"/>
      <c r="BFW35" s="5"/>
      <c r="BFX35" s="5"/>
      <c r="BFY35" s="5"/>
      <c r="BFZ35" s="5"/>
      <c r="BGA35" s="5"/>
      <c r="BGB35" s="5"/>
      <c r="BGC35" s="5"/>
      <c r="BGD35" s="5"/>
      <c r="BGE35" s="5"/>
      <c r="BGF35" s="5"/>
      <c r="BGG35" s="5"/>
      <c r="BGH35" s="5"/>
      <c r="BGI35" s="5"/>
      <c r="BGJ35" s="5"/>
      <c r="BGK35" s="5"/>
      <c r="BGL35" s="5"/>
      <c r="BGM35" s="5"/>
      <c r="BGN35" s="5"/>
      <c r="BGO35" s="5"/>
      <c r="BGP35" s="5"/>
      <c r="BGQ35" s="5"/>
      <c r="BGR35" s="5"/>
      <c r="BGS35" s="5"/>
      <c r="BGT35" s="5"/>
      <c r="BGU35" s="5"/>
      <c r="BGV35" s="5"/>
      <c r="BGW35" s="5"/>
      <c r="BGX35" s="5"/>
      <c r="BGY35" s="5"/>
      <c r="BGZ35" s="5"/>
      <c r="BHA35" s="5"/>
      <c r="BHB35" s="5"/>
      <c r="BHC35" s="5"/>
      <c r="BHD35" s="5"/>
      <c r="BHE35" s="5"/>
      <c r="BHF35" s="5"/>
      <c r="BHG35" s="5"/>
      <c r="BHH35" s="5"/>
      <c r="BHI35" s="5"/>
      <c r="BHJ35" s="5"/>
      <c r="BHK35" s="5"/>
      <c r="BHL35" s="5"/>
      <c r="BHM35" s="5"/>
      <c r="BHN35" s="5"/>
      <c r="BHO35" s="5"/>
      <c r="BHP35" s="5"/>
      <c r="BHQ35" s="5"/>
      <c r="BHR35" s="5"/>
      <c r="BHS35" s="5"/>
      <c r="BHT35" s="5"/>
      <c r="BHU35" s="5"/>
      <c r="BHV35" s="5"/>
      <c r="BHW35" s="5"/>
      <c r="BHX35" s="5"/>
      <c r="BHY35" s="5"/>
      <c r="BHZ35" s="5"/>
      <c r="BIA35" s="5"/>
      <c r="BIB35" s="5"/>
      <c r="BIC35" s="5"/>
      <c r="BID35" s="5"/>
      <c r="BIE35" s="5"/>
      <c r="BIF35" s="5"/>
      <c r="BIG35" s="5"/>
      <c r="BIH35" s="5"/>
      <c r="BII35" s="5"/>
      <c r="BIJ35" s="5"/>
      <c r="BIK35" s="5"/>
      <c r="BIL35" s="5"/>
      <c r="BIM35" s="5"/>
      <c r="BIN35" s="5"/>
      <c r="BIO35" s="5"/>
      <c r="BIP35" s="5"/>
      <c r="BIQ35" s="5"/>
      <c r="BIR35" s="5"/>
      <c r="BIS35" s="5"/>
      <c r="BIT35" s="5"/>
      <c r="BIU35" s="5"/>
      <c r="BIV35" s="5"/>
      <c r="BIW35" s="5"/>
      <c r="BIX35" s="5"/>
      <c r="BIY35" s="5"/>
      <c r="BIZ35" s="5"/>
      <c r="BJA35" s="5"/>
      <c r="BJB35" s="5"/>
      <c r="BJC35" s="5"/>
      <c r="BJD35" s="5"/>
      <c r="BJE35" s="5"/>
      <c r="BJF35" s="5"/>
      <c r="BJG35" s="5"/>
      <c r="BJH35" s="5"/>
      <c r="BJI35" s="5"/>
      <c r="BJJ35" s="5"/>
      <c r="BJK35" s="5"/>
      <c r="BJL35" s="5"/>
      <c r="BJM35" s="5"/>
      <c r="BJN35" s="5"/>
      <c r="BJO35" s="5"/>
      <c r="BJP35" s="5"/>
      <c r="BJQ35" s="5"/>
      <c r="BJR35" s="5"/>
      <c r="BJS35" s="5"/>
      <c r="BJT35" s="5"/>
      <c r="BJU35" s="5"/>
      <c r="BJV35" s="5"/>
      <c r="BJW35" s="5"/>
      <c r="BJX35" s="5"/>
      <c r="BJY35" s="5"/>
      <c r="BJZ35" s="5"/>
      <c r="BKA35" s="5"/>
      <c r="BKB35" s="5"/>
      <c r="BKC35" s="5"/>
      <c r="BKD35" s="5"/>
      <c r="BKE35" s="5"/>
      <c r="BKF35" s="5"/>
      <c r="BKG35" s="5"/>
      <c r="BKH35" s="5"/>
      <c r="BKI35" s="5"/>
      <c r="BKJ35" s="5"/>
      <c r="BKK35" s="5"/>
      <c r="BKL35" s="5"/>
      <c r="BKM35" s="5"/>
      <c r="BKN35" s="5"/>
      <c r="BKO35" s="5"/>
      <c r="BKP35" s="5"/>
      <c r="BKQ35" s="5"/>
      <c r="BKR35" s="5"/>
      <c r="BKS35" s="5"/>
      <c r="BKT35" s="5"/>
      <c r="BKU35" s="5"/>
      <c r="BKV35" s="5"/>
      <c r="BKW35" s="5"/>
      <c r="BKX35" s="5"/>
      <c r="BKY35" s="5"/>
      <c r="BKZ35" s="5"/>
      <c r="BLA35" s="5"/>
      <c r="BLB35" s="5"/>
      <c r="BLC35" s="5"/>
      <c r="BLD35" s="5"/>
      <c r="BLE35" s="5"/>
      <c r="BLF35" s="5"/>
      <c r="BLG35" s="5"/>
      <c r="BLH35" s="5"/>
      <c r="BLI35" s="5"/>
      <c r="BLJ35" s="5"/>
      <c r="BLK35" s="5"/>
      <c r="BLL35" s="5"/>
      <c r="BLM35" s="5"/>
      <c r="BLN35" s="5"/>
      <c r="BLO35" s="5"/>
      <c r="BLP35" s="5"/>
      <c r="BLQ35" s="5"/>
      <c r="BLR35" s="5"/>
      <c r="BLS35" s="5"/>
      <c r="BLT35" s="5"/>
      <c r="BLU35" s="5"/>
      <c r="BLV35" s="5"/>
      <c r="BLW35" s="5"/>
      <c r="BLX35" s="5"/>
      <c r="BLY35" s="5"/>
      <c r="BLZ35" s="5"/>
      <c r="BMA35" s="5"/>
      <c r="BMB35" s="5"/>
      <c r="BMC35" s="5"/>
      <c r="BMD35" s="5"/>
      <c r="BME35" s="5"/>
      <c r="BMF35" s="5"/>
      <c r="BMG35" s="5"/>
      <c r="BMH35" s="5"/>
      <c r="BMI35" s="5"/>
      <c r="BMJ35" s="5"/>
      <c r="BMK35" s="5"/>
      <c r="BML35" s="5"/>
      <c r="BMM35" s="5"/>
      <c r="BMN35" s="5"/>
      <c r="BMO35" s="5"/>
      <c r="BMP35" s="5"/>
      <c r="BMQ35" s="5"/>
      <c r="BMR35" s="5"/>
      <c r="BMS35" s="5"/>
      <c r="BMT35" s="5"/>
      <c r="BMU35" s="5"/>
      <c r="BMV35" s="5"/>
      <c r="BMW35" s="5"/>
      <c r="BMX35" s="5"/>
      <c r="BMY35" s="5"/>
      <c r="BMZ35" s="5"/>
      <c r="BNA35" s="5"/>
      <c r="BNB35" s="5"/>
      <c r="BNC35" s="5"/>
      <c r="BND35" s="5"/>
      <c r="BNE35" s="5"/>
      <c r="BNF35" s="5"/>
      <c r="BNG35" s="5"/>
      <c r="BNH35" s="5"/>
      <c r="BNI35" s="5"/>
      <c r="BNJ35" s="5"/>
      <c r="BNK35" s="5"/>
      <c r="BNL35" s="5"/>
      <c r="BNM35" s="5"/>
      <c r="BNN35" s="5"/>
      <c r="BNO35" s="5"/>
      <c r="BNP35" s="5"/>
      <c r="BNQ35" s="5"/>
      <c r="BNR35" s="5"/>
      <c r="BNS35" s="5"/>
      <c r="BNT35" s="5"/>
      <c r="BNU35" s="5"/>
      <c r="BNV35" s="5"/>
      <c r="BNW35" s="5"/>
      <c r="BNX35" s="5"/>
      <c r="BNY35" s="5"/>
      <c r="BNZ35" s="5"/>
      <c r="BOA35" s="5"/>
      <c r="BOB35" s="5"/>
      <c r="BOC35" s="5"/>
      <c r="BOD35" s="5"/>
      <c r="BOE35" s="5"/>
      <c r="BOF35" s="5"/>
      <c r="BOG35" s="5"/>
      <c r="BOH35" s="5"/>
      <c r="BOI35" s="5"/>
      <c r="BOJ35" s="5"/>
      <c r="BOK35" s="5"/>
      <c r="BOL35" s="5"/>
      <c r="BOM35" s="5"/>
      <c r="BON35" s="5"/>
      <c r="BOO35" s="5"/>
      <c r="BOP35" s="5"/>
      <c r="BOQ35" s="5"/>
      <c r="BOR35" s="5"/>
      <c r="BOS35" s="5"/>
      <c r="BOT35" s="5"/>
      <c r="BOU35" s="5"/>
      <c r="BOV35" s="5"/>
      <c r="BOW35" s="5"/>
      <c r="BOX35" s="5"/>
      <c r="BOY35" s="5"/>
      <c r="BOZ35" s="5"/>
      <c r="BPA35" s="5"/>
      <c r="BPB35" s="5"/>
      <c r="BPC35" s="5"/>
      <c r="BPD35" s="5"/>
      <c r="BPE35" s="5"/>
      <c r="BPF35" s="5"/>
      <c r="BPG35" s="5"/>
      <c r="BPH35" s="5"/>
      <c r="BPI35" s="5"/>
      <c r="BPJ35" s="5"/>
      <c r="BPK35" s="5"/>
      <c r="BPL35" s="5"/>
      <c r="BPM35" s="5"/>
      <c r="BPN35" s="5"/>
      <c r="BPO35" s="5"/>
      <c r="BPP35" s="5"/>
      <c r="BPQ35" s="5"/>
      <c r="BPR35" s="5"/>
      <c r="BPS35" s="5"/>
      <c r="BPT35" s="5"/>
      <c r="BPU35" s="5"/>
      <c r="BPV35" s="5"/>
      <c r="BPW35" s="5"/>
      <c r="BPX35" s="5"/>
      <c r="BPY35" s="5"/>
      <c r="BPZ35" s="5"/>
      <c r="BQA35" s="5"/>
      <c r="BQB35" s="5"/>
      <c r="BQC35" s="5"/>
      <c r="BQD35" s="5"/>
      <c r="BQE35" s="5"/>
      <c r="BQF35" s="5"/>
      <c r="BQG35" s="5"/>
      <c r="BQH35" s="5"/>
      <c r="BQI35" s="5"/>
      <c r="BQJ35" s="5"/>
      <c r="BQK35" s="5"/>
      <c r="BQL35" s="5"/>
      <c r="BQM35" s="5"/>
      <c r="BQN35" s="5"/>
      <c r="BQO35" s="5"/>
      <c r="BQP35" s="5"/>
      <c r="BQQ35" s="5"/>
      <c r="BQR35" s="5"/>
      <c r="BQS35" s="5"/>
      <c r="BQT35" s="5"/>
      <c r="BQU35" s="5"/>
      <c r="BQV35" s="5"/>
      <c r="BQW35" s="5"/>
      <c r="BQX35" s="5"/>
      <c r="BQY35" s="5"/>
      <c r="BQZ35" s="5"/>
      <c r="BRA35" s="5"/>
      <c r="BRB35" s="5"/>
      <c r="BRC35" s="5"/>
      <c r="BRD35" s="5"/>
      <c r="BRE35" s="5"/>
      <c r="BRF35" s="5"/>
      <c r="BRG35" s="5"/>
      <c r="BRH35" s="5"/>
      <c r="BRI35" s="5"/>
      <c r="BRJ35" s="5"/>
      <c r="BRK35" s="5"/>
      <c r="BRL35" s="5"/>
      <c r="BRM35" s="5"/>
      <c r="BRN35" s="5"/>
      <c r="BRO35" s="5"/>
      <c r="BRP35" s="5"/>
      <c r="BRQ35" s="5"/>
      <c r="BRR35" s="5"/>
      <c r="BRS35" s="5"/>
      <c r="BRT35" s="5"/>
      <c r="BRU35" s="5"/>
      <c r="BRV35" s="5"/>
      <c r="BRW35" s="5"/>
      <c r="BRX35" s="5"/>
      <c r="BRY35" s="5"/>
      <c r="BRZ35" s="5"/>
      <c r="BSA35" s="5"/>
      <c r="BSB35" s="5"/>
      <c r="BSC35" s="5"/>
      <c r="BSD35" s="5"/>
      <c r="BSE35" s="5"/>
      <c r="BSF35" s="5"/>
      <c r="BSG35" s="5"/>
      <c r="BSH35" s="5"/>
      <c r="BSI35" s="5"/>
      <c r="BSJ35" s="5"/>
      <c r="BSK35" s="5"/>
      <c r="BSL35" s="5"/>
      <c r="BSM35" s="5"/>
      <c r="BSN35" s="5"/>
      <c r="BSO35" s="5"/>
      <c r="BSP35" s="5"/>
      <c r="BSQ35" s="5"/>
      <c r="BSR35" s="5"/>
      <c r="BSS35" s="5"/>
      <c r="BST35" s="5"/>
      <c r="BSU35" s="5"/>
      <c r="BSV35" s="5"/>
      <c r="BSW35" s="5"/>
      <c r="BSX35" s="5"/>
      <c r="BSY35" s="5"/>
      <c r="BSZ35" s="5"/>
      <c r="BTA35" s="5"/>
      <c r="BTB35" s="5"/>
      <c r="BTC35" s="5"/>
      <c r="BTD35" s="5"/>
      <c r="BTE35" s="5"/>
      <c r="BTF35" s="5"/>
      <c r="BTG35" s="5"/>
      <c r="BTH35" s="5"/>
      <c r="BTI35" s="5"/>
      <c r="BTJ35" s="5"/>
      <c r="BTK35" s="5"/>
      <c r="BTL35" s="5"/>
      <c r="BTM35" s="5"/>
      <c r="BTN35" s="5"/>
      <c r="BTO35" s="5"/>
      <c r="BTP35" s="5"/>
      <c r="BTQ35" s="5"/>
      <c r="BTR35" s="5"/>
      <c r="BTS35" s="5"/>
      <c r="BTT35" s="5"/>
      <c r="BTU35" s="5"/>
      <c r="BTV35" s="5"/>
      <c r="BTW35" s="5"/>
      <c r="BTX35" s="5"/>
      <c r="BTY35" s="5"/>
      <c r="BTZ35" s="5"/>
      <c r="BUA35" s="5"/>
      <c r="BUB35" s="5"/>
      <c r="BUC35" s="5"/>
      <c r="BUD35" s="5"/>
      <c r="BUE35" s="5"/>
      <c r="BUF35" s="5"/>
      <c r="BUG35" s="5"/>
      <c r="BUH35" s="5"/>
      <c r="BUI35" s="5"/>
      <c r="BUJ35" s="5"/>
      <c r="BUK35" s="5"/>
      <c r="BUL35" s="5"/>
      <c r="BUM35" s="5"/>
      <c r="BUN35" s="5"/>
      <c r="BUO35" s="5"/>
      <c r="BUP35" s="5"/>
      <c r="BUQ35" s="5"/>
      <c r="BUR35" s="5"/>
      <c r="BUS35" s="5"/>
      <c r="BUT35" s="5"/>
      <c r="BUU35" s="5"/>
      <c r="BUV35" s="5"/>
      <c r="BUW35" s="5"/>
      <c r="BUX35" s="5"/>
      <c r="BUY35" s="5"/>
      <c r="BUZ35" s="5"/>
      <c r="BVA35" s="5"/>
      <c r="BVB35" s="5"/>
      <c r="BVC35" s="5"/>
      <c r="BVD35" s="5"/>
      <c r="BVE35" s="5"/>
      <c r="BVF35" s="5"/>
      <c r="BVG35" s="5"/>
      <c r="BVH35" s="5"/>
      <c r="BVI35" s="5"/>
      <c r="BVJ35" s="5"/>
      <c r="BVK35" s="5"/>
      <c r="BVL35" s="5"/>
      <c r="BVM35" s="5"/>
      <c r="BVN35" s="5"/>
      <c r="BVO35" s="5"/>
      <c r="BVP35" s="5"/>
      <c r="BVQ35" s="5"/>
      <c r="BVR35" s="5"/>
      <c r="BVS35" s="5"/>
      <c r="BVT35" s="5"/>
      <c r="BVU35" s="5"/>
      <c r="BVV35" s="5"/>
      <c r="BVW35" s="5"/>
      <c r="BVX35" s="5"/>
      <c r="BVY35" s="5"/>
      <c r="BVZ35" s="5"/>
      <c r="BWA35" s="5"/>
      <c r="BWB35" s="5"/>
      <c r="BWC35" s="5"/>
      <c r="BWD35" s="5"/>
      <c r="BWE35" s="5"/>
      <c r="BWF35" s="5"/>
      <c r="BWG35" s="5"/>
      <c r="BWH35" s="5"/>
      <c r="BWI35" s="5"/>
      <c r="BWJ35" s="5"/>
      <c r="BWK35" s="5"/>
      <c r="BWL35" s="5"/>
      <c r="BWM35" s="5"/>
      <c r="BWN35" s="5"/>
      <c r="BWO35" s="5"/>
      <c r="BWP35" s="5"/>
      <c r="BWQ35" s="5"/>
      <c r="BWR35" s="5"/>
      <c r="BWS35" s="5"/>
      <c r="BWT35" s="5"/>
      <c r="BWU35" s="5"/>
      <c r="BWV35" s="5"/>
      <c r="BWW35" s="5"/>
      <c r="BWX35" s="5"/>
      <c r="BWY35" s="5"/>
      <c r="BWZ35" s="5"/>
      <c r="BXA35" s="5"/>
      <c r="BXB35" s="5"/>
      <c r="BXC35" s="5"/>
      <c r="BXD35" s="5"/>
      <c r="BXE35" s="5"/>
      <c r="BXF35" s="5"/>
      <c r="BXG35" s="5"/>
      <c r="BXH35" s="5"/>
      <c r="BXI35" s="5"/>
      <c r="BXJ35" s="5"/>
      <c r="BXK35" s="5"/>
      <c r="BXL35" s="5"/>
      <c r="BXM35" s="5"/>
      <c r="BXN35" s="5"/>
      <c r="BXO35" s="5"/>
      <c r="BXP35" s="5"/>
      <c r="BXQ35" s="5"/>
      <c r="BXR35" s="5"/>
      <c r="BXS35" s="5"/>
      <c r="BXT35" s="5"/>
      <c r="BXU35" s="5"/>
      <c r="BXV35" s="5"/>
      <c r="BXW35" s="5"/>
      <c r="BXX35" s="5"/>
      <c r="BXY35" s="5"/>
      <c r="BXZ35" s="5"/>
      <c r="BYA35" s="5"/>
      <c r="BYB35" s="5"/>
      <c r="BYC35" s="5"/>
      <c r="BYD35" s="5"/>
      <c r="BYE35" s="5"/>
      <c r="BYF35" s="5"/>
      <c r="BYG35" s="5"/>
      <c r="BYH35" s="5"/>
      <c r="BYI35" s="5"/>
      <c r="BYJ35" s="5"/>
      <c r="BYK35" s="5"/>
      <c r="BYL35" s="5"/>
      <c r="BYM35" s="5"/>
      <c r="BYN35" s="5"/>
      <c r="BYO35" s="5"/>
      <c r="BYP35" s="5"/>
      <c r="BYQ35" s="5"/>
      <c r="BYR35" s="5"/>
      <c r="BYS35" s="5"/>
      <c r="BYT35" s="5"/>
      <c r="BYU35" s="5"/>
      <c r="BYV35" s="5"/>
      <c r="BYW35" s="5"/>
      <c r="BYX35" s="5"/>
      <c r="BYY35" s="5"/>
      <c r="BYZ35" s="5"/>
      <c r="BZA35" s="5"/>
      <c r="BZB35" s="5"/>
      <c r="BZC35" s="5"/>
      <c r="BZD35" s="5"/>
      <c r="BZE35" s="5"/>
      <c r="BZF35" s="5"/>
      <c r="BZG35" s="5"/>
      <c r="BZH35" s="5"/>
      <c r="BZI35" s="5"/>
      <c r="BZJ35" s="5"/>
      <c r="BZK35" s="5"/>
      <c r="BZL35" s="5"/>
      <c r="BZM35" s="5"/>
      <c r="BZN35" s="5"/>
      <c r="BZO35" s="5"/>
      <c r="BZP35" s="5"/>
      <c r="BZQ35" s="5"/>
      <c r="BZR35" s="5"/>
      <c r="BZS35" s="5"/>
      <c r="BZT35" s="5"/>
      <c r="BZU35" s="5"/>
      <c r="BZV35" s="5"/>
      <c r="BZW35" s="5"/>
      <c r="BZX35" s="5"/>
      <c r="BZY35" s="5"/>
      <c r="BZZ35" s="5"/>
      <c r="CAA35" s="5"/>
      <c r="CAB35" s="5"/>
      <c r="CAC35" s="5"/>
      <c r="CAD35" s="5"/>
      <c r="CAE35" s="5"/>
      <c r="CAF35" s="5"/>
      <c r="CAG35" s="5"/>
      <c r="CAH35" s="5"/>
      <c r="CAI35" s="5"/>
      <c r="CAJ35" s="5"/>
      <c r="CAK35" s="5"/>
      <c r="CAL35" s="5"/>
      <c r="CAM35" s="5"/>
      <c r="CAN35" s="5"/>
      <c r="CAO35" s="5"/>
      <c r="CAP35" s="5"/>
      <c r="CAQ35" s="5"/>
      <c r="CAR35" s="5"/>
      <c r="CAS35" s="5"/>
      <c r="CAT35" s="5"/>
      <c r="CAU35" s="5"/>
      <c r="CAV35" s="5"/>
      <c r="CAW35" s="5"/>
      <c r="CAX35" s="5"/>
      <c r="CAY35" s="5"/>
      <c r="CAZ35" s="5"/>
      <c r="CBA35" s="5"/>
      <c r="CBB35" s="5"/>
      <c r="CBC35" s="5"/>
      <c r="CBD35" s="5"/>
      <c r="CBE35" s="5"/>
      <c r="CBF35" s="5"/>
      <c r="CBG35" s="5"/>
      <c r="CBH35" s="5"/>
      <c r="CBI35" s="5"/>
      <c r="CBJ35" s="5"/>
      <c r="CBK35" s="5"/>
      <c r="CBL35" s="5"/>
      <c r="CBM35" s="5"/>
      <c r="CBN35" s="5"/>
      <c r="CBO35" s="5"/>
      <c r="CBP35" s="5"/>
      <c r="CBQ35" s="5"/>
      <c r="CBR35" s="5"/>
      <c r="CBS35" s="5"/>
      <c r="CBT35" s="5"/>
      <c r="CBU35" s="5"/>
      <c r="CBV35" s="5"/>
      <c r="CBW35" s="5"/>
      <c r="CBX35" s="5"/>
      <c r="CBY35" s="5"/>
      <c r="CBZ35" s="5"/>
      <c r="CCA35" s="5"/>
      <c r="CCB35" s="5"/>
      <c r="CCC35" s="5"/>
      <c r="CCD35" s="5"/>
      <c r="CCE35" s="5"/>
      <c r="CCF35" s="5"/>
      <c r="CCG35" s="5"/>
      <c r="CCH35" s="5"/>
      <c r="CCI35" s="5"/>
      <c r="CCJ35" s="5"/>
      <c r="CCK35" s="5"/>
      <c r="CCL35" s="5"/>
      <c r="CCM35" s="5"/>
      <c r="CCN35" s="5"/>
      <c r="CCO35" s="5"/>
      <c r="CCP35" s="5"/>
      <c r="CCQ35" s="5"/>
      <c r="CCR35" s="5"/>
      <c r="CCS35" s="5"/>
      <c r="CCT35" s="5"/>
      <c r="CCU35" s="5"/>
      <c r="CCV35" s="5"/>
      <c r="CCW35" s="5"/>
      <c r="CCX35" s="5"/>
      <c r="CCY35" s="5"/>
      <c r="CCZ35" s="5"/>
      <c r="CDA35" s="5"/>
      <c r="CDB35" s="5"/>
      <c r="CDC35" s="5"/>
      <c r="CDD35" s="5"/>
      <c r="CDE35" s="5"/>
      <c r="CDF35" s="5"/>
      <c r="CDG35" s="5"/>
      <c r="CDH35" s="5"/>
      <c r="CDI35" s="5"/>
      <c r="CDJ35" s="5"/>
      <c r="CDK35" s="5"/>
      <c r="CDL35" s="5"/>
      <c r="CDM35" s="5"/>
      <c r="CDN35" s="5"/>
      <c r="CDO35" s="5"/>
      <c r="CDP35" s="5"/>
      <c r="CDQ35" s="5"/>
      <c r="CDR35" s="5"/>
      <c r="CDS35" s="5"/>
      <c r="CDT35" s="5"/>
      <c r="CDU35" s="5"/>
      <c r="CDV35" s="5"/>
      <c r="CDW35" s="5"/>
      <c r="CDX35" s="5"/>
      <c r="CDY35" s="5"/>
      <c r="CDZ35" s="5"/>
      <c r="CEA35" s="5"/>
      <c r="CEB35" s="5"/>
      <c r="CEC35" s="5"/>
      <c r="CED35" s="5"/>
      <c r="CEE35" s="5"/>
      <c r="CEF35" s="5"/>
      <c r="CEG35" s="5"/>
      <c r="CEH35" s="5"/>
      <c r="CEI35" s="5"/>
      <c r="CEJ35" s="5"/>
      <c r="CEK35" s="5"/>
      <c r="CEL35" s="5"/>
      <c r="CEM35" s="5"/>
      <c r="CEN35" s="5"/>
      <c r="CEO35" s="5"/>
      <c r="CEP35" s="5"/>
      <c r="CEQ35" s="5"/>
      <c r="CER35" s="5"/>
      <c r="CES35" s="5"/>
      <c r="CET35" s="5"/>
      <c r="CEU35" s="5"/>
      <c r="CEV35" s="5"/>
      <c r="CEW35" s="5"/>
      <c r="CEX35" s="5"/>
      <c r="CEY35" s="5"/>
      <c r="CEZ35" s="5"/>
      <c r="CFA35" s="5"/>
      <c r="CFB35" s="5"/>
      <c r="CFC35" s="5"/>
      <c r="CFD35" s="5"/>
      <c r="CFE35" s="5"/>
      <c r="CFF35" s="5"/>
      <c r="CFG35" s="5"/>
      <c r="CFH35" s="5"/>
      <c r="CFI35" s="5"/>
      <c r="CFJ35" s="5"/>
      <c r="CFK35" s="5"/>
      <c r="CFL35" s="5"/>
      <c r="CFM35" s="5"/>
      <c r="CFN35" s="5"/>
      <c r="CFO35" s="5"/>
      <c r="CFP35" s="5"/>
      <c r="CFQ35" s="5"/>
      <c r="CFR35" s="5"/>
      <c r="CFS35" s="5"/>
      <c r="CFT35" s="5"/>
      <c r="CFU35" s="5"/>
      <c r="CFV35" s="5"/>
      <c r="CFW35" s="5"/>
      <c r="CFX35" s="5"/>
      <c r="CFY35" s="5"/>
      <c r="CFZ35" s="5"/>
      <c r="CGA35" s="5"/>
      <c r="CGB35" s="5"/>
      <c r="CGC35" s="5"/>
      <c r="CGD35" s="5"/>
      <c r="CGE35" s="5"/>
      <c r="CGF35" s="5"/>
      <c r="CGG35" s="5"/>
      <c r="CGH35" s="5"/>
      <c r="CGI35" s="5"/>
      <c r="CGJ35" s="5"/>
      <c r="CGK35" s="5"/>
      <c r="CGL35" s="5"/>
      <c r="CGM35" s="5"/>
      <c r="CGN35" s="5"/>
      <c r="CGO35" s="5"/>
      <c r="CGP35" s="5"/>
      <c r="CGQ35" s="5"/>
      <c r="CGR35" s="5"/>
      <c r="CGS35" s="5"/>
      <c r="CGT35" s="5"/>
      <c r="CGU35" s="5"/>
      <c r="CGV35" s="5"/>
      <c r="CGW35" s="5"/>
      <c r="CGX35" s="5"/>
      <c r="CGY35" s="5"/>
      <c r="CGZ35" s="5"/>
      <c r="CHA35" s="5"/>
      <c r="CHB35" s="5"/>
      <c r="CHC35" s="5"/>
      <c r="CHD35" s="5"/>
      <c r="CHE35" s="5"/>
      <c r="CHF35" s="5"/>
      <c r="CHG35" s="5"/>
      <c r="CHH35" s="5"/>
      <c r="CHI35" s="5"/>
      <c r="CHJ35" s="5"/>
      <c r="CHK35" s="5"/>
      <c r="CHL35" s="5"/>
      <c r="CHM35" s="5"/>
      <c r="CHN35" s="5"/>
      <c r="CHO35" s="5"/>
      <c r="CHP35" s="5"/>
      <c r="CHQ35" s="5"/>
      <c r="CHR35" s="5"/>
      <c r="CHS35" s="5"/>
      <c r="CHT35" s="5"/>
      <c r="CHU35" s="5"/>
      <c r="CHV35" s="5"/>
      <c r="CHW35" s="5"/>
      <c r="CHX35" s="5"/>
      <c r="CHY35" s="5"/>
      <c r="CHZ35" s="5"/>
      <c r="CIA35" s="5"/>
      <c r="CIB35" s="5"/>
      <c r="CIC35" s="5"/>
      <c r="CID35" s="5"/>
      <c r="CIE35" s="5"/>
      <c r="CIF35" s="5"/>
      <c r="CIG35" s="5"/>
      <c r="CIH35" s="5"/>
      <c r="CII35" s="5"/>
      <c r="CIJ35" s="5"/>
      <c r="CIK35" s="5"/>
      <c r="CIL35" s="5"/>
      <c r="CIM35" s="5"/>
      <c r="CIN35" s="5"/>
      <c r="CIO35" s="5"/>
      <c r="CIP35" s="5"/>
      <c r="CIQ35" s="5"/>
      <c r="CIR35" s="5"/>
      <c r="CIS35" s="5"/>
      <c r="CIT35" s="5"/>
      <c r="CIU35" s="5"/>
      <c r="CIV35" s="5"/>
      <c r="CIW35" s="5"/>
      <c r="CIX35" s="5"/>
      <c r="CIY35" s="5"/>
      <c r="CIZ35" s="5"/>
      <c r="CJA35" s="5"/>
      <c r="CJB35" s="5"/>
      <c r="CJC35" s="5"/>
      <c r="CJD35" s="5"/>
      <c r="CJE35" s="5"/>
      <c r="CJF35" s="5"/>
      <c r="CJG35" s="5"/>
      <c r="CJH35" s="5"/>
      <c r="CJI35" s="5"/>
      <c r="CJJ35" s="5"/>
      <c r="CJK35" s="5"/>
      <c r="CJL35" s="5"/>
      <c r="CJM35" s="5"/>
      <c r="CJN35" s="5"/>
      <c r="CJO35" s="5"/>
      <c r="CJP35" s="5"/>
      <c r="CJQ35" s="5"/>
      <c r="CJR35" s="5"/>
      <c r="CJS35" s="5"/>
      <c r="CJT35" s="5"/>
      <c r="CJU35" s="5"/>
      <c r="CJV35" s="5"/>
      <c r="CJW35" s="5"/>
      <c r="CJX35" s="5"/>
      <c r="CJY35" s="5"/>
      <c r="CJZ35" s="5"/>
      <c r="CKA35" s="5"/>
      <c r="CKB35" s="5"/>
      <c r="CKC35" s="5"/>
      <c r="CKD35" s="5"/>
      <c r="CKE35" s="5"/>
      <c r="CKF35" s="5"/>
      <c r="CKG35" s="5"/>
      <c r="CKH35" s="5"/>
      <c r="CKI35" s="5"/>
      <c r="CKJ35" s="5"/>
      <c r="CKK35" s="5"/>
      <c r="CKL35" s="5"/>
      <c r="CKM35" s="5"/>
      <c r="CKN35" s="5"/>
      <c r="CKO35" s="5"/>
      <c r="CKP35" s="5"/>
      <c r="CKQ35" s="5"/>
      <c r="CKR35" s="5"/>
      <c r="CKS35" s="5"/>
      <c r="CKT35" s="5"/>
      <c r="CKU35" s="5"/>
      <c r="CKV35" s="5"/>
      <c r="CKW35" s="5"/>
      <c r="CKX35" s="5"/>
      <c r="CKY35" s="5"/>
      <c r="CKZ35" s="5"/>
      <c r="CLA35" s="5"/>
      <c r="CLB35" s="5"/>
      <c r="CLC35" s="5"/>
      <c r="CLD35" s="5"/>
      <c r="CLE35" s="5"/>
      <c r="CLF35" s="5"/>
      <c r="CLG35" s="5"/>
      <c r="CLH35" s="5"/>
      <c r="CLI35" s="5"/>
      <c r="CLJ35" s="5"/>
      <c r="CLK35" s="5"/>
      <c r="CLL35" s="5"/>
      <c r="CLM35" s="5"/>
      <c r="CLN35" s="5"/>
      <c r="CLO35" s="5"/>
      <c r="CLP35" s="5"/>
      <c r="CLQ35" s="5"/>
      <c r="CLR35" s="5"/>
      <c r="CLS35" s="5"/>
      <c r="CLT35" s="5"/>
      <c r="CLU35" s="5"/>
      <c r="CLV35" s="5"/>
      <c r="CLW35" s="5"/>
      <c r="CLX35" s="5"/>
      <c r="CLY35" s="5"/>
      <c r="CLZ35" s="5"/>
      <c r="CMA35" s="5"/>
      <c r="CMB35" s="5"/>
      <c r="CMC35" s="5"/>
      <c r="CMD35" s="5"/>
      <c r="CME35" s="5"/>
      <c r="CMF35" s="5"/>
      <c r="CMG35" s="5"/>
      <c r="CMH35" s="5"/>
      <c r="CMI35" s="5"/>
      <c r="CMJ35" s="5"/>
      <c r="CMK35" s="5"/>
      <c r="CML35" s="5"/>
      <c r="CMM35" s="5"/>
      <c r="CMN35" s="5"/>
      <c r="CMO35" s="5"/>
      <c r="CMP35" s="5"/>
      <c r="CMQ35" s="5"/>
      <c r="CMR35" s="5"/>
      <c r="CMS35" s="5"/>
      <c r="CMT35" s="5"/>
      <c r="CMU35" s="5"/>
      <c r="CMV35" s="5"/>
      <c r="CMW35" s="5"/>
      <c r="CMX35" s="5"/>
      <c r="CMY35" s="5"/>
      <c r="CMZ35" s="5"/>
      <c r="CNA35" s="5"/>
      <c r="CNB35" s="5"/>
      <c r="CNC35" s="5"/>
      <c r="CND35" s="5"/>
      <c r="CNE35" s="5"/>
      <c r="CNF35" s="5"/>
      <c r="CNG35" s="5"/>
      <c r="CNH35" s="5"/>
      <c r="CNI35" s="5"/>
      <c r="CNJ35" s="5"/>
      <c r="CNK35" s="5"/>
      <c r="CNL35" s="5"/>
      <c r="CNM35" s="5"/>
      <c r="CNN35" s="5"/>
      <c r="CNO35" s="5"/>
      <c r="CNP35" s="5"/>
      <c r="CNQ35" s="5"/>
      <c r="CNR35" s="5"/>
      <c r="CNS35" s="5"/>
      <c r="CNT35" s="5"/>
      <c r="CNU35" s="5"/>
      <c r="CNV35" s="5"/>
      <c r="CNW35" s="5"/>
      <c r="CNX35" s="5"/>
      <c r="CNY35" s="5"/>
      <c r="CNZ35" s="5"/>
      <c r="COA35" s="5"/>
      <c r="COB35" s="5"/>
      <c r="COC35" s="5"/>
      <c r="COD35" s="5"/>
      <c r="COE35" s="5"/>
      <c r="COF35" s="5"/>
      <c r="COG35" s="5"/>
      <c r="COH35" s="5"/>
      <c r="COI35" s="5"/>
      <c r="COJ35" s="5"/>
      <c r="COK35" s="5"/>
      <c r="COL35" s="5"/>
      <c r="COM35" s="5"/>
      <c r="CON35" s="5"/>
      <c r="COO35" s="5"/>
      <c r="COP35" s="5"/>
      <c r="COQ35" s="5"/>
      <c r="COR35" s="5"/>
      <c r="COS35" s="5"/>
      <c r="COT35" s="5"/>
      <c r="COU35" s="5"/>
      <c r="COV35" s="5"/>
      <c r="COW35" s="5"/>
      <c r="COX35" s="5"/>
      <c r="COY35" s="5"/>
      <c r="COZ35" s="5"/>
      <c r="CPA35" s="5"/>
      <c r="CPB35" s="5"/>
      <c r="CPC35" s="5"/>
      <c r="CPD35" s="5"/>
      <c r="CPE35" s="5"/>
      <c r="CPF35" s="5"/>
      <c r="CPG35" s="5"/>
      <c r="CPH35" s="5"/>
      <c r="CPI35" s="5"/>
      <c r="CPJ35" s="5"/>
      <c r="CPK35" s="5"/>
      <c r="CPL35" s="5"/>
      <c r="CPM35" s="5"/>
      <c r="CPN35" s="5"/>
      <c r="CPO35" s="5"/>
      <c r="CPP35" s="5"/>
      <c r="CPQ35" s="5"/>
      <c r="CPR35" s="5"/>
      <c r="CPS35" s="5"/>
      <c r="CPT35" s="5"/>
      <c r="CPU35" s="5"/>
      <c r="CPV35" s="5"/>
      <c r="CPW35" s="5"/>
      <c r="CPX35" s="5"/>
      <c r="CPY35" s="5"/>
      <c r="CPZ35" s="5"/>
      <c r="CQA35" s="5"/>
      <c r="CQB35" s="5"/>
      <c r="CQC35" s="5"/>
      <c r="CQD35" s="5"/>
      <c r="CQE35" s="5"/>
      <c r="CQF35" s="5"/>
      <c r="CQG35" s="5"/>
      <c r="CQH35" s="5"/>
      <c r="CQI35" s="5"/>
      <c r="CQJ35" s="5"/>
      <c r="CQK35" s="5"/>
      <c r="CQL35" s="5"/>
      <c r="CQM35" s="5"/>
      <c r="CQN35" s="5"/>
      <c r="CQO35" s="5"/>
      <c r="CQP35" s="5"/>
      <c r="CQQ35" s="5"/>
      <c r="CQR35" s="5"/>
      <c r="CQS35" s="5"/>
      <c r="CQT35" s="5"/>
      <c r="CQU35" s="5"/>
      <c r="CQV35" s="5"/>
      <c r="CQW35" s="5"/>
      <c r="CQX35" s="5"/>
      <c r="CQY35" s="5"/>
      <c r="CQZ35" s="5"/>
      <c r="CRA35" s="5"/>
      <c r="CRB35" s="5"/>
      <c r="CRC35" s="5"/>
      <c r="CRD35" s="5"/>
      <c r="CRE35" s="5"/>
      <c r="CRF35" s="5"/>
      <c r="CRG35" s="5"/>
      <c r="CRH35" s="5"/>
      <c r="CRI35" s="5"/>
      <c r="CRJ35" s="5"/>
      <c r="CRK35" s="5"/>
      <c r="CRL35" s="5"/>
      <c r="CRM35" s="5"/>
      <c r="CRN35" s="5"/>
      <c r="CRO35" s="5"/>
      <c r="CRP35" s="5"/>
      <c r="CRQ35" s="5"/>
      <c r="CRR35" s="5"/>
      <c r="CRS35" s="5"/>
      <c r="CRT35" s="5"/>
      <c r="CRU35" s="5"/>
      <c r="CRV35" s="5"/>
      <c r="CRW35" s="5"/>
      <c r="CRX35" s="5"/>
      <c r="CRY35" s="5"/>
      <c r="CRZ35" s="5"/>
      <c r="CSA35" s="5"/>
      <c r="CSB35" s="5"/>
      <c r="CSC35" s="5"/>
      <c r="CSD35" s="5"/>
      <c r="CSE35" s="5"/>
      <c r="CSF35" s="5"/>
      <c r="CSG35" s="5"/>
      <c r="CSH35" s="5"/>
      <c r="CSI35" s="5"/>
      <c r="CSJ35" s="5"/>
      <c r="CSK35" s="5"/>
      <c r="CSL35" s="5"/>
      <c r="CSM35" s="5"/>
      <c r="CSN35" s="5"/>
      <c r="CSO35" s="5"/>
      <c r="CSP35" s="5"/>
      <c r="CSQ35" s="5"/>
      <c r="CSR35" s="5"/>
      <c r="CSS35" s="5"/>
      <c r="CST35" s="5"/>
      <c r="CSU35" s="5"/>
      <c r="CSV35" s="5"/>
      <c r="CSW35" s="5"/>
      <c r="CSX35" s="5"/>
      <c r="CSY35" s="5"/>
      <c r="CSZ35" s="5"/>
      <c r="CTA35" s="5"/>
      <c r="CTB35" s="5"/>
      <c r="CTC35" s="5"/>
      <c r="CTD35" s="5"/>
      <c r="CTE35" s="5"/>
      <c r="CTF35" s="5"/>
      <c r="CTG35" s="5"/>
      <c r="CTH35" s="5"/>
      <c r="CTI35" s="5"/>
      <c r="CTJ35" s="5"/>
      <c r="CTK35" s="5"/>
      <c r="CTL35" s="5"/>
      <c r="CTM35" s="5"/>
      <c r="CTN35" s="5"/>
      <c r="CTO35" s="5"/>
      <c r="CTP35" s="5"/>
      <c r="CTQ35" s="5"/>
      <c r="CTR35" s="5"/>
      <c r="CTS35" s="5"/>
      <c r="CTT35" s="5"/>
      <c r="CTU35" s="5"/>
      <c r="CTV35" s="5"/>
      <c r="CTW35" s="5"/>
      <c r="CTX35" s="5"/>
      <c r="CTY35" s="5"/>
      <c r="CTZ35" s="5"/>
      <c r="CUA35" s="5"/>
      <c r="CUB35" s="5"/>
      <c r="CUC35" s="5"/>
      <c r="CUD35" s="5"/>
      <c r="CUE35" s="5"/>
      <c r="CUF35" s="5"/>
      <c r="CUG35" s="5"/>
      <c r="CUH35" s="5"/>
      <c r="CUI35" s="5"/>
      <c r="CUJ35" s="5"/>
      <c r="CUK35" s="5"/>
      <c r="CUL35" s="5"/>
      <c r="CUM35" s="5"/>
      <c r="CUN35" s="5"/>
      <c r="CUO35" s="5"/>
      <c r="CUP35" s="5"/>
      <c r="CUQ35" s="5"/>
      <c r="CUR35" s="5"/>
      <c r="CUS35" s="5"/>
      <c r="CUT35" s="5"/>
      <c r="CUU35" s="5"/>
      <c r="CUV35" s="5"/>
      <c r="CUW35" s="5"/>
      <c r="CUX35" s="5"/>
      <c r="CUY35" s="5"/>
      <c r="CUZ35" s="5"/>
      <c r="CVA35" s="5"/>
      <c r="CVB35" s="5"/>
      <c r="CVC35" s="5"/>
      <c r="CVD35" s="5"/>
      <c r="CVE35" s="5"/>
      <c r="CVF35" s="5"/>
      <c r="CVG35" s="5"/>
      <c r="CVH35" s="5"/>
      <c r="CVI35" s="5"/>
      <c r="CVJ35" s="5"/>
      <c r="CVK35" s="5"/>
      <c r="CVL35" s="5"/>
      <c r="CVM35" s="5"/>
      <c r="CVN35" s="5"/>
      <c r="CVO35" s="5"/>
      <c r="CVP35" s="5"/>
      <c r="CVQ35" s="5"/>
      <c r="CVR35" s="5"/>
      <c r="CVS35" s="5"/>
      <c r="CVT35" s="5"/>
      <c r="CVU35" s="5"/>
      <c r="CVV35" s="5"/>
      <c r="CVW35" s="5"/>
      <c r="CVX35" s="5"/>
      <c r="CVY35" s="5"/>
      <c r="CVZ35" s="5"/>
      <c r="CWA35" s="5"/>
      <c r="CWB35" s="5"/>
      <c r="CWC35" s="5"/>
      <c r="CWD35" s="5"/>
      <c r="CWE35" s="5"/>
      <c r="CWF35" s="5"/>
      <c r="CWG35" s="5"/>
      <c r="CWH35" s="5"/>
      <c r="CWI35" s="5"/>
      <c r="CWJ35" s="5"/>
      <c r="CWK35" s="5"/>
      <c r="CWL35" s="5"/>
      <c r="CWM35" s="5"/>
      <c r="CWN35" s="5"/>
      <c r="CWO35" s="5"/>
      <c r="CWP35" s="5"/>
      <c r="CWQ35" s="5"/>
      <c r="CWR35" s="5"/>
      <c r="CWS35" s="5"/>
      <c r="CWT35" s="5"/>
      <c r="CWU35" s="5"/>
      <c r="CWV35" s="5"/>
      <c r="CWW35" s="5"/>
      <c r="CWX35" s="5"/>
      <c r="CWY35" s="5"/>
      <c r="CWZ35" s="5"/>
      <c r="CXA35" s="5"/>
      <c r="CXB35" s="5"/>
      <c r="CXC35" s="5"/>
      <c r="CXD35" s="5"/>
      <c r="CXE35" s="5"/>
      <c r="CXF35" s="5"/>
      <c r="CXG35" s="5"/>
      <c r="CXH35" s="5"/>
      <c r="CXI35" s="5"/>
      <c r="CXJ35" s="5"/>
      <c r="CXK35" s="5"/>
      <c r="CXL35" s="5"/>
      <c r="CXM35" s="5"/>
      <c r="CXN35" s="5"/>
      <c r="CXO35" s="5"/>
      <c r="CXP35" s="5"/>
      <c r="CXQ35" s="5"/>
      <c r="CXR35" s="5"/>
      <c r="CXS35" s="5"/>
      <c r="CXT35" s="5"/>
      <c r="CXU35" s="5"/>
      <c r="CXV35" s="5"/>
      <c r="CXW35" s="5"/>
      <c r="CXX35" s="5"/>
      <c r="CXY35" s="5"/>
      <c r="CXZ35" s="5"/>
      <c r="CYA35" s="5"/>
      <c r="CYB35" s="5"/>
      <c r="CYC35" s="5"/>
      <c r="CYD35" s="5"/>
      <c r="CYE35" s="5"/>
      <c r="CYF35" s="5"/>
      <c r="CYG35" s="5"/>
      <c r="CYH35" s="5"/>
      <c r="CYI35" s="5"/>
      <c r="CYJ35" s="5"/>
      <c r="CYK35" s="5"/>
      <c r="CYL35" s="5"/>
      <c r="CYM35" s="5"/>
      <c r="CYN35" s="5"/>
      <c r="CYO35" s="5"/>
      <c r="CYP35" s="5"/>
      <c r="CYQ35" s="5"/>
      <c r="CYR35" s="5"/>
      <c r="CYS35" s="5"/>
      <c r="CYT35" s="5"/>
      <c r="CYU35" s="5"/>
      <c r="CYV35" s="5"/>
      <c r="CYW35" s="5"/>
      <c r="CYX35" s="5"/>
      <c r="CYY35" s="5"/>
      <c r="CYZ35" s="5"/>
      <c r="CZA35" s="5"/>
      <c r="CZB35" s="5"/>
      <c r="CZC35" s="5"/>
      <c r="CZD35" s="5"/>
      <c r="CZE35" s="5"/>
      <c r="CZF35" s="5"/>
      <c r="CZG35" s="5"/>
      <c r="CZH35" s="5"/>
      <c r="CZI35" s="5"/>
      <c r="CZJ35" s="5"/>
      <c r="CZK35" s="5"/>
      <c r="CZL35" s="5"/>
      <c r="CZM35" s="5"/>
      <c r="CZN35" s="5"/>
      <c r="CZO35" s="5"/>
      <c r="CZP35" s="5"/>
      <c r="CZQ35" s="5"/>
      <c r="CZR35" s="5"/>
      <c r="CZS35" s="5"/>
      <c r="CZT35" s="5"/>
      <c r="CZU35" s="5"/>
      <c r="CZV35" s="5"/>
      <c r="CZW35" s="5"/>
      <c r="CZX35" s="5"/>
      <c r="CZY35" s="5"/>
      <c r="CZZ35" s="5"/>
      <c r="DAA35" s="5"/>
      <c r="DAB35" s="5"/>
      <c r="DAC35" s="5"/>
      <c r="DAD35" s="5"/>
      <c r="DAE35" s="5"/>
      <c r="DAF35" s="5"/>
      <c r="DAG35" s="5"/>
      <c r="DAH35" s="5"/>
      <c r="DAI35" s="5"/>
      <c r="DAJ35" s="5"/>
      <c r="DAK35" s="5"/>
      <c r="DAL35" s="5"/>
      <c r="DAM35" s="5"/>
      <c r="DAN35" s="5"/>
      <c r="DAO35" s="5"/>
      <c r="DAP35" s="5"/>
      <c r="DAQ35" s="5"/>
      <c r="DAR35" s="5"/>
      <c r="DAS35" s="5"/>
      <c r="DAT35" s="5"/>
      <c r="DAU35" s="5"/>
      <c r="DAV35" s="5"/>
      <c r="DAW35" s="5"/>
      <c r="DAX35" s="5"/>
      <c r="DAY35" s="5"/>
      <c r="DAZ35" s="5"/>
      <c r="DBA35" s="5"/>
      <c r="DBB35" s="5"/>
      <c r="DBC35" s="5"/>
      <c r="DBD35" s="5"/>
      <c r="DBE35" s="5"/>
      <c r="DBF35" s="5"/>
      <c r="DBG35" s="5"/>
      <c r="DBH35" s="5"/>
      <c r="DBI35" s="5"/>
      <c r="DBJ35" s="5"/>
      <c r="DBK35" s="5"/>
      <c r="DBL35" s="5"/>
      <c r="DBM35" s="5"/>
      <c r="DBN35" s="5"/>
      <c r="DBO35" s="5"/>
      <c r="DBP35" s="5"/>
      <c r="DBQ35" s="5"/>
      <c r="DBR35" s="5"/>
      <c r="DBS35" s="5"/>
      <c r="DBT35" s="5"/>
      <c r="DBU35" s="5"/>
      <c r="DBV35" s="5"/>
      <c r="DBW35" s="5"/>
      <c r="DBX35" s="5"/>
      <c r="DBY35" s="5"/>
      <c r="DBZ35" s="5"/>
      <c r="DCA35" s="5"/>
      <c r="DCB35" s="5"/>
      <c r="DCC35" s="5"/>
      <c r="DCD35" s="5"/>
      <c r="DCE35" s="5"/>
      <c r="DCF35" s="5"/>
      <c r="DCG35" s="5"/>
      <c r="DCH35" s="5"/>
      <c r="DCI35" s="5"/>
      <c r="DCJ35" s="5"/>
      <c r="DCK35" s="5"/>
      <c r="DCL35" s="5"/>
      <c r="DCM35" s="5"/>
      <c r="DCN35" s="5"/>
      <c r="DCO35" s="5"/>
      <c r="DCP35" s="5"/>
      <c r="DCQ35" s="5"/>
      <c r="DCR35" s="5"/>
      <c r="DCS35" s="5"/>
      <c r="DCT35" s="5"/>
      <c r="DCU35" s="5"/>
      <c r="DCV35" s="5"/>
      <c r="DCW35" s="5"/>
      <c r="DCX35" s="5"/>
      <c r="DCY35" s="5"/>
      <c r="DCZ35" s="5"/>
      <c r="DDA35" s="5"/>
      <c r="DDB35" s="5"/>
      <c r="DDC35" s="5"/>
      <c r="DDD35" s="5"/>
      <c r="DDE35" s="5"/>
      <c r="DDF35" s="5"/>
      <c r="DDG35" s="5"/>
      <c r="DDH35" s="5"/>
      <c r="DDI35" s="5"/>
      <c r="DDJ35" s="5"/>
      <c r="DDK35" s="5"/>
      <c r="DDL35" s="5"/>
      <c r="DDM35" s="5"/>
      <c r="DDN35" s="5"/>
      <c r="DDO35" s="5"/>
      <c r="DDP35" s="5"/>
      <c r="DDQ35" s="5"/>
      <c r="DDR35" s="5"/>
      <c r="DDS35" s="5"/>
      <c r="DDT35" s="5"/>
      <c r="DDU35" s="5"/>
      <c r="DDV35" s="5"/>
      <c r="DDW35" s="5"/>
      <c r="DDX35" s="5"/>
      <c r="DDY35" s="5"/>
      <c r="DDZ35" s="5"/>
      <c r="DEA35" s="5"/>
      <c r="DEB35" s="5"/>
      <c r="DEC35" s="5"/>
      <c r="DED35" s="5"/>
      <c r="DEE35" s="5"/>
      <c r="DEF35" s="5"/>
      <c r="DEG35" s="5"/>
      <c r="DEH35" s="5"/>
      <c r="DEI35" s="5"/>
      <c r="DEJ35" s="5"/>
      <c r="DEK35" s="5"/>
      <c r="DEL35" s="5"/>
      <c r="DEM35" s="5"/>
      <c r="DEN35" s="5"/>
      <c r="DEO35" s="5"/>
      <c r="DEP35" s="5"/>
      <c r="DEQ35" s="5"/>
      <c r="DER35" s="5"/>
      <c r="DES35" s="5"/>
      <c r="DET35" s="5"/>
      <c r="DEU35" s="5"/>
      <c r="DEV35" s="5"/>
      <c r="DEW35" s="5"/>
      <c r="DEX35" s="5"/>
      <c r="DEY35" s="5"/>
      <c r="DEZ35" s="5"/>
      <c r="DFA35" s="5"/>
      <c r="DFB35" s="5"/>
      <c r="DFC35" s="5"/>
      <c r="DFD35" s="5"/>
      <c r="DFE35" s="5"/>
      <c r="DFF35" s="5"/>
      <c r="DFG35" s="5"/>
      <c r="DFH35" s="5"/>
      <c r="DFI35" s="5"/>
      <c r="DFJ35" s="5"/>
      <c r="DFK35" s="5"/>
      <c r="DFL35" s="5"/>
      <c r="DFM35" s="5"/>
      <c r="DFN35" s="5"/>
      <c r="DFO35" s="5"/>
      <c r="DFP35" s="5"/>
      <c r="DFQ35" s="5"/>
      <c r="DFR35" s="5"/>
      <c r="DFS35" s="5"/>
      <c r="DFT35" s="5"/>
      <c r="DFU35" s="5"/>
      <c r="DFV35" s="5"/>
      <c r="DFW35" s="5"/>
      <c r="DFX35" s="5"/>
      <c r="DFY35" s="5"/>
      <c r="DFZ35" s="5"/>
      <c r="DGA35" s="5"/>
      <c r="DGB35" s="5"/>
      <c r="DGC35" s="5"/>
      <c r="DGD35" s="5"/>
      <c r="DGE35" s="5"/>
      <c r="DGF35" s="5"/>
      <c r="DGG35" s="5"/>
      <c r="DGH35" s="5"/>
      <c r="DGI35" s="5"/>
      <c r="DGJ35" s="5"/>
      <c r="DGK35" s="5"/>
      <c r="DGL35" s="5"/>
      <c r="DGM35" s="5"/>
      <c r="DGN35" s="5"/>
      <c r="DGO35" s="5"/>
      <c r="DGP35" s="5"/>
      <c r="DGQ35" s="5"/>
      <c r="DGR35" s="5"/>
      <c r="DGS35" s="5"/>
      <c r="DGT35" s="5"/>
      <c r="DGU35" s="5"/>
      <c r="DGV35" s="5"/>
      <c r="DGW35" s="5"/>
      <c r="DGX35" s="5"/>
      <c r="DGY35" s="5"/>
      <c r="DGZ35" s="5"/>
      <c r="DHA35" s="5"/>
      <c r="DHB35" s="5"/>
      <c r="DHC35" s="5"/>
      <c r="DHD35" s="5"/>
      <c r="DHE35" s="5"/>
      <c r="DHF35" s="5"/>
      <c r="DHG35" s="5"/>
      <c r="DHH35" s="5"/>
      <c r="DHI35" s="5"/>
      <c r="DHJ35" s="5"/>
      <c r="DHK35" s="5"/>
      <c r="DHL35" s="5"/>
      <c r="DHM35" s="5"/>
      <c r="DHN35" s="5"/>
      <c r="DHO35" s="5"/>
      <c r="DHP35" s="5"/>
      <c r="DHQ35" s="5"/>
      <c r="DHR35" s="5"/>
      <c r="DHS35" s="5"/>
      <c r="DHT35" s="5"/>
      <c r="DHU35" s="5"/>
      <c r="DHV35" s="5"/>
      <c r="DHW35" s="5"/>
      <c r="DHX35" s="5"/>
      <c r="DHY35" s="5"/>
      <c r="DHZ35" s="5"/>
      <c r="DIA35" s="5"/>
      <c r="DIB35" s="5"/>
      <c r="DIC35" s="5"/>
      <c r="DID35" s="5"/>
      <c r="DIE35" s="5"/>
      <c r="DIF35" s="5"/>
      <c r="DIG35" s="5"/>
      <c r="DIH35" s="5"/>
      <c r="DII35" s="5"/>
      <c r="DIJ35" s="5"/>
      <c r="DIK35" s="5"/>
      <c r="DIL35" s="5"/>
      <c r="DIM35" s="5"/>
      <c r="DIN35" s="5"/>
      <c r="DIO35" s="5"/>
      <c r="DIP35" s="5"/>
      <c r="DIQ35" s="5"/>
      <c r="DIR35" s="5"/>
      <c r="DIS35" s="5"/>
      <c r="DIT35" s="5"/>
      <c r="DIU35" s="5"/>
      <c r="DIV35" s="5"/>
      <c r="DIW35" s="5"/>
      <c r="DIX35" s="5"/>
      <c r="DIY35" s="5"/>
      <c r="DIZ35" s="5"/>
      <c r="DJA35" s="5"/>
      <c r="DJB35" s="5"/>
      <c r="DJC35" s="5"/>
      <c r="DJD35" s="5"/>
      <c r="DJE35" s="5"/>
      <c r="DJF35" s="5"/>
      <c r="DJG35" s="5"/>
      <c r="DJH35" s="5"/>
      <c r="DJI35" s="5"/>
      <c r="DJJ35" s="5"/>
      <c r="DJK35" s="5"/>
      <c r="DJL35" s="5"/>
      <c r="DJM35" s="5"/>
      <c r="DJN35" s="5"/>
      <c r="DJO35" s="5"/>
      <c r="DJP35" s="5"/>
      <c r="DJQ35" s="5"/>
      <c r="DJR35" s="5"/>
      <c r="DJS35" s="5"/>
      <c r="DJT35" s="5"/>
      <c r="DJU35" s="5"/>
      <c r="DJV35" s="5"/>
      <c r="DJW35" s="5"/>
      <c r="DJX35" s="5"/>
      <c r="DJY35" s="5"/>
      <c r="DJZ35" s="5"/>
      <c r="DKA35" s="5"/>
      <c r="DKB35" s="5"/>
      <c r="DKC35" s="5"/>
      <c r="DKD35" s="5"/>
      <c r="DKE35" s="5"/>
      <c r="DKF35" s="5"/>
      <c r="DKG35" s="5"/>
      <c r="DKH35" s="5"/>
      <c r="DKI35" s="5"/>
      <c r="DKJ35" s="5"/>
      <c r="DKK35" s="5"/>
      <c r="DKL35" s="5"/>
      <c r="DKM35" s="5"/>
      <c r="DKN35" s="5"/>
      <c r="DKO35" s="5"/>
      <c r="DKP35" s="5"/>
      <c r="DKQ35" s="5"/>
      <c r="DKR35" s="5"/>
      <c r="DKS35" s="5"/>
      <c r="DKT35" s="5"/>
      <c r="DKU35" s="5"/>
      <c r="DKV35" s="5"/>
      <c r="DKW35" s="5"/>
      <c r="DKX35" s="5"/>
      <c r="DKY35" s="5"/>
      <c r="DKZ35" s="5"/>
      <c r="DLA35" s="5"/>
      <c r="DLB35" s="5"/>
      <c r="DLC35" s="5"/>
      <c r="DLD35" s="5"/>
      <c r="DLE35" s="5"/>
      <c r="DLF35" s="5"/>
      <c r="DLG35" s="5"/>
      <c r="DLH35" s="5"/>
      <c r="DLI35" s="5"/>
      <c r="DLJ35" s="5"/>
      <c r="DLK35" s="5"/>
      <c r="DLL35" s="5"/>
      <c r="DLM35" s="5"/>
      <c r="DLN35" s="5"/>
      <c r="DLO35" s="5"/>
      <c r="DLP35" s="5"/>
      <c r="DLQ35" s="5"/>
      <c r="DLR35" s="5"/>
      <c r="DLS35" s="5"/>
      <c r="DLT35" s="5"/>
      <c r="DLU35" s="5"/>
      <c r="DLV35" s="5"/>
      <c r="DLW35" s="5"/>
      <c r="DLX35" s="5"/>
      <c r="DLY35" s="5"/>
      <c r="DLZ35" s="5"/>
      <c r="DMA35" s="5"/>
      <c r="DMB35" s="5"/>
      <c r="DMC35" s="5"/>
      <c r="DMD35" s="5"/>
      <c r="DME35" s="5"/>
      <c r="DMF35" s="5"/>
      <c r="DMG35" s="5"/>
      <c r="DMH35" s="5"/>
      <c r="DMI35" s="5"/>
      <c r="DMJ35" s="5"/>
      <c r="DMK35" s="5"/>
      <c r="DML35" s="5"/>
      <c r="DMM35" s="5"/>
      <c r="DMN35" s="5"/>
      <c r="DMO35" s="5"/>
      <c r="DMP35" s="5"/>
      <c r="DMQ35" s="5"/>
      <c r="DMR35" s="5"/>
      <c r="DMS35" s="5"/>
      <c r="DMT35" s="5"/>
      <c r="DMU35" s="5"/>
      <c r="DMV35" s="5"/>
      <c r="DMW35" s="5"/>
      <c r="DMX35" s="5"/>
      <c r="DMY35" s="5"/>
      <c r="DMZ35" s="5"/>
      <c r="DNA35" s="5"/>
      <c r="DNB35" s="5"/>
      <c r="DNC35" s="5"/>
      <c r="DND35" s="5"/>
      <c r="DNE35" s="5"/>
      <c r="DNF35" s="5"/>
      <c r="DNG35" s="5"/>
      <c r="DNH35" s="5"/>
      <c r="DNI35" s="5"/>
      <c r="DNJ35" s="5"/>
      <c r="DNK35" s="5"/>
      <c r="DNL35" s="5"/>
      <c r="DNM35" s="5"/>
      <c r="DNN35" s="5"/>
      <c r="DNO35" s="5"/>
      <c r="DNP35" s="5"/>
      <c r="DNQ35" s="5"/>
      <c r="DNR35" s="5"/>
      <c r="DNS35" s="5"/>
      <c r="DNT35" s="5"/>
      <c r="DNU35" s="5"/>
      <c r="DNV35" s="5"/>
      <c r="DNW35" s="5"/>
      <c r="DNX35" s="5"/>
      <c r="DNY35" s="5"/>
      <c r="DNZ35" s="5"/>
      <c r="DOA35" s="5"/>
      <c r="DOB35" s="5"/>
      <c r="DOC35" s="5"/>
      <c r="DOD35" s="5"/>
      <c r="DOE35" s="5"/>
      <c r="DOF35" s="5"/>
      <c r="DOG35" s="5"/>
      <c r="DOH35" s="5"/>
      <c r="DOI35" s="5"/>
      <c r="DOJ35" s="5"/>
      <c r="DOK35" s="5"/>
      <c r="DOL35" s="5"/>
      <c r="DOM35" s="5"/>
      <c r="DON35" s="5"/>
      <c r="DOO35" s="5"/>
      <c r="DOP35" s="5"/>
      <c r="DOQ35" s="5"/>
      <c r="DOR35" s="5"/>
      <c r="DOS35" s="5"/>
      <c r="DOT35" s="5"/>
      <c r="DOU35" s="5"/>
      <c r="DOV35" s="5"/>
      <c r="DOW35" s="5"/>
      <c r="DOX35" s="5"/>
      <c r="DOY35" s="5"/>
      <c r="DOZ35" s="5"/>
      <c r="DPA35" s="5"/>
      <c r="DPB35" s="5"/>
      <c r="DPC35" s="5"/>
      <c r="DPD35" s="5"/>
      <c r="DPE35" s="5"/>
      <c r="DPF35" s="5"/>
      <c r="DPG35" s="5"/>
      <c r="DPH35" s="5"/>
      <c r="DPI35" s="5"/>
      <c r="DPJ35" s="5"/>
      <c r="DPK35" s="5"/>
      <c r="DPL35" s="5"/>
      <c r="DPM35" s="5"/>
      <c r="DPN35" s="5"/>
      <c r="DPO35" s="5"/>
      <c r="DPP35" s="5"/>
      <c r="DPQ35" s="5"/>
      <c r="DPR35" s="5"/>
      <c r="DPS35" s="5"/>
      <c r="DPT35" s="5"/>
      <c r="DPU35" s="5"/>
      <c r="DPV35" s="5"/>
      <c r="DPW35" s="5"/>
      <c r="DPX35" s="5"/>
      <c r="DPY35" s="5"/>
      <c r="DPZ35" s="5"/>
      <c r="DQA35" s="5"/>
      <c r="DQB35" s="5"/>
      <c r="DQC35" s="5"/>
      <c r="DQD35" s="5"/>
      <c r="DQE35" s="5"/>
      <c r="DQF35" s="5"/>
      <c r="DQG35" s="5"/>
      <c r="DQH35" s="5"/>
      <c r="DQI35" s="5"/>
      <c r="DQJ35" s="5"/>
      <c r="DQK35" s="5"/>
      <c r="DQL35" s="5"/>
      <c r="DQM35" s="5"/>
      <c r="DQN35" s="5"/>
      <c r="DQO35" s="5"/>
      <c r="DQP35" s="5"/>
      <c r="DQQ35" s="5"/>
      <c r="DQR35" s="5"/>
      <c r="DQS35" s="5"/>
      <c r="DQT35" s="5"/>
      <c r="DQU35" s="5"/>
      <c r="DQV35" s="5"/>
      <c r="DQW35" s="5"/>
      <c r="DQX35" s="5"/>
      <c r="DQY35" s="5"/>
      <c r="DQZ35" s="5"/>
      <c r="DRA35" s="5"/>
      <c r="DRB35" s="5"/>
      <c r="DRC35" s="5"/>
      <c r="DRD35" s="5"/>
      <c r="DRE35" s="5"/>
      <c r="DRF35" s="5"/>
      <c r="DRG35" s="5"/>
      <c r="DRH35" s="5"/>
      <c r="DRI35" s="5"/>
      <c r="DRJ35" s="5"/>
      <c r="DRK35" s="5"/>
      <c r="DRL35" s="5"/>
      <c r="DRM35" s="5"/>
      <c r="DRN35" s="5"/>
      <c r="DRO35" s="5"/>
      <c r="DRP35" s="5"/>
      <c r="DRQ35" s="5"/>
      <c r="DRR35" s="5"/>
      <c r="DRS35" s="5"/>
      <c r="DRT35" s="5"/>
      <c r="DRU35" s="5"/>
      <c r="DRV35" s="5"/>
      <c r="DRW35" s="5"/>
      <c r="DRX35" s="5"/>
      <c r="DRY35" s="5"/>
      <c r="DRZ35" s="5"/>
      <c r="DSA35" s="5"/>
      <c r="DSB35" s="5"/>
      <c r="DSC35" s="5"/>
      <c r="DSD35" s="5"/>
      <c r="DSE35" s="5"/>
      <c r="DSF35" s="5"/>
      <c r="DSG35" s="5"/>
      <c r="DSH35" s="5"/>
      <c r="DSI35" s="5"/>
      <c r="DSJ35" s="5"/>
      <c r="DSK35" s="5"/>
      <c r="DSL35" s="5"/>
      <c r="DSM35" s="5"/>
      <c r="DSN35" s="5"/>
      <c r="DSO35" s="5"/>
      <c r="DSP35" s="5"/>
      <c r="DSQ35" s="5"/>
      <c r="DSR35" s="5"/>
      <c r="DSS35" s="5"/>
      <c r="DST35" s="5"/>
      <c r="DSU35" s="5"/>
      <c r="DSV35" s="5"/>
      <c r="DSW35" s="5"/>
      <c r="DSX35" s="5"/>
      <c r="DSY35" s="5"/>
      <c r="DSZ35" s="5"/>
      <c r="DTA35" s="5"/>
      <c r="DTB35" s="5"/>
      <c r="DTC35" s="5"/>
      <c r="DTD35" s="5"/>
      <c r="DTE35" s="5"/>
      <c r="DTF35" s="5"/>
      <c r="DTG35" s="5"/>
      <c r="DTH35" s="5"/>
      <c r="DTI35" s="5"/>
      <c r="DTJ35" s="5"/>
      <c r="DTK35" s="5"/>
      <c r="DTL35" s="5"/>
      <c r="DTM35" s="5"/>
      <c r="DTN35" s="5"/>
      <c r="DTO35" s="5"/>
      <c r="DTP35" s="5"/>
      <c r="DTQ35" s="5"/>
      <c r="DTR35" s="5"/>
      <c r="DTS35" s="5"/>
      <c r="DTT35" s="5"/>
      <c r="DTU35" s="5"/>
      <c r="DTV35" s="5"/>
      <c r="DTW35" s="5"/>
      <c r="DTX35" s="5"/>
      <c r="DTY35" s="5"/>
      <c r="DTZ35" s="5"/>
      <c r="DUA35" s="5"/>
      <c r="DUB35" s="5"/>
      <c r="DUC35" s="5"/>
      <c r="DUD35" s="5"/>
      <c r="DUE35" s="5"/>
      <c r="DUF35" s="5"/>
      <c r="DUG35" s="5"/>
      <c r="DUH35" s="5"/>
      <c r="DUI35" s="5"/>
      <c r="DUJ35" s="5"/>
      <c r="DUK35" s="5"/>
      <c r="DUL35" s="5"/>
      <c r="DUM35" s="5"/>
      <c r="DUN35" s="5"/>
      <c r="DUO35" s="5"/>
      <c r="DUP35" s="5"/>
      <c r="DUQ35" s="5"/>
      <c r="DUR35" s="5"/>
      <c r="DUS35" s="5"/>
      <c r="DUT35" s="5"/>
      <c r="DUU35" s="5"/>
      <c r="DUV35" s="5"/>
      <c r="DUW35" s="5"/>
      <c r="DUX35" s="5"/>
      <c r="DUY35" s="5"/>
      <c r="DUZ35" s="5"/>
      <c r="DVA35" s="5"/>
      <c r="DVB35" s="5"/>
      <c r="DVC35" s="5"/>
      <c r="DVD35" s="5"/>
      <c r="DVE35" s="5"/>
      <c r="DVF35" s="5"/>
      <c r="DVG35" s="5"/>
      <c r="DVH35" s="5"/>
      <c r="DVI35" s="5"/>
      <c r="DVJ35" s="5"/>
      <c r="DVK35" s="5"/>
      <c r="DVL35" s="5"/>
      <c r="DVM35" s="5"/>
      <c r="DVN35" s="5"/>
      <c r="DVO35" s="5"/>
      <c r="DVP35" s="5"/>
      <c r="DVQ35" s="5"/>
      <c r="DVR35" s="5"/>
      <c r="DVS35" s="5"/>
      <c r="DVT35" s="5"/>
      <c r="DVU35" s="5"/>
      <c r="DVV35" s="5"/>
      <c r="DVW35" s="5"/>
      <c r="DVX35" s="5"/>
      <c r="DVY35" s="5"/>
      <c r="DVZ35" s="5"/>
      <c r="DWA35" s="5"/>
      <c r="DWB35" s="5"/>
      <c r="DWC35" s="5"/>
      <c r="DWD35" s="5"/>
      <c r="DWE35" s="5"/>
      <c r="DWF35" s="5"/>
      <c r="DWG35" s="5"/>
      <c r="DWH35" s="5"/>
      <c r="DWI35" s="5"/>
      <c r="DWJ35" s="5"/>
      <c r="DWK35" s="5"/>
      <c r="DWL35" s="5"/>
      <c r="DWM35" s="5"/>
      <c r="DWN35" s="5"/>
      <c r="DWO35" s="5"/>
      <c r="DWP35" s="5"/>
      <c r="DWQ35" s="5"/>
      <c r="DWR35" s="5"/>
      <c r="DWS35" s="5"/>
      <c r="DWT35" s="5"/>
      <c r="DWU35" s="5"/>
      <c r="DWV35" s="5"/>
      <c r="DWW35" s="5"/>
      <c r="DWX35" s="5"/>
      <c r="DWY35" s="5"/>
      <c r="DWZ35" s="5"/>
      <c r="DXA35" s="5"/>
      <c r="DXB35" s="5"/>
      <c r="DXC35" s="5"/>
      <c r="DXD35" s="5"/>
      <c r="DXE35" s="5"/>
      <c r="DXF35" s="5"/>
      <c r="DXG35" s="5"/>
      <c r="DXH35" s="5"/>
      <c r="DXI35" s="5"/>
      <c r="DXJ35" s="5"/>
      <c r="DXK35" s="5"/>
      <c r="DXL35" s="5"/>
      <c r="DXM35" s="5"/>
      <c r="DXN35" s="5"/>
      <c r="DXO35" s="5"/>
      <c r="DXP35" s="5"/>
      <c r="DXQ35" s="5"/>
      <c r="DXR35" s="5"/>
      <c r="DXS35" s="5"/>
      <c r="DXT35" s="5"/>
      <c r="DXU35" s="5"/>
      <c r="DXV35" s="5"/>
      <c r="DXW35" s="5"/>
      <c r="DXX35" s="5"/>
      <c r="DXY35" s="5"/>
      <c r="DXZ35" s="5"/>
      <c r="DYA35" s="5"/>
      <c r="DYB35" s="5"/>
      <c r="DYC35" s="5"/>
      <c r="DYD35" s="5"/>
      <c r="DYE35" s="5"/>
      <c r="DYF35" s="5"/>
      <c r="DYG35" s="5"/>
      <c r="DYH35" s="5"/>
      <c r="DYI35" s="5"/>
      <c r="DYJ35" s="5"/>
      <c r="DYK35" s="5"/>
      <c r="DYL35" s="5"/>
      <c r="DYM35" s="5"/>
      <c r="DYN35" s="5"/>
      <c r="DYO35" s="5"/>
      <c r="DYP35" s="5"/>
      <c r="DYQ35" s="5"/>
      <c r="DYR35" s="5"/>
      <c r="DYS35" s="5"/>
      <c r="DYT35" s="5"/>
      <c r="DYU35" s="5"/>
      <c r="DYV35" s="5"/>
      <c r="DYW35" s="5"/>
      <c r="DYX35" s="5"/>
      <c r="DYY35" s="5"/>
      <c r="DYZ35" s="5"/>
      <c r="DZA35" s="5"/>
      <c r="DZB35" s="5"/>
      <c r="DZC35" s="5"/>
      <c r="DZD35" s="5"/>
      <c r="DZE35" s="5"/>
      <c r="DZF35" s="5"/>
      <c r="DZG35" s="5"/>
      <c r="DZH35" s="5"/>
      <c r="DZI35" s="5"/>
      <c r="DZJ35" s="5"/>
      <c r="DZK35" s="5"/>
      <c r="DZL35" s="5"/>
      <c r="DZM35" s="5"/>
      <c r="DZN35" s="5"/>
      <c r="DZO35" s="5"/>
      <c r="DZP35" s="5"/>
      <c r="DZQ35" s="5"/>
      <c r="DZR35" s="5"/>
      <c r="DZS35" s="5"/>
      <c r="DZT35" s="5"/>
      <c r="DZU35" s="5"/>
      <c r="DZV35" s="5"/>
      <c r="DZW35" s="5"/>
      <c r="DZX35" s="5"/>
      <c r="DZY35" s="5"/>
      <c r="DZZ35" s="5"/>
      <c r="EAA35" s="5"/>
      <c r="EAB35" s="5"/>
      <c r="EAC35" s="5"/>
      <c r="EAD35" s="5"/>
      <c r="EAE35" s="5"/>
      <c r="EAF35" s="5"/>
      <c r="EAG35" s="5"/>
      <c r="EAH35" s="5"/>
      <c r="EAI35" s="5"/>
      <c r="EAJ35" s="5"/>
      <c r="EAK35" s="5"/>
      <c r="EAL35" s="5"/>
      <c r="EAM35" s="5"/>
      <c r="EAN35" s="5"/>
      <c r="EAO35" s="5"/>
      <c r="EAP35" s="5"/>
      <c r="EAQ35" s="5"/>
      <c r="EAR35" s="5"/>
      <c r="EAS35" s="5"/>
      <c r="EAT35" s="5"/>
      <c r="EAU35" s="5"/>
      <c r="EAV35" s="5"/>
      <c r="EAW35" s="5"/>
      <c r="EAX35" s="5"/>
      <c r="EAY35" s="5"/>
      <c r="EAZ35" s="5"/>
      <c r="EBA35" s="5"/>
      <c r="EBB35" s="5"/>
      <c r="EBC35" s="5"/>
      <c r="EBD35" s="5"/>
      <c r="EBE35" s="5"/>
      <c r="EBF35" s="5"/>
      <c r="EBG35" s="5"/>
      <c r="EBH35" s="5"/>
      <c r="EBI35" s="5"/>
      <c r="EBJ35" s="5"/>
      <c r="EBK35" s="5"/>
      <c r="EBL35" s="5"/>
      <c r="EBM35" s="5"/>
      <c r="EBN35" s="5"/>
      <c r="EBO35" s="5"/>
      <c r="EBP35" s="5"/>
      <c r="EBQ35" s="5"/>
      <c r="EBR35" s="5"/>
      <c r="EBS35" s="5"/>
      <c r="EBT35" s="5"/>
      <c r="EBU35" s="5"/>
      <c r="EBV35" s="5"/>
      <c r="EBW35" s="5"/>
      <c r="EBX35" s="5"/>
      <c r="EBY35" s="5"/>
      <c r="EBZ35" s="5"/>
      <c r="ECA35" s="5"/>
      <c r="ECB35" s="5"/>
      <c r="ECC35" s="5"/>
      <c r="ECD35" s="5"/>
      <c r="ECE35" s="5"/>
      <c r="ECF35" s="5"/>
      <c r="ECG35" s="5"/>
      <c r="ECH35" s="5"/>
      <c r="ECI35" s="5"/>
      <c r="ECJ35" s="5"/>
      <c r="ECK35" s="5"/>
      <c r="ECL35" s="5"/>
      <c r="ECM35" s="5"/>
      <c r="ECN35" s="5"/>
      <c r="ECO35" s="5"/>
      <c r="ECP35" s="5"/>
      <c r="ECQ35" s="5"/>
      <c r="ECR35" s="5"/>
      <c r="ECS35" s="5"/>
      <c r="ECT35" s="5"/>
      <c r="ECU35" s="5"/>
      <c r="ECV35" s="5"/>
      <c r="ECW35" s="5"/>
      <c r="ECX35" s="5"/>
      <c r="ECY35" s="5"/>
      <c r="ECZ35" s="5"/>
      <c r="EDA35" s="5"/>
      <c r="EDB35" s="5"/>
      <c r="EDC35" s="5"/>
      <c r="EDD35" s="5"/>
      <c r="EDE35" s="5"/>
      <c r="EDF35" s="5"/>
      <c r="EDG35" s="5"/>
      <c r="EDH35" s="5"/>
      <c r="EDI35" s="5"/>
      <c r="EDJ35" s="5"/>
      <c r="EDK35" s="5"/>
      <c r="EDL35" s="5"/>
      <c r="EDM35" s="5"/>
      <c r="EDN35" s="5"/>
      <c r="EDO35" s="5"/>
      <c r="EDP35" s="5"/>
      <c r="EDQ35" s="5"/>
      <c r="EDR35" s="5"/>
      <c r="EDS35" s="5"/>
      <c r="EDT35" s="5"/>
      <c r="EDU35" s="5"/>
      <c r="EDV35" s="5"/>
      <c r="EDW35" s="5"/>
      <c r="EDX35" s="5"/>
      <c r="EDY35" s="5"/>
      <c r="EDZ35" s="5"/>
      <c r="EEA35" s="5"/>
      <c r="EEB35" s="5"/>
      <c r="EEC35" s="5"/>
      <c r="EED35" s="5"/>
      <c r="EEE35" s="5"/>
      <c r="EEF35" s="5"/>
      <c r="EEG35" s="5"/>
      <c r="EEH35" s="5"/>
      <c r="EEI35" s="5"/>
      <c r="EEJ35" s="5"/>
      <c r="EEK35" s="5"/>
      <c r="EEL35" s="5"/>
      <c r="EEM35" s="5"/>
      <c r="EEN35" s="5"/>
      <c r="EEO35" s="5"/>
      <c r="EEP35" s="5"/>
      <c r="EEQ35" s="5"/>
      <c r="EER35" s="5"/>
      <c r="EES35" s="5"/>
      <c r="EET35" s="5"/>
      <c r="EEU35" s="5"/>
      <c r="EEV35" s="5"/>
      <c r="EEW35" s="5"/>
      <c r="EEX35" s="5"/>
      <c r="EEY35" s="5"/>
      <c r="EEZ35" s="5"/>
      <c r="EFA35" s="5"/>
      <c r="EFB35" s="5"/>
      <c r="EFC35" s="5"/>
      <c r="EFD35" s="5"/>
      <c r="EFE35" s="5"/>
      <c r="EFF35" s="5"/>
      <c r="EFG35" s="5"/>
      <c r="EFH35" s="5"/>
      <c r="EFI35" s="5"/>
      <c r="EFJ35" s="5"/>
      <c r="EFK35" s="5"/>
      <c r="EFL35" s="5"/>
      <c r="EFM35" s="5"/>
      <c r="EFN35" s="5"/>
      <c r="EFO35" s="5"/>
      <c r="EFP35" s="5"/>
      <c r="EFQ35" s="5"/>
      <c r="EFR35" s="5"/>
      <c r="EFS35" s="5"/>
      <c r="EFT35" s="5"/>
      <c r="EFU35" s="5"/>
      <c r="EFV35" s="5"/>
      <c r="EFW35" s="5"/>
      <c r="EFX35" s="5"/>
      <c r="EFY35" s="5"/>
      <c r="EFZ35" s="5"/>
      <c r="EGA35" s="5"/>
      <c r="EGB35" s="5"/>
      <c r="EGC35" s="5"/>
      <c r="EGD35" s="5"/>
      <c r="EGE35" s="5"/>
      <c r="EGF35" s="5"/>
      <c r="EGG35" s="5"/>
      <c r="EGH35" s="5"/>
      <c r="EGI35" s="5"/>
      <c r="EGJ35" s="5"/>
      <c r="EGK35" s="5"/>
      <c r="EGL35" s="5"/>
      <c r="EGM35" s="5"/>
      <c r="EGN35" s="5"/>
      <c r="EGO35" s="5"/>
      <c r="EGP35" s="5"/>
      <c r="EGQ35" s="5"/>
      <c r="EGR35" s="5"/>
      <c r="EGS35" s="5"/>
      <c r="EGT35" s="5"/>
      <c r="EGU35" s="5"/>
      <c r="EGV35" s="5"/>
      <c r="EGW35" s="5"/>
      <c r="EGX35" s="5"/>
      <c r="EGY35" s="5"/>
      <c r="EGZ35" s="5"/>
      <c r="EHA35" s="5"/>
      <c r="EHB35" s="5"/>
      <c r="EHC35" s="5"/>
      <c r="EHD35" s="5"/>
      <c r="EHE35" s="5"/>
      <c r="EHF35" s="5"/>
      <c r="EHG35" s="5"/>
      <c r="EHH35" s="5"/>
      <c r="EHI35" s="5"/>
      <c r="EHJ35" s="5"/>
      <c r="EHK35" s="5"/>
      <c r="EHL35" s="5"/>
      <c r="EHM35" s="5"/>
      <c r="EHN35" s="5"/>
      <c r="EHO35" s="5"/>
      <c r="EHP35" s="5"/>
      <c r="EHQ35" s="5"/>
      <c r="EHR35" s="5"/>
      <c r="EHS35" s="5"/>
      <c r="EHT35" s="5"/>
      <c r="EHU35" s="5"/>
      <c r="EHV35" s="5"/>
      <c r="EHW35" s="5"/>
      <c r="EHX35" s="5"/>
      <c r="EHY35" s="5"/>
      <c r="EHZ35" s="5"/>
      <c r="EIA35" s="5"/>
      <c r="EIB35" s="5"/>
      <c r="EIC35" s="5"/>
      <c r="EID35" s="5"/>
      <c r="EIE35" s="5"/>
      <c r="EIF35" s="5"/>
      <c r="EIG35" s="5"/>
      <c r="EIH35" s="5"/>
      <c r="EII35" s="5"/>
      <c r="EIJ35" s="5"/>
      <c r="EIK35" s="5"/>
      <c r="EIL35" s="5"/>
      <c r="EIM35" s="5"/>
      <c r="EIN35" s="5"/>
      <c r="EIO35" s="5"/>
      <c r="EIP35" s="5"/>
      <c r="EIQ35" s="5"/>
      <c r="EIR35" s="5"/>
      <c r="EIS35" s="5"/>
      <c r="EIT35" s="5"/>
      <c r="EIU35" s="5"/>
      <c r="EIV35" s="5"/>
      <c r="EIW35" s="5"/>
      <c r="EIX35" s="5"/>
      <c r="EIY35" s="5"/>
      <c r="EIZ35" s="5"/>
      <c r="EJA35" s="5"/>
      <c r="EJB35" s="5"/>
      <c r="EJC35" s="5"/>
      <c r="EJD35" s="5"/>
      <c r="EJE35" s="5"/>
      <c r="EJF35" s="5"/>
      <c r="EJG35" s="5"/>
      <c r="EJH35" s="5"/>
      <c r="EJI35" s="5"/>
      <c r="EJJ35" s="5"/>
      <c r="EJK35" s="5"/>
      <c r="EJL35" s="5"/>
      <c r="EJM35" s="5"/>
      <c r="EJN35" s="5"/>
      <c r="EJO35" s="5"/>
      <c r="EJP35" s="5"/>
      <c r="EJQ35" s="5"/>
      <c r="EJR35" s="5"/>
      <c r="EJS35" s="5"/>
      <c r="EJT35" s="5"/>
      <c r="EJU35" s="5"/>
      <c r="EJV35" s="5"/>
      <c r="EJW35" s="5"/>
      <c r="EJX35" s="5"/>
      <c r="EJY35" s="5"/>
      <c r="EJZ35" s="5"/>
      <c r="EKA35" s="5"/>
      <c r="EKB35" s="5"/>
      <c r="EKC35" s="5"/>
      <c r="EKD35" s="5"/>
      <c r="EKE35" s="5"/>
      <c r="EKF35" s="5"/>
      <c r="EKG35" s="5"/>
      <c r="EKH35" s="5"/>
      <c r="EKI35" s="5"/>
      <c r="EKJ35" s="5"/>
      <c r="EKK35" s="5"/>
      <c r="EKL35" s="5"/>
      <c r="EKM35" s="5"/>
      <c r="EKN35" s="5"/>
      <c r="EKO35" s="5"/>
      <c r="EKP35" s="5"/>
      <c r="EKQ35" s="5"/>
      <c r="EKR35" s="5"/>
      <c r="EKS35" s="5"/>
      <c r="EKT35" s="5"/>
      <c r="EKU35" s="5"/>
      <c r="EKV35" s="5"/>
      <c r="EKW35" s="5"/>
      <c r="EKX35" s="5"/>
      <c r="EKY35" s="5"/>
      <c r="EKZ35" s="5"/>
      <c r="ELA35" s="5"/>
      <c r="ELB35" s="5"/>
      <c r="ELC35" s="5"/>
      <c r="ELD35" s="5"/>
      <c r="ELE35" s="5"/>
      <c r="ELF35" s="5"/>
      <c r="ELG35" s="5"/>
      <c r="ELH35" s="5"/>
      <c r="ELI35" s="5"/>
      <c r="ELJ35" s="5"/>
      <c r="ELK35" s="5"/>
      <c r="ELL35" s="5"/>
      <c r="ELM35" s="5"/>
      <c r="ELN35" s="5"/>
      <c r="ELO35" s="5"/>
      <c r="ELP35" s="5"/>
      <c r="ELQ35" s="5"/>
      <c r="ELR35" s="5"/>
      <c r="ELS35" s="5"/>
      <c r="ELT35" s="5"/>
      <c r="ELU35" s="5"/>
      <c r="ELV35" s="5"/>
      <c r="ELW35" s="5"/>
      <c r="ELX35" s="5"/>
      <c r="ELY35" s="5"/>
      <c r="ELZ35" s="5"/>
      <c r="EMA35" s="5"/>
      <c r="EMB35" s="5"/>
      <c r="EMC35" s="5"/>
      <c r="EMD35" s="5"/>
      <c r="EME35" s="5"/>
      <c r="EMF35" s="5"/>
      <c r="EMG35" s="5"/>
      <c r="EMH35" s="5"/>
      <c r="EMI35" s="5"/>
      <c r="EMJ35" s="5"/>
      <c r="EMK35" s="5"/>
      <c r="EML35" s="5"/>
      <c r="EMM35" s="5"/>
      <c r="EMN35" s="5"/>
      <c r="EMO35" s="5"/>
      <c r="EMP35" s="5"/>
      <c r="EMQ35" s="5"/>
      <c r="EMR35" s="5"/>
      <c r="EMS35" s="5"/>
      <c r="EMT35" s="5"/>
      <c r="EMU35" s="5"/>
      <c r="EMV35" s="5"/>
      <c r="EMW35" s="5"/>
      <c r="EMX35" s="5"/>
      <c r="EMY35" s="5"/>
      <c r="EMZ35" s="5"/>
      <c r="ENA35" s="5"/>
      <c r="ENB35" s="5"/>
      <c r="ENC35" s="5"/>
      <c r="END35" s="5"/>
      <c r="ENE35" s="5"/>
      <c r="ENF35" s="5"/>
      <c r="ENG35" s="5"/>
      <c r="ENH35" s="5"/>
      <c r="ENI35" s="5"/>
      <c r="ENJ35" s="5"/>
      <c r="ENK35" s="5"/>
      <c r="ENL35" s="5"/>
      <c r="ENM35" s="5"/>
      <c r="ENN35" s="5"/>
      <c r="ENO35" s="5"/>
      <c r="ENP35" s="5"/>
      <c r="ENQ35" s="5"/>
      <c r="ENR35" s="5"/>
      <c r="ENS35" s="5"/>
      <c r="ENT35" s="5"/>
      <c r="ENU35" s="5"/>
      <c r="ENV35" s="5"/>
      <c r="ENW35" s="5"/>
      <c r="ENX35" s="5"/>
      <c r="ENY35" s="5"/>
      <c r="ENZ35" s="5"/>
      <c r="EOA35" s="5"/>
      <c r="EOB35" s="5"/>
      <c r="EOC35" s="5"/>
      <c r="EOD35" s="5"/>
      <c r="EOE35" s="5"/>
      <c r="EOF35" s="5"/>
      <c r="EOG35" s="5"/>
      <c r="EOH35" s="5"/>
      <c r="EOI35" s="5"/>
      <c r="EOJ35" s="5"/>
      <c r="EOK35" s="5"/>
      <c r="EOL35" s="5"/>
      <c r="EOM35" s="5"/>
      <c r="EON35" s="5"/>
      <c r="EOO35" s="5"/>
      <c r="EOP35" s="5"/>
      <c r="EOQ35" s="5"/>
      <c r="EOR35" s="5"/>
      <c r="EOS35" s="5"/>
      <c r="EOT35" s="5"/>
      <c r="EOU35" s="5"/>
      <c r="EOV35" s="5"/>
      <c r="EOW35" s="5"/>
      <c r="EOX35" s="5"/>
      <c r="EOY35" s="5"/>
      <c r="EOZ35" s="5"/>
      <c r="EPA35" s="5"/>
      <c r="EPB35" s="5"/>
      <c r="EPC35" s="5"/>
      <c r="EPD35" s="5"/>
      <c r="EPE35" s="5"/>
      <c r="EPF35" s="5"/>
      <c r="EPG35" s="5"/>
      <c r="EPH35" s="5"/>
      <c r="EPI35" s="5"/>
      <c r="EPJ35" s="5"/>
      <c r="EPK35" s="5"/>
      <c r="EPL35" s="5"/>
      <c r="EPM35" s="5"/>
      <c r="EPN35" s="5"/>
      <c r="EPO35" s="5"/>
      <c r="EPP35" s="5"/>
      <c r="EPQ35" s="5"/>
      <c r="EPR35" s="5"/>
      <c r="EPS35" s="5"/>
      <c r="EPT35" s="5"/>
      <c r="EPU35" s="5"/>
      <c r="EPV35" s="5"/>
      <c r="EPW35" s="5"/>
      <c r="EPX35" s="5"/>
      <c r="EPY35" s="5"/>
      <c r="EPZ35" s="5"/>
      <c r="EQA35" s="5"/>
      <c r="EQB35" s="5"/>
      <c r="EQC35" s="5"/>
      <c r="EQD35" s="5"/>
      <c r="EQE35" s="5"/>
      <c r="EQF35" s="5"/>
      <c r="EQG35" s="5"/>
      <c r="EQH35" s="5"/>
      <c r="EQI35" s="5"/>
      <c r="EQJ35" s="5"/>
      <c r="EQK35" s="5"/>
      <c r="EQL35" s="5"/>
      <c r="EQM35" s="5"/>
      <c r="EQN35" s="5"/>
      <c r="EQO35" s="5"/>
      <c r="EQP35" s="5"/>
      <c r="EQQ35" s="5"/>
      <c r="EQR35" s="5"/>
      <c r="EQS35" s="5"/>
      <c r="EQT35" s="5"/>
      <c r="EQU35" s="5"/>
      <c r="EQV35" s="5"/>
      <c r="EQW35" s="5"/>
      <c r="EQX35" s="5"/>
      <c r="EQY35" s="5"/>
      <c r="EQZ35" s="5"/>
      <c r="ERA35" s="5"/>
      <c r="ERB35" s="5"/>
      <c r="ERC35" s="5"/>
      <c r="ERD35" s="5"/>
      <c r="ERE35" s="5"/>
      <c r="ERF35" s="5"/>
      <c r="ERG35" s="5"/>
      <c r="ERH35" s="5"/>
      <c r="ERI35" s="5"/>
      <c r="ERJ35" s="5"/>
      <c r="ERK35" s="5"/>
      <c r="ERL35" s="5"/>
      <c r="ERM35" s="5"/>
      <c r="ERN35" s="5"/>
      <c r="ERO35" s="5"/>
      <c r="ERP35" s="5"/>
      <c r="ERQ35" s="5"/>
      <c r="ERR35" s="5"/>
      <c r="ERS35" s="5"/>
      <c r="ERT35" s="5"/>
      <c r="ERU35" s="5"/>
      <c r="ERV35" s="5"/>
      <c r="ERW35" s="5"/>
      <c r="ERX35" s="5"/>
      <c r="ERY35" s="5"/>
      <c r="ERZ35" s="5"/>
      <c r="ESA35" s="5"/>
      <c r="ESB35" s="5"/>
      <c r="ESC35" s="5"/>
      <c r="ESD35" s="5"/>
      <c r="ESE35" s="5"/>
      <c r="ESF35" s="5"/>
      <c r="ESG35" s="5"/>
      <c r="ESH35" s="5"/>
      <c r="ESI35" s="5"/>
      <c r="ESJ35" s="5"/>
      <c r="ESK35" s="5"/>
      <c r="ESL35" s="5"/>
      <c r="ESM35" s="5"/>
      <c r="ESN35" s="5"/>
      <c r="ESO35" s="5"/>
      <c r="ESP35" s="5"/>
      <c r="ESQ35" s="5"/>
      <c r="ESR35" s="5"/>
      <c r="ESS35" s="5"/>
      <c r="EST35" s="5"/>
      <c r="ESU35" s="5"/>
      <c r="ESV35" s="5"/>
      <c r="ESW35" s="5"/>
      <c r="ESX35" s="5"/>
      <c r="ESY35" s="5"/>
      <c r="ESZ35" s="5"/>
      <c r="ETA35" s="5"/>
      <c r="ETB35" s="5"/>
      <c r="ETC35" s="5"/>
      <c r="ETD35" s="5"/>
      <c r="ETE35" s="5"/>
      <c r="ETF35" s="5"/>
      <c r="ETG35" s="5"/>
      <c r="ETH35" s="5"/>
      <c r="ETI35" s="5"/>
      <c r="ETJ35" s="5"/>
      <c r="ETK35" s="5"/>
      <c r="ETL35" s="5"/>
      <c r="ETM35" s="5"/>
      <c r="ETN35" s="5"/>
      <c r="ETO35" s="5"/>
      <c r="ETP35" s="5"/>
      <c r="ETQ35" s="5"/>
      <c r="ETR35" s="5"/>
      <c r="ETS35" s="5"/>
      <c r="ETT35" s="5"/>
      <c r="ETU35" s="5"/>
      <c r="ETV35" s="5"/>
      <c r="ETW35" s="5"/>
      <c r="ETX35" s="5"/>
      <c r="ETY35" s="5"/>
      <c r="ETZ35" s="5"/>
      <c r="EUA35" s="5"/>
      <c r="EUB35" s="5"/>
      <c r="EUC35" s="5"/>
      <c r="EUD35" s="5"/>
      <c r="EUE35" s="5"/>
      <c r="EUF35" s="5"/>
      <c r="EUG35" s="5"/>
      <c r="EUH35" s="5"/>
      <c r="EUI35" s="5"/>
      <c r="EUJ35" s="5"/>
      <c r="EUK35" s="5"/>
      <c r="EUL35" s="5"/>
      <c r="EUM35" s="5"/>
      <c r="EUN35" s="5"/>
      <c r="EUO35" s="5"/>
      <c r="EUP35" s="5"/>
      <c r="EUQ35" s="5"/>
      <c r="EUR35" s="5"/>
      <c r="EUS35" s="5"/>
      <c r="EUT35" s="5"/>
      <c r="EUU35" s="5"/>
      <c r="EUV35" s="5"/>
      <c r="EUW35" s="5"/>
      <c r="EUX35" s="5"/>
      <c r="EUY35" s="5"/>
      <c r="EUZ35" s="5"/>
      <c r="EVA35" s="5"/>
      <c r="EVB35" s="5"/>
      <c r="EVC35" s="5"/>
      <c r="EVD35" s="5"/>
      <c r="EVE35" s="5"/>
      <c r="EVF35" s="5"/>
      <c r="EVG35" s="5"/>
      <c r="EVH35" s="5"/>
      <c r="EVI35" s="5"/>
      <c r="EVJ35" s="5"/>
      <c r="EVK35" s="5"/>
      <c r="EVL35" s="5"/>
      <c r="EVM35" s="5"/>
      <c r="EVN35" s="5"/>
      <c r="EVO35" s="5"/>
      <c r="EVP35" s="5"/>
      <c r="EVQ35" s="5"/>
      <c r="EVR35" s="5"/>
      <c r="EVS35" s="5"/>
      <c r="EVT35" s="5"/>
      <c r="EVU35" s="5"/>
      <c r="EVV35" s="5"/>
      <c r="EVW35" s="5"/>
      <c r="EVX35" s="5"/>
      <c r="EVY35" s="5"/>
      <c r="EVZ35" s="5"/>
      <c r="EWA35" s="5"/>
      <c r="EWB35" s="5"/>
      <c r="EWC35" s="5"/>
      <c r="EWD35" s="5"/>
      <c r="EWE35" s="5"/>
      <c r="EWF35" s="5"/>
      <c r="EWG35" s="5"/>
      <c r="EWH35" s="5"/>
      <c r="EWI35" s="5"/>
      <c r="EWJ35" s="5"/>
      <c r="EWK35" s="5"/>
      <c r="EWL35" s="5"/>
      <c r="EWM35" s="5"/>
      <c r="EWN35" s="5"/>
      <c r="EWO35" s="5"/>
      <c r="EWP35" s="5"/>
      <c r="EWQ35" s="5"/>
      <c r="EWR35" s="5"/>
      <c r="EWS35" s="5"/>
      <c r="EWT35" s="5"/>
      <c r="EWU35" s="5"/>
      <c r="EWV35" s="5"/>
      <c r="EWW35" s="5"/>
      <c r="EWX35" s="5"/>
      <c r="EWY35" s="5"/>
    </row>
    <row r="36" spans="2:4003" x14ac:dyDescent="0.2">
      <c r="C36" s="79" t="s">
        <v>557</v>
      </c>
      <c r="D36">
        <v>0</v>
      </c>
      <c r="E36">
        <v>0</v>
      </c>
      <c r="F36">
        <v>-1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</row>
    <row r="37" spans="2:4003" x14ac:dyDescent="0.2">
      <c r="C37" s="79" t="s">
        <v>558</v>
      </c>
      <c r="D37">
        <v>1</v>
      </c>
      <c r="E37">
        <v>0</v>
      </c>
      <c r="F37">
        <v>0</v>
      </c>
      <c r="G37">
        <v>-1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</row>
    <row r="38" spans="2:4003" x14ac:dyDescent="0.2">
      <c r="C38" s="79" t="s">
        <v>559</v>
      </c>
      <c r="D38">
        <v>0</v>
      </c>
      <c r="E38">
        <v>0</v>
      </c>
      <c r="F38">
        <v>0</v>
      </c>
      <c r="G38">
        <v>0</v>
      </c>
      <c r="H38">
        <v>-1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</row>
    <row r="39" spans="2:4003" x14ac:dyDescent="0.2">
      <c r="C39" s="79" t="s">
        <v>560</v>
      </c>
      <c r="D39">
        <v>0</v>
      </c>
      <c r="E39">
        <v>0</v>
      </c>
      <c r="F39">
        <v>0</v>
      </c>
      <c r="G39">
        <v>0</v>
      </c>
      <c r="H39">
        <v>0</v>
      </c>
      <c r="I39">
        <v>-1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</row>
    <row r="40" spans="2:4003" x14ac:dyDescent="0.2">
      <c r="C40" s="79" t="s">
        <v>561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-1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</row>
    <row r="41" spans="2:4003" x14ac:dyDescent="0.2">
      <c r="C41" s="79" t="s">
        <v>562</v>
      </c>
      <c r="D41">
        <v>0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-1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</row>
    <row r="42" spans="2:4003" x14ac:dyDescent="0.2">
      <c r="C42" s="79" t="s">
        <v>563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-1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</row>
    <row r="43" spans="2:4003" x14ac:dyDescent="0.2">
      <c r="C43" s="79" t="s">
        <v>589</v>
      </c>
      <c r="D43">
        <v>0</v>
      </c>
      <c r="E43">
        <v>0</v>
      </c>
      <c r="F43">
        <v>-1.799919041287755</v>
      </c>
      <c r="G43">
        <v>0</v>
      </c>
      <c r="H43">
        <v>9</v>
      </c>
      <c r="I43">
        <v>0</v>
      </c>
      <c r="J43">
        <v>0</v>
      </c>
      <c r="K43">
        <v>0</v>
      </c>
      <c r="L43">
        <v>0.80000410278826484</v>
      </c>
      <c r="M43">
        <v>0</v>
      </c>
      <c r="N43">
        <v>0</v>
      </c>
      <c r="O43">
        <v>-0.80000410278826484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</row>
    <row r="44" spans="2:4003" x14ac:dyDescent="0.2">
      <c r="C44" s="79" t="s">
        <v>590</v>
      </c>
      <c r="D44">
        <v>0</v>
      </c>
      <c r="E44">
        <v>0</v>
      </c>
      <c r="F44">
        <v>-1.7998952122643948</v>
      </c>
      <c r="G44">
        <v>0</v>
      </c>
      <c r="H44">
        <v>0</v>
      </c>
      <c r="I44">
        <v>9</v>
      </c>
      <c r="J44">
        <v>0</v>
      </c>
      <c r="K44">
        <v>0</v>
      </c>
      <c r="L44">
        <v>0</v>
      </c>
      <c r="M44">
        <v>0</v>
      </c>
      <c r="N44">
        <v>0</v>
      </c>
      <c r="O44">
        <v>0.80000410278826484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-0.80000410278826484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</row>
    <row r="45" spans="2:4003" x14ac:dyDescent="0.2">
      <c r="C45" s="79" t="s">
        <v>591</v>
      </c>
      <c r="D45">
        <v>0</v>
      </c>
      <c r="E45">
        <v>0</v>
      </c>
      <c r="F45">
        <v>-1.7999245580932017</v>
      </c>
      <c r="G45">
        <v>0</v>
      </c>
      <c r="H45">
        <v>0</v>
      </c>
      <c r="I45">
        <v>0</v>
      </c>
      <c r="J45">
        <v>9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0.80000410278826484</v>
      </c>
      <c r="W45">
        <v>0</v>
      </c>
      <c r="X45">
        <v>0</v>
      </c>
      <c r="Y45">
        <v>0</v>
      </c>
      <c r="Z45">
        <v>0</v>
      </c>
      <c r="AA45">
        <v>0</v>
      </c>
      <c r="AB45">
        <v>-0.80000410278826484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</row>
    <row r="46" spans="2:4003" x14ac:dyDescent="0.2">
      <c r="C46" s="79" t="s">
        <v>595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-0.2775659090864725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-1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</row>
    <row r="47" spans="2:4003" x14ac:dyDescent="0.2">
      <c r="C47" s="79" t="s">
        <v>596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-1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</row>
    <row r="48" spans="2:4003" x14ac:dyDescent="0.2">
      <c r="C48" s="79" t="s">
        <v>597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-0.27754091293060429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-1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</row>
    <row r="49" spans="3:94" x14ac:dyDescent="0.2">
      <c r="C49" s="79" t="s">
        <v>598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-5.5292814933886533E-2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-1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</row>
    <row r="50" spans="3:94" x14ac:dyDescent="0.2">
      <c r="C50" s="79" t="s">
        <v>599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-1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</row>
    <row r="51" spans="3:94" x14ac:dyDescent="0.2">
      <c r="C51" s="79" t="s">
        <v>1761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-1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</row>
    <row r="52" spans="3:94" x14ac:dyDescent="0.2">
      <c r="C52" s="79" t="s">
        <v>600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-1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</row>
    <row r="53" spans="3:94" x14ac:dyDescent="0.2">
      <c r="C53" s="79" t="s">
        <v>601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-1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</row>
    <row r="54" spans="3:94" x14ac:dyDescent="0.2">
      <c r="C54" s="79" t="s">
        <v>602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-0.12934800915297454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-1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</row>
    <row r="55" spans="3:94" x14ac:dyDescent="0.2">
      <c r="C55" s="79" t="s">
        <v>1762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-1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</row>
    <row r="56" spans="3:94" x14ac:dyDescent="0.2">
      <c r="C56" s="79" t="s">
        <v>603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1.5795746402230386E-4</v>
      </c>
      <c r="M56">
        <v>-1</v>
      </c>
      <c r="N56">
        <v>0</v>
      </c>
      <c r="O56">
        <v>1.506908231841052E-4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</row>
    <row r="57" spans="3:94" x14ac:dyDescent="0.2">
      <c r="C57" s="79" t="s">
        <v>604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1.383577183175165E-4</v>
      </c>
      <c r="P57">
        <v>0</v>
      </c>
      <c r="Q57">
        <v>0</v>
      </c>
      <c r="R57">
        <v>0</v>
      </c>
      <c r="S57">
        <v>0</v>
      </c>
      <c r="T57">
        <v>-1</v>
      </c>
      <c r="U57">
        <v>0</v>
      </c>
      <c r="V57">
        <v>1.3308664302536224E-4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</row>
    <row r="58" spans="3:94" x14ac:dyDescent="0.2">
      <c r="C58" s="79" t="s">
        <v>605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1.2389401088029782E-4</v>
      </c>
      <c r="W58">
        <v>0</v>
      </c>
      <c r="X58">
        <v>0</v>
      </c>
      <c r="Y58">
        <v>0</v>
      </c>
      <c r="Z58">
        <v>-1</v>
      </c>
      <c r="AA58">
        <v>0</v>
      </c>
      <c r="AB58">
        <v>1.1986567308672791E-4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</row>
    <row r="59" spans="3:94" x14ac:dyDescent="0.2">
      <c r="C59" s="79" t="s">
        <v>606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4.7253989867321905E-2</v>
      </c>
      <c r="M59">
        <v>0</v>
      </c>
      <c r="N59">
        <v>0</v>
      </c>
      <c r="O59">
        <v>5.0648850098417686E-2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-1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</row>
    <row r="60" spans="3:94" x14ac:dyDescent="0.2">
      <c r="C60" s="79" t="s">
        <v>607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-1.2449460979849961E-2</v>
      </c>
      <c r="P60">
        <v>0</v>
      </c>
      <c r="Q60">
        <v>0</v>
      </c>
      <c r="R60">
        <v>0</v>
      </c>
      <c r="S60">
        <v>-1</v>
      </c>
      <c r="T60">
        <v>0</v>
      </c>
      <c r="U60">
        <v>0</v>
      </c>
      <c r="V60">
        <v>-1.062768849059699E-2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</row>
    <row r="61" spans="3:94" x14ac:dyDescent="0.2">
      <c r="C61" s="79" t="s">
        <v>608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-5.9111771815612106E-2</v>
      </c>
      <c r="W61">
        <v>0</v>
      </c>
      <c r="X61">
        <v>0</v>
      </c>
      <c r="Y61">
        <v>-1</v>
      </c>
      <c r="Z61">
        <v>0</v>
      </c>
      <c r="AA61">
        <v>0</v>
      </c>
      <c r="AB61">
        <v>-5.8049812319813043E-2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</row>
    <row r="62" spans="3:94" x14ac:dyDescent="0.2">
      <c r="C62" s="79" t="s">
        <v>609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0.47813832385471838</v>
      </c>
      <c r="M62">
        <v>0</v>
      </c>
      <c r="N62">
        <v>0</v>
      </c>
      <c r="O62">
        <v>0.12361528351987809</v>
      </c>
      <c r="P62">
        <v>0</v>
      </c>
      <c r="Q62">
        <v>-1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</row>
    <row r="63" spans="3:94" x14ac:dyDescent="0.2">
      <c r="C63" s="79" t="s">
        <v>610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0.43162030908057664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0.15999781325516541</v>
      </c>
      <c r="W63">
        <v>0</v>
      </c>
      <c r="X63">
        <v>-1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</row>
    <row r="64" spans="3:94" x14ac:dyDescent="0.2">
      <c r="C64" s="79" t="s">
        <v>611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0.39777596010503297</v>
      </c>
      <c r="W64">
        <v>0</v>
      </c>
      <c r="X64">
        <v>0</v>
      </c>
      <c r="Y64">
        <v>0</v>
      </c>
      <c r="Z64">
        <v>0</v>
      </c>
      <c r="AA64">
        <v>0</v>
      </c>
      <c r="AB64">
        <v>0.18722200909421971</v>
      </c>
      <c r="AC64">
        <v>0</v>
      </c>
      <c r="AD64">
        <v>-1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</row>
    <row r="65" spans="3:94" x14ac:dyDescent="0.2">
      <c r="C65" s="79" t="s">
        <v>612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4.0780910625517235</v>
      </c>
      <c r="M65">
        <v>0</v>
      </c>
      <c r="N65">
        <v>-1</v>
      </c>
      <c r="O65">
        <v>4.5269370709666585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</row>
    <row r="66" spans="3:94" x14ac:dyDescent="0.2">
      <c r="C66" s="79" t="s">
        <v>613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4.1639608577345104</v>
      </c>
      <c r="P66">
        <v>0</v>
      </c>
      <c r="Q66">
        <v>0</v>
      </c>
      <c r="R66">
        <v>0</v>
      </c>
      <c r="S66">
        <v>0</v>
      </c>
      <c r="T66">
        <v>0</v>
      </c>
      <c r="U66">
        <v>-1</v>
      </c>
      <c r="V66">
        <v>4.4689285951941331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</row>
    <row r="67" spans="3:94" x14ac:dyDescent="0.2">
      <c r="C67" s="79" t="s">
        <v>614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4.205931337800199</v>
      </c>
      <c r="W67">
        <v>0</v>
      </c>
      <c r="X67">
        <v>0</v>
      </c>
      <c r="Y67">
        <v>0</v>
      </c>
      <c r="Z67">
        <v>0</v>
      </c>
      <c r="AA67">
        <v>-1</v>
      </c>
      <c r="AB67">
        <v>4.4371730613998333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</row>
    <row r="68" spans="3:94" x14ac:dyDescent="0.2">
      <c r="C68" s="79" t="s">
        <v>615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0.49977937035505809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-40.003444904189337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-1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</row>
    <row r="69" spans="3:94" x14ac:dyDescent="0.2">
      <c r="C69" s="79" t="s">
        <v>616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0.99999255944237619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-55.552328747859747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-1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</row>
    <row r="70" spans="3:94" x14ac:dyDescent="0.2">
      <c r="C70" s="79" t="s">
        <v>617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0.10630318428863625</v>
      </c>
      <c r="M70">
        <v>0</v>
      </c>
      <c r="N70">
        <v>0</v>
      </c>
      <c r="O70">
        <v>0.25690268201613892</v>
      </c>
      <c r="P70">
        <v>-1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</row>
    <row r="71" spans="3:94" x14ac:dyDescent="0.2">
      <c r="C71" s="79" t="s">
        <v>618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0.10630397291407567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0.25690189339069958</v>
      </c>
      <c r="W71">
        <v>-1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</row>
    <row r="72" spans="3:94" x14ac:dyDescent="0.2">
      <c r="C72" s="79" t="s">
        <v>619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0.10630300170999332</v>
      </c>
      <c r="W72">
        <v>0</v>
      </c>
      <c r="X72">
        <v>0</v>
      </c>
      <c r="Y72">
        <v>0</v>
      </c>
      <c r="Z72">
        <v>0</v>
      </c>
      <c r="AA72">
        <v>0</v>
      </c>
      <c r="AB72">
        <v>0.25690286459478201</v>
      </c>
      <c r="AC72">
        <v>-1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</row>
    <row r="73" spans="3:94" x14ac:dyDescent="0.2">
      <c r="C73" s="79" t="s">
        <v>620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7.2849310205956239E-2</v>
      </c>
      <c r="M73">
        <v>0</v>
      </c>
      <c r="N73">
        <v>0</v>
      </c>
      <c r="O73">
        <v>0.11794333473573225</v>
      </c>
      <c r="P73">
        <v>0</v>
      </c>
      <c r="Q73">
        <v>0</v>
      </c>
      <c r="R73">
        <v>-1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</row>
    <row r="74" spans="3:94" x14ac:dyDescent="0.2">
      <c r="C74" s="79" t="s">
        <v>621</v>
      </c>
      <c r="D74">
        <v>0</v>
      </c>
      <c r="E74">
        <v>0</v>
      </c>
      <c r="F74">
        <v>0.19999896641903545</v>
      </c>
      <c r="G74">
        <v>-1</v>
      </c>
      <c r="H74">
        <v>0</v>
      </c>
      <c r="I74">
        <v>0</v>
      </c>
      <c r="J74">
        <v>0</v>
      </c>
      <c r="K74">
        <v>0</v>
      </c>
      <c r="L74">
        <v>8.8889344754251642E-2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</row>
    <row r="75" spans="3:94" x14ac:dyDescent="0.2">
      <c r="C75" s="79" t="s">
        <v>622</v>
      </c>
      <c r="D75">
        <v>0</v>
      </c>
      <c r="E75">
        <v>0</v>
      </c>
      <c r="F75">
        <v>1</v>
      </c>
      <c r="G75">
        <v>-1</v>
      </c>
      <c r="H75">
        <v>-1</v>
      </c>
      <c r="I75">
        <v>-1</v>
      </c>
      <c r="J75">
        <v>-1</v>
      </c>
      <c r="K75">
        <v>-1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</row>
    <row r="76" spans="3:94" x14ac:dyDescent="0.2">
      <c r="C76" s="79" t="s">
        <v>556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-1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</row>
    <row r="77" spans="3:94" x14ac:dyDescent="0.2">
      <c r="C77" s="79" t="s">
        <v>658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1</v>
      </c>
      <c r="AT77">
        <v>0</v>
      </c>
      <c r="AU77">
        <v>0</v>
      </c>
      <c r="AV77">
        <v>0</v>
      </c>
      <c r="AW77">
        <v>0</v>
      </c>
      <c r="AX77">
        <v>-1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</row>
    <row r="78" spans="3:94" x14ac:dyDescent="0.2">
      <c r="C78" s="79" t="s">
        <v>659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1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</row>
    <row r="79" spans="3:94" x14ac:dyDescent="0.2">
      <c r="C79" s="79" t="s">
        <v>660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1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</row>
    <row r="80" spans="3:94" x14ac:dyDescent="0.2">
      <c r="C80" s="79" t="s">
        <v>661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1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</row>
    <row r="81" spans="3:94" x14ac:dyDescent="0.2">
      <c r="C81" s="79" t="s">
        <v>1511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</row>
    <row r="82" spans="3:94" x14ac:dyDescent="0.2">
      <c r="C82" s="79" t="s">
        <v>672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8.0035591446908754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16.000233683146245</v>
      </c>
      <c r="U82">
        <v>0</v>
      </c>
      <c r="V82">
        <v>0</v>
      </c>
      <c r="W82">
        <v>0</v>
      </c>
      <c r="X82">
        <v>0</v>
      </c>
      <c r="Y82">
        <v>0</v>
      </c>
      <c r="Z82">
        <v>15.99969795276707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-0.83331594270501674</v>
      </c>
      <c r="AT82">
        <v>0.78687581313163468</v>
      </c>
      <c r="AU82">
        <v>0.83890188080922612</v>
      </c>
      <c r="AV82">
        <v>0.88515606924740575</v>
      </c>
      <c r="AW82">
        <v>0.79911882830025649</v>
      </c>
      <c r="AX82">
        <v>0</v>
      </c>
      <c r="AY82">
        <v>0</v>
      </c>
      <c r="AZ82">
        <v>-56.003414836948608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</row>
    <row r="83" spans="3:94" x14ac:dyDescent="0.2">
      <c r="C83" s="79" t="s">
        <v>673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19596.984974915471</v>
      </c>
      <c r="N83">
        <v>6.2978071099257633</v>
      </c>
      <c r="O83">
        <v>0</v>
      </c>
      <c r="P83">
        <v>0</v>
      </c>
      <c r="Q83">
        <v>0</v>
      </c>
      <c r="R83">
        <v>0</v>
      </c>
      <c r="S83">
        <v>0</v>
      </c>
      <c r="T83">
        <v>64006.446659789523</v>
      </c>
      <c r="U83">
        <v>13.422626130178516</v>
      </c>
      <c r="V83">
        <v>0</v>
      </c>
      <c r="W83">
        <v>0</v>
      </c>
      <c r="X83">
        <v>0</v>
      </c>
      <c r="Y83">
        <v>0</v>
      </c>
      <c r="Z83">
        <v>88882.048053857477</v>
      </c>
      <c r="AA83">
        <v>14.162229749017065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-4921.9991589709061</v>
      </c>
      <c r="AT83">
        <v>1926.6920139265901</v>
      </c>
      <c r="AU83">
        <v>3355.8965168972686</v>
      </c>
      <c r="AV83">
        <v>4917.2480951995194</v>
      </c>
      <c r="AW83">
        <v>7991.1882871591861</v>
      </c>
      <c r="AX83">
        <v>0</v>
      </c>
      <c r="AY83">
        <v>0</v>
      </c>
      <c r="AZ83">
        <v>-330785.41595181741</v>
      </c>
      <c r="BA83">
        <v>-46.668538429551951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</row>
    <row r="84" spans="3:94" x14ac:dyDescent="0.2">
      <c r="C84" s="79" t="s">
        <v>674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31989.101516733459</v>
      </c>
      <c r="U84">
        <v>0</v>
      </c>
      <c r="V84">
        <v>0</v>
      </c>
      <c r="W84">
        <v>0</v>
      </c>
      <c r="X84">
        <v>0</v>
      </c>
      <c r="Y84">
        <v>0</v>
      </c>
      <c r="Z84">
        <v>88881.386508263313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13.422626130178516</v>
      </c>
      <c r="AQ84">
        <v>14.162229749017065</v>
      </c>
      <c r="AR84">
        <v>0</v>
      </c>
      <c r="AS84">
        <v>-4167.0382181775813</v>
      </c>
      <c r="AT84">
        <v>0</v>
      </c>
      <c r="AU84">
        <v>1677.2078432862027</v>
      </c>
      <c r="AV84">
        <v>4917.211496314997</v>
      </c>
      <c r="AW84">
        <v>7991.1882474780232</v>
      </c>
      <c r="AX84">
        <v>0</v>
      </c>
      <c r="AY84">
        <v>0</v>
      </c>
      <c r="AZ84">
        <v>-280047.88821930374</v>
      </c>
      <c r="BA84">
        <v>0</v>
      </c>
      <c r="BB84">
        <v>0</v>
      </c>
      <c r="BC84">
        <v>0</v>
      </c>
      <c r="BD84">
        <v>0</v>
      </c>
      <c r="BE84">
        <v>12.785875440391054</v>
      </c>
      <c r="BF84">
        <v>-46.668538429551951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</row>
    <row r="85" spans="3:94" x14ac:dyDescent="0.2">
      <c r="C85" s="79" t="s">
        <v>675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16.000233683146245</v>
      </c>
      <c r="AH85">
        <v>0</v>
      </c>
      <c r="AI85">
        <v>0</v>
      </c>
      <c r="AJ85">
        <v>0</v>
      </c>
      <c r="AK85">
        <v>15.99969795276707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-28.58276640168453</v>
      </c>
      <c r="AT85">
        <v>100</v>
      </c>
      <c r="AU85">
        <v>50.022062964494189</v>
      </c>
      <c r="AV85">
        <v>7.4405576238017459E-4</v>
      </c>
      <c r="AW85">
        <v>4.9678841386194608E-7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15.999967698905174</v>
      </c>
      <c r="BH85">
        <v>0</v>
      </c>
      <c r="BI85">
        <v>0</v>
      </c>
      <c r="BJ85">
        <v>0</v>
      </c>
      <c r="BK85">
        <v>-56.003414836948608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</row>
    <row r="86" spans="3:94" x14ac:dyDescent="0.2">
      <c r="C86" s="79" t="s">
        <v>676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16.000233683146245</v>
      </c>
      <c r="AI86">
        <v>0</v>
      </c>
      <c r="AJ86">
        <v>0</v>
      </c>
      <c r="AK86">
        <v>0</v>
      </c>
      <c r="AL86">
        <v>15.99969795276707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-59.052195931401414</v>
      </c>
      <c r="AT86">
        <v>100</v>
      </c>
      <c r="AU86">
        <v>90.005194140529923</v>
      </c>
      <c r="AV86">
        <v>1.479916125936105E-6</v>
      </c>
      <c r="AW86">
        <v>66.666668874843523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15.999967698905174</v>
      </c>
      <c r="BI86">
        <v>0</v>
      </c>
      <c r="BJ86">
        <v>0</v>
      </c>
      <c r="BK86">
        <v>0</v>
      </c>
      <c r="BL86">
        <v>-56.003414836948608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</row>
    <row r="87" spans="3:94" x14ac:dyDescent="0.2">
      <c r="C87" s="79" t="s">
        <v>677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16.000233683146245</v>
      </c>
      <c r="AJ87">
        <v>0</v>
      </c>
      <c r="AK87">
        <v>0</v>
      </c>
      <c r="AL87">
        <v>0</v>
      </c>
      <c r="AM87">
        <v>15.99969795276707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-93.337572112724359</v>
      </c>
      <c r="AT87">
        <v>100</v>
      </c>
      <c r="AU87">
        <v>100.00000125411314</v>
      </c>
      <c r="AV87">
        <v>76.679360734422431</v>
      </c>
      <c r="AW87">
        <v>100.00000542877765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15.999967698905174</v>
      </c>
      <c r="BJ87">
        <v>0</v>
      </c>
      <c r="BK87">
        <v>0</v>
      </c>
      <c r="BL87">
        <v>0</v>
      </c>
      <c r="BM87">
        <v>-56.003414836948608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</row>
    <row r="88" spans="3:94" x14ac:dyDescent="0.2">
      <c r="C88" s="79" t="s">
        <v>1767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16.000233683146245</v>
      </c>
      <c r="AK88">
        <v>0</v>
      </c>
      <c r="AL88">
        <v>0</v>
      </c>
      <c r="AM88">
        <v>0</v>
      </c>
      <c r="AN88">
        <v>15.99969795276707</v>
      </c>
      <c r="AO88">
        <v>0</v>
      </c>
      <c r="AP88">
        <v>0</v>
      </c>
      <c r="AQ88">
        <v>0</v>
      </c>
      <c r="AR88">
        <v>0</v>
      </c>
      <c r="AS88">
        <v>-100.00007889564095</v>
      </c>
      <c r="AT88">
        <v>100</v>
      </c>
      <c r="AU88">
        <v>99.999999955051038</v>
      </c>
      <c r="AV88">
        <v>100.00000171626303</v>
      </c>
      <c r="AW88">
        <v>100.00000170762857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15.999967698905174</v>
      </c>
      <c r="BK88">
        <v>0</v>
      </c>
      <c r="BL88">
        <v>0</v>
      </c>
      <c r="BM88">
        <v>0</v>
      </c>
      <c r="BN88">
        <v>-56.003414836948608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</row>
    <row r="89" spans="3:94" x14ac:dyDescent="0.2">
      <c r="C89" s="79" t="s">
        <v>678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-1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-6.7585382977414605</v>
      </c>
      <c r="BN89">
        <v>-2.2470810516971986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</row>
    <row r="90" spans="3:94" x14ac:dyDescent="0.2">
      <c r="C90" s="79" t="s">
        <v>679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1.4862028291130322E-3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4.8621199464844035E-2</v>
      </c>
      <c r="X90">
        <v>0</v>
      </c>
      <c r="Y90">
        <v>0</v>
      </c>
      <c r="Z90">
        <v>0</v>
      </c>
      <c r="AA90">
        <v>0</v>
      </c>
      <c r="AB90">
        <v>0</v>
      </c>
      <c r="AC90">
        <v>0.79565506728390356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-0.41762555107334093</v>
      </c>
      <c r="AT90">
        <v>4.3430666668068029E-3</v>
      </c>
      <c r="AU90">
        <v>7.1072388983687868E-2</v>
      </c>
      <c r="AV90">
        <v>1.1630934764910159</v>
      </c>
      <c r="AW90">
        <v>0.22546157050871923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-1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</row>
    <row r="91" spans="3:94" x14ac:dyDescent="0.2">
      <c r="C91" s="79" t="s">
        <v>680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0.90012299088141412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2.8587715953883059E-2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1.7127268615980888E-3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0.50992813176805973</v>
      </c>
      <c r="AT91">
        <v>-2.7072888937438897</v>
      </c>
      <c r="AU91">
        <v>-6.4485249937552558E-2</v>
      </c>
      <c r="AV91">
        <v>-5.3423742638820677E-3</v>
      </c>
      <c r="AW91">
        <v>-0.36078288303658296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-1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</row>
    <row r="92" spans="3:94" x14ac:dyDescent="0.2">
      <c r="C92" s="79" t="s">
        <v>681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16.000233683146245</v>
      </c>
      <c r="T92">
        <v>0</v>
      </c>
      <c r="U92">
        <v>0</v>
      </c>
      <c r="V92">
        <v>0</v>
      </c>
      <c r="W92">
        <v>0</v>
      </c>
      <c r="X92">
        <v>0</v>
      </c>
      <c r="Y92">
        <v>15.99969795276707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8.0035591446908754</v>
      </c>
      <c r="AP92">
        <v>0</v>
      </c>
      <c r="AQ92">
        <v>0</v>
      </c>
      <c r="AR92">
        <v>0</v>
      </c>
      <c r="AS92">
        <v>-48.707373976246025</v>
      </c>
      <c r="AT92">
        <v>50.47204447563751</v>
      </c>
      <c r="AU92">
        <v>56.542030832912552</v>
      </c>
      <c r="AV92">
        <v>43.697013528744932</v>
      </c>
      <c r="AW92">
        <v>45.000000417205491</v>
      </c>
      <c r="AX92">
        <v>0</v>
      </c>
      <c r="AY92">
        <v>-56.003414836948608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</row>
    <row r="93" spans="3:94" x14ac:dyDescent="0.2">
      <c r="C93" s="79" t="s">
        <v>682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1</v>
      </c>
      <c r="AT93">
        <v>-1</v>
      </c>
      <c r="AU93">
        <v>-1</v>
      </c>
      <c r="AV93">
        <v>-1</v>
      </c>
      <c r="AW93">
        <v>-1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</row>
    <row r="94" spans="3:94" x14ac:dyDescent="0.2">
      <c r="C94" s="79" t="s">
        <v>1520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-1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</row>
    <row r="95" spans="3:94" x14ac:dyDescent="0.2">
      <c r="C95" s="79" t="s">
        <v>1521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-1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</row>
    <row r="96" spans="3:94" x14ac:dyDescent="0.2">
      <c r="C96" s="79" t="s">
        <v>1522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-1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</row>
    <row r="97" spans="3:94" x14ac:dyDescent="0.2">
      <c r="C97" s="79" t="s">
        <v>1768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-1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</row>
    <row r="98" spans="3:94" x14ac:dyDescent="0.2">
      <c r="C98" s="79" t="s">
        <v>1523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-1</v>
      </c>
      <c r="BF98">
        <v>0</v>
      </c>
      <c r="BG98">
        <v>-100.00000005201505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</row>
    <row r="99" spans="3:94" x14ac:dyDescent="0.2">
      <c r="C99" s="79" t="s">
        <v>1301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1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</row>
    <row r="100" spans="3:94" x14ac:dyDescent="0.2">
      <c r="C100" s="79" t="s">
        <v>1302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1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</row>
    <row r="101" spans="3:94" x14ac:dyDescent="0.2">
      <c r="C101" s="79" t="s">
        <v>1303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1</v>
      </c>
      <c r="BT101">
        <v>0</v>
      </c>
      <c r="BU101">
        <v>-1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</row>
    <row r="102" spans="3:94" x14ac:dyDescent="0.2">
      <c r="C102" s="79" t="s">
        <v>1304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1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</row>
    <row r="103" spans="3:94" x14ac:dyDescent="0.2">
      <c r="C103" s="79" t="s">
        <v>1305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-1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1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</row>
    <row r="104" spans="3:94" x14ac:dyDescent="0.2">
      <c r="C104" s="79" t="s">
        <v>1310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0.68786562672801599</v>
      </c>
      <c r="BP104">
        <v>-0.13024944718295481</v>
      </c>
      <c r="BQ104">
        <v>-9.6689396062803242E-3</v>
      </c>
      <c r="BR104">
        <v>-9.9999999532076903E-2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</row>
    <row r="105" spans="3:94" x14ac:dyDescent="0.2">
      <c r="C105" s="79" t="s">
        <v>1311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-1</v>
      </c>
      <c r="BP105">
        <v>0</v>
      </c>
      <c r="BQ105">
        <v>0</v>
      </c>
      <c r="BR105">
        <v>0</v>
      </c>
      <c r="BS105">
        <v>1</v>
      </c>
      <c r="BT105">
        <v>1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</row>
    <row r="106" spans="3:94" x14ac:dyDescent="0.2">
      <c r="C106" s="79" t="s">
        <v>1312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-7.9967068106407488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-0.78687581313163468</v>
      </c>
      <c r="BP106">
        <v>0</v>
      </c>
      <c r="BQ106">
        <v>0</v>
      </c>
      <c r="BR106">
        <v>0</v>
      </c>
      <c r="BS106">
        <v>0.77013014533310575</v>
      </c>
      <c r="BT106">
        <v>0.75</v>
      </c>
      <c r="BU106">
        <v>0</v>
      </c>
      <c r="BV106">
        <v>7.1967253945194827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</row>
    <row r="107" spans="3:94" x14ac:dyDescent="0.2">
      <c r="C107" s="79" t="s">
        <v>1313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-8.1967068106407481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-49.519486299712824</v>
      </c>
      <c r="BP107">
        <v>0</v>
      </c>
      <c r="BQ107">
        <v>0</v>
      </c>
      <c r="BR107">
        <v>0</v>
      </c>
      <c r="BS107">
        <v>42.504985743809236</v>
      </c>
      <c r="BT107">
        <v>100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7.1967253945194827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</row>
    <row r="108" spans="3:94" x14ac:dyDescent="0.2">
      <c r="C108" s="79" t="s">
        <v>1314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-8.1967068106407481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-99.500000004285482</v>
      </c>
      <c r="BP108">
        <v>0</v>
      </c>
      <c r="BQ108">
        <v>0</v>
      </c>
      <c r="BR108">
        <v>0</v>
      </c>
      <c r="BS108">
        <v>99.430267028671494</v>
      </c>
      <c r="BT108">
        <v>100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7.1967253945194827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</row>
    <row r="109" spans="3:94" x14ac:dyDescent="0.2">
      <c r="C109" s="79" t="s">
        <v>1315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1.1523026763566013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3.2879767692417943</v>
      </c>
      <c r="BP109">
        <v>0</v>
      </c>
      <c r="BQ109">
        <v>0</v>
      </c>
      <c r="BR109">
        <v>0</v>
      </c>
      <c r="BS109">
        <v>-3.2498748668499391</v>
      </c>
      <c r="BT109">
        <v>-3.5621245944031967</v>
      </c>
      <c r="BU109">
        <v>0</v>
      </c>
      <c r="BV109">
        <v>0</v>
      </c>
      <c r="BW109">
        <v>-1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</row>
    <row r="110" spans="3:94" x14ac:dyDescent="0.2">
      <c r="C110" s="79" t="s">
        <v>1316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1.1659699043669154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3.326974793910042</v>
      </c>
      <c r="BP110">
        <v>0</v>
      </c>
      <c r="BQ110">
        <v>0</v>
      </c>
      <c r="BR110">
        <v>0</v>
      </c>
      <c r="BS110">
        <v>-3.2498748668499715</v>
      </c>
      <c r="BT110">
        <v>-3.8817799688029666</v>
      </c>
      <c r="BU110">
        <v>0</v>
      </c>
      <c r="BV110">
        <v>0</v>
      </c>
      <c r="BW110">
        <v>0</v>
      </c>
      <c r="BX110">
        <v>0</v>
      </c>
      <c r="BY110">
        <v>-1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</row>
    <row r="111" spans="3:94" x14ac:dyDescent="0.2">
      <c r="C111" s="79" t="s">
        <v>1317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2.0557413989814224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-6.049639217223314</v>
      </c>
      <c r="BP111">
        <v>0</v>
      </c>
      <c r="BQ111">
        <v>0</v>
      </c>
      <c r="BR111">
        <v>0</v>
      </c>
      <c r="BS111">
        <v>3.5357248252691185</v>
      </c>
      <c r="BT111">
        <v>24.141478335686468</v>
      </c>
      <c r="BU111">
        <v>0</v>
      </c>
      <c r="BV111">
        <v>0</v>
      </c>
      <c r="BW111">
        <v>0</v>
      </c>
      <c r="BX111">
        <v>-1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</row>
    <row r="112" spans="3:94" x14ac:dyDescent="0.2">
      <c r="C112" s="79" t="s">
        <v>1528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1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</row>
    <row r="113" spans="3:94" x14ac:dyDescent="0.2">
      <c r="C113" s="79" t="s">
        <v>1529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1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</row>
    <row r="114" spans="3:94" x14ac:dyDescent="0.2">
      <c r="C114" s="79" t="s">
        <v>1530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1</v>
      </c>
      <c r="CG114">
        <v>0</v>
      </c>
      <c r="CH114">
        <v>-1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</row>
    <row r="115" spans="3:94" x14ac:dyDescent="0.2">
      <c r="C115" s="79" t="s">
        <v>1531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1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</row>
    <row r="116" spans="3:94" x14ac:dyDescent="0.2">
      <c r="C116" s="79" t="s">
        <v>1532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-1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1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</row>
    <row r="117" spans="3:94" x14ac:dyDescent="0.2">
      <c r="C117" s="79" t="s">
        <v>1537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1.9997799373903041E-4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9.682751235792221E-2</v>
      </c>
      <c r="CC117">
        <v>-0.12840281995686983</v>
      </c>
      <c r="CD117">
        <v>-9.5318570490970887E-3</v>
      </c>
      <c r="CE117">
        <v>-4.5291778156851516E-2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</row>
    <row r="118" spans="3:94" x14ac:dyDescent="0.2">
      <c r="C118" s="79" t="s">
        <v>1538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-1</v>
      </c>
      <c r="CC118">
        <v>0</v>
      </c>
      <c r="CD118">
        <v>0</v>
      </c>
      <c r="CE118">
        <v>0</v>
      </c>
      <c r="CF118">
        <v>1</v>
      </c>
      <c r="CG118">
        <v>1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</row>
    <row r="119" spans="3:94" x14ac:dyDescent="0.2">
      <c r="C119" s="79" t="s">
        <v>1539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-56.003436865952423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-0.83331594270501674</v>
      </c>
      <c r="CC119">
        <v>0</v>
      </c>
      <c r="CD119">
        <v>0</v>
      </c>
      <c r="CE119">
        <v>0</v>
      </c>
      <c r="CF119">
        <v>0.81555716306833048</v>
      </c>
      <c r="CG119">
        <v>0.7519012375854035</v>
      </c>
      <c r="CH119">
        <v>0</v>
      </c>
      <c r="CI119">
        <v>0</v>
      </c>
      <c r="CJ119">
        <v>48.003433951255225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</row>
    <row r="120" spans="3:94" x14ac:dyDescent="0.2">
      <c r="C120" s="79" t="s">
        <v>1540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-58.003436865952423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-48.207373976246025</v>
      </c>
      <c r="CC120">
        <v>0</v>
      </c>
      <c r="CD120">
        <v>0</v>
      </c>
      <c r="CE120">
        <v>0</v>
      </c>
      <c r="CF120">
        <v>49.916783465344778</v>
      </c>
      <c r="CG120">
        <v>40.00163547808414</v>
      </c>
      <c r="CH120">
        <v>0</v>
      </c>
      <c r="CI120">
        <v>48.003433951255225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</row>
    <row r="121" spans="3:94" x14ac:dyDescent="0.2">
      <c r="C121" s="79" t="s">
        <v>1541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-58.003436865952423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-28.08276640168453</v>
      </c>
      <c r="CC121">
        <v>0</v>
      </c>
      <c r="CD121">
        <v>0</v>
      </c>
      <c r="CE121">
        <v>0</v>
      </c>
      <c r="CF121">
        <v>13.101082908604115</v>
      </c>
      <c r="CG121">
        <v>100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48.003433951255225</v>
      </c>
      <c r="CN121">
        <v>0</v>
      </c>
      <c r="CO121">
        <v>0</v>
      </c>
      <c r="CP121">
        <v>0</v>
      </c>
    </row>
    <row r="122" spans="3:94" x14ac:dyDescent="0.2">
      <c r="C122" s="79" t="s">
        <v>1542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-58.003436865952423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-58.552195931401414</v>
      </c>
      <c r="CC122">
        <v>0</v>
      </c>
      <c r="CD122">
        <v>0</v>
      </c>
      <c r="CE122">
        <v>0</v>
      </c>
      <c r="CF122">
        <v>49.917858013253664</v>
      </c>
      <c r="CG122">
        <v>100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48.003433951255225</v>
      </c>
      <c r="CO122">
        <v>0</v>
      </c>
      <c r="CP122">
        <v>0</v>
      </c>
    </row>
    <row r="123" spans="3:94" x14ac:dyDescent="0.2">
      <c r="C123" s="79" t="s">
        <v>1543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-58.003436865952423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-92.837572112724359</v>
      </c>
      <c r="CC123">
        <v>0</v>
      </c>
      <c r="CD123">
        <v>0</v>
      </c>
      <c r="CE123">
        <v>0</v>
      </c>
      <c r="CF123">
        <v>91.3455120167622</v>
      </c>
      <c r="CG123">
        <v>100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48.003433951255225</v>
      </c>
      <c r="CP123">
        <v>0</v>
      </c>
    </row>
    <row r="124" spans="3:94" x14ac:dyDescent="0.2">
      <c r="C124" s="79" t="s">
        <v>1771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-58.003436865952423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-99.500078895640954</v>
      </c>
      <c r="CC124">
        <v>0</v>
      </c>
      <c r="CD124">
        <v>0</v>
      </c>
      <c r="CE124">
        <v>0</v>
      </c>
      <c r="CF124">
        <v>99.395942157508301</v>
      </c>
      <c r="CG124">
        <v>100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48.003433951255225</v>
      </c>
    </row>
    <row r="125" spans="3:94" x14ac:dyDescent="0.2">
      <c r="C125" s="79" t="s">
        <v>1544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1.0019462746056746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0.40401015197286694</v>
      </c>
      <c r="CC125">
        <v>0</v>
      </c>
      <c r="CD125">
        <v>0</v>
      </c>
      <c r="CE125">
        <v>0</v>
      </c>
      <c r="CF125">
        <v>-0.48722466411505555</v>
      </c>
      <c r="CG125">
        <v>-4.5520359892453465E-3</v>
      </c>
      <c r="CH125">
        <v>0</v>
      </c>
      <c r="CI125">
        <v>0</v>
      </c>
      <c r="CJ125">
        <v>0</v>
      </c>
      <c r="CK125">
        <v>-1</v>
      </c>
      <c r="CL125">
        <v>0</v>
      </c>
      <c r="CM125">
        <v>0</v>
      </c>
      <c r="CN125">
        <v>0</v>
      </c>
      <c r="CO125">
        <v>0</v>
      </c>
      <c r="CP125">
        <v>0</v>
      </c>
    </row>
    <row r="126" spans="3:94" x14ac:dyDescent="0.2">
      <c r="C126" s="79" t="s">
        <v>1545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2.2331131332740566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-1.1015204305177766</v>
      </c>
      <c r="CC126">
        <v>0</v>
      </c>
      <c r="CD126">
        <v>0</v>
      </c>
      <c r="CE126">
        <v>0</v>
      </c>
      <c r="CF126">
        <v>0.63297321050558419</v>
      </c>
      <c r="CG126">
        <v>3.3507083044675818</v>
      </c>
      <c r="CH126">
        <v>0</v>
      </c>
      <c r="CI126">
        <v>0</v>
      </c>
      <c r="CJ126">
        <v>0</v>
      </c>
      <c r="CK126">
        <v>0</v>
      </c>
      <c r="CL126">
        <v>-1</v>
      </c>
      <c r="CM126">
        <v>0</v>
      </c>
      <c r="CN126">
        <v>0</v>
      </c>
      <c r="CO126">
        <v>0</v>
      </c>
      <c r="CP126">
        <v>0</v>
      </c>
    </row>
    <row r="127" spans="3:94" x14ac:dyDescent="0.2">
      <c r="C127" s="5"/>
    </row>
    <row r="128" spans="3:94" x14ac:dyDescent="0.2">
      <c r="C128" s="5"/>
    </row>
    <row r="129" spans="3:3" x14ac:dyDescent="0.2">
      <c r="C129" s="5"/>
    </row>
    <row r="130" spans="3:3" x14ac:dyDescent="0.2">
      <c r="C130" s="5"/>
    </row>
    <row r="131" spans="3:3" x14ac:dyDescent="0.2">
      <c r="C131" s="5"/>
    </row>
    <row r="132" spans="3:3" x14ac:dyDescent="0.2">
      <c r="C132" s="5"/>
    </row>
    <row r="133" spans="3:3" x14ac:dyDescent="0.2">
      <c r="C133" s="5"/>
    </row>
    <row r="134" spans="3:3" x14ac:dyDescent="0.2">
      <c r="C134" s="5"/>
    </row>
    <row r="135" spans="3:3" x14ac:dyDescent="0.2">
      <c r="C135" s="5"/>
    </row>
    <row r="136" spans="3:3" x14ac:dyDescent="0.2">
      <c r="C136" s="5"/>
    </row>
    <row r="137" spans="3:3" x14ac:dyDescent="0.2">
      <c r="C137" s="5"/>
    </row>
    <row r="138" spans="3:3" x14ac:dyDescent="0.2">
      <c r="C138" s="5"/>
    </row>
    <row r="139" spans="3:3" x14ac:dyDescent="0.2">
      <c r="C139" s="5"/>
    </row>
    <row r="140" spans="3:3" x14ac:dyDescent="0.2">
      <c r="C140" s="5"/>
    </row>
    <row r="141" spans="3:3" x14ac:dyDescent="0.2">
      <c r="C141" s="5"/>
    </row>
    <row r="142" spans="3:3" x14ac:dyDescent="0.2">
      <c r="C142" s="5"/>
    </row>
    <row r="143" spans="3:3" x14ac:dyDescent="0.2">
      <c r="C143" s="5"/>
    </row>
    <row r="144" spans="3:3" x14ac:dyDescent="0.2">
      <c r="C144" s="5"/>
    </row>
    <row r="145" spans="3:3" x14ac:dyDescent="0.2">
      <c r="C145" s="5"/>
    </row>
    <row r="146" spans="3:3" x14ac:dyDescent="0.2">
      <c r="C146" s="5"/>
    </row>
    <row r="147" spans="3:3" x14ac:dyDescent="0.2">
      <c r="C147" s="5"/>
    </row>
    <row r="148" spans="3:3" x14ac:dyDescent="0.2">
      <c r="C148" s="5"/>
    </row>
    <row r="149" spans="3:3" x14ac:dyDescent="0.2">
      <c r="C149" s="5"/>
    </row>
    <row r="150" spans="3:3" x14ac:dyDescent="0.2">
      <c r="C150" s="5"/>
    </row>
    <row r="151" spans="3:3" x14ac:dyDescent="0.2">
      <c r="C151" s="5"/>
    </row>
    <row r="152" spans="3:3" x14ac:dyDescent="0.2">
      <c r="C152" s="5"/>
    </row>
    <row r="153" spans="3:3" x14ac:dyDescent="0.2">
      <c r="C153" s="5"/>
    </row>
    <row r="154" spans="3:3" x14ac:dyDescent="0.2">
      <c r="C154" s="5"/>
    </row>
    <row r="155" spans="3:3" x14ac:dyDescent="0.2">
      <c r="C155" s="5"/>
    </row>
    <row r="156" spans="3:3" x14ac:dyDescent="0.2">
      <c r="C156" s="5"/>
    </row>
    <row r="157" spans="3:3" x14ac:dyDescent="0.2">
      <c r="C157" s="5"/>
    </row>
    <row r="158" spans="3:3" x14ac:dyDescent="0.2">
      <c r="C158" s="5"/>
    </row>
    <row r="159" spans="3:3" x14ac:dyDescent="0.2">
      <c r="C159" s="5"/>
    </row>
    <row r="160" spans="3:3" x14ac:dyDescent="0.2">
      <c r="C160" s="5"/>
    </row>
    <row r="161" spans="3:3" x14ac:dyDescent="0.2">
      <c r="C161" s="5"/>
    </row>
    <row r="162" spans="3:3" x14ac:dyDescent="0.2">
      <c r="C162" s="5"/>
    </row>
    <row r="163" spans="3:3" x14ac:dyDescent="0.2">
      <c r="C163" s="5"/>
    </row>
    <row r="164" spans="3:3" x14ac:dyDescent="0.2">
      <c r="C164" s="5"/>
    </row>
    <row r="165" spans="3:3" x14ac:dyDescent="0.2">
      <c r="C165" s="5"/>
    </row>
    <row r="166" spans="3:3" x14ac:dyDescent="0.2">
      <c r="C166" s="5"/>
    </row>
    <row r="167" spans="3:3" x14ac:dyDescent="0.2">
      <c r="C167" s="5"/>
    </row>
    <row r="168" spans="3:3" x14ac:dyDescent="0.2">
      <c r="C168" s="5"/>
    </row>
    <row r="169" spans="3:3" x14ac:dyDescent="0.2">
      <c r="C169" s="5"/>
    </row>
    <row r="170" spans="3:3" x14ac:dyDescent="0.2">
      <c r="C170" s="5"/>
    </row>
    <row r="171" spans="3:3" x14ac:dyDescent="0.2">
      <c r="C171" s="5"/>
    </row>
    <row r="172" spans="3:3" x14ac:dyDescent="0.2">
      <c r="C172" s="5"/>
    </row>
    <row r="173" spans="3:3" x14ac:dyDescent="0.2">
      <c r="C173" s="5"/>
    </row>
    <row r="174" spans="3:3" x14ac:dyDescent="0.2">
      <c r="C174" s="5"/>
    </row>
    <row r="175" spans="3:3" x14ac:dyDescent="0.2">
      <c r="C175" s="5"/>
    </row>
    <row r="176" spans="3:3" x14ac:dyDescent="0.2">
      <c r="C176" s="5"/>
    </row>
    <row r="177" spans="3:3" x14ac:dyDescent="0.2">
      <c r="C177" s="5"/>
    </row>
    <row r="178" spans="3:3" x14ac:dyDescent="0.2">
      <c r="C178" s="5"/>
    </row>
    <row r="179" spans="3:3" x14ac:dyDescent="0.2">
      <c r="C179" s="5"/>
    </row>
    <row r="180" spans="3:3" x14ac:dyDescent="0.2">
      <c r="C180" s="5"/>
    </row>
    <row r="181" spans="3:3" x14ac:dyDescent="0.2">
      <c r="C181" s="5"/>
    </row>
    <row r="182" spans="3:3" x14ac:dyDescent="0.2">
      <c r="C182" s="5"/>
    </row>
    <row r="183" spans="3:3" x14ac:dyDescent="0.2">
      <c r="C183" s="5"/>
    </row>
    <row r="184" spans="3:3" x14ac:dyDescent="0.2">
      <c r="C184" s="5"/>
    </row>
    <row r="185" spans="3:3" x14ac:dyDescent="0.2">
      <c r="C185" s="5"/>
    </row>
    <row r="186" spans="3:3" x14ac:dyDescent="0.2">
      <c r="C186" s="5"/>
    </row>
    <row r="187" spans="3:3" x14ac:dyDescent="0.2">
      <c r="C187" s="5"/>
    </row>
    <row r="188" spans="3:3" x14ac:dyDescent="0.2">
      <c r="C188" s="5"/>
    </row>
    <row r="189" spans="3:3" x14ac:dyDescent="0.2">
      <c r="C189" s="5"/>
    </row>
    <row r="190" spans="3:3" x14ac:dyDescent="0.2">
      <c r="C190" s="5"/>
    </row>
    <row r="191" spans="3:3" x14ac:dyDescent="0.2">
      <c r="C191" s="5"/>
    </row>
    <row r="192" spans="3:3" x14ac:dyDescent="0.2">
      <c r="C192" s="5"/>
    </row>
    <row r="193" spans="3:3" x14ac:dyDescent="0.2">
      <c r="C193" s="5"/>
    </row>
    <row r="194" spans="3:3" x14ac:dyDescent="0.2">
      <c r="C194" s="5"/>
    </row>
    <row r="195" spans="3:3" x14ac:dyDescent="0.2">
      <c r="C195" s="5"/>
    </row>
    <row r="196" spans="3:3" x14ac:dyDescent="0.2">
      <c r="C196" s="5"/>
    </row>
    <row r="197" spans="3:3" x14ac:dyDescent="0.2">
      <c r="C197" s="5"/>
    </row>
    <row r="198" spans="3:3" x14ac:dyDescent="0.2">
      <c r="C198" s="5"/>
    </row>
    <row r="199" spans="3:3" x14ac:dyDescent="0.2">
      <c r="C199" s="5"/>
    </row>
    <row r="200" spans="3:3" x14ac:dyDescent="0.2">
      <c r="C200" s="5"/>
    </row>
    <row r="201" spans="3:3" x14ac:dyDescent="0.2">
      <c r="C201" s="5"/>
    </row>
    <row r="202" spans="3:3" x14ac:dyDescent="0.2">
      <c r="C202" s="5"/>
    </row>
    <row r="203" spans="3:3" x14ac:dyDescent="0.2">
      <c r="C203" s="5"/>
    </row>
    <row r="204" spans="3:3" x14ac:dyDescent="0.2">
      <c r="C204" s="5"/>
    </row>
    <row r="205" spans="3:3" x14ac:dyDescent="0.2">
      <c r="C205" s="5"/>
    </row>
    <row r="206" spans="3:3" x14ac:dyDescent="0.2">
      <c r="C206" s="5"/>
    </row>
    <row r="207" spans="3:3" x14ac:dyDescent="0.2">
      <c r="C207" s="5"/>
    </row>
    <row r="208" spans="3:3" x14ac:dyDescent="0.2">
      <c r="C208" s="5"/>
    </row>
    <row r="209" spans="3:3" x14ac:dyDescent="0.2">
      <c r="C209" s="5"/>
    </row>
    <row r="210" spans="3:3" x14ac:dyDescent="0.2">
      <c r="C210" s="5"/>
    </row>
    <row r="211" spans="3:3" x14ac:dyDescent="0.2">
      <c r="C211" s="5"/>
    </row>
    <row r="212" spans="3:3" x14ac:dyDescent="0.2">
      <c r="C212" s="5"/>
    </row>
    <row r="213" spans="3:3" x14ac:dyDescent="0.2">
      <c r="C213" s="5"/>
    </row>
    <row r="214" spans="3:3" x14ac:dyDescent="0.2">
      <c r="C214" s="5"/>
    </row>
    <row r="215" spans="3:3" x14ac:dyDescent="0.2">
      <c r="C215" s="5"/>
    </row>
    <row r="216" spans="3:3" x14ac:dyDescent="0.2">
      <c r="C216" s="5"/>
    </row>
    <row r="217" spans="3:3" x14ac:dyDescent="0.2">
      <c r="C217" s="5"/>
    </row>
    <row r="218" spans="3:3" x14ac:dyDescent="0.2">
      <c r="C218" s="5"/>
    </row>
    <row r="219" spans="3:3" x14ac:dyDescent="0.2">
      <c r="C219" s="5"/>
    </row>
    <row r="220" spans="3:3" x14ac:dyDescent="0.2">
      <c r="C220" s="5"/>
    </row>
    <row r="221" spans="3:3" x14ac:dyDescent="0.2">
      <c r="C221" s="5"/>
    </row>
    <row r="222" spans="3:3" x14ac:dyDescent="0.2">
      <c r="C222" s="5"/>
    </row>
    <row r="223" spans="3:3" x14ac:dyDescent="0.2">
      <c r="C223" s="5"/>
    </row>
    <row r="224" spans="3:3" x14ac:dyDescent="0.2">
      <c r="C224" s="5"/>
    </row>
    <row r="225" spans="3:3" x14ac:dyDescent="0.2">
      <c r="C225" s="5"/>
    </row>
    <row r="226" spans="3:3" x14ac:dyDescent="0.2">
      <c r="C226" s="5"/>
    </row>
    <row r="227" spans="3:3" x14ac:dyDescent="0.2">
      <c r="C227" s="5"/>
    </row>
    <row r="228" spans="3:3" x14ac:dyDescent="0.2">
      <c r="C228" s="5"/>
    </row>
    <row r="229" spans="3:3" x14ac:dyDescent="0.2">
      <c r="C229" s="5"/>
    </row>
    <row r="230" spans="3:3" x14ac:dyDescent="0.2">
      <c r="C230" s="5"/>
    </row>
    <row r="231" spans="3:3" x14ac:dyDescent="0.2">
      <c r="C231" s="5"/>
    </row>
    <row r="232" spans="3:3" x14ac:dyDescent="0.2">
      <c r="C232" s="5"/>
    </row>
    <row r="233" spans="3:3" x14ac:dyDescent="0.2">
      <c r="C233" s="5"/>
    </row>
    <row r="234" spans="3:3" x14ac:dyDescent="0.2">
      <c r="C234" s="5"/>
    </row>
    <row r="235" spans="3:3" x14ac:dyDescent="0.2">
      <c r="C235" s="5"/>
    </row>
    <row r="236" spans="3:3" x14ac:dyDescent="0.2">
      <c r="C236" s="5"/>
    </row>
    <row r="237" spans="3:3" x14ac:dyDescent="0.2">
      <c r="C237" s="5"/>
    </row>
    <row r="238" spans="3:3" x14ac:dyDescent="0.2">
      <c r="C238" s="5"/>
    </row>
    <row r="239" spans="3:3" x14ac:dyDescent="0.2">
      <c r="C239" s="5"/>
    </row>
    <row r="240" spans="3:3" x14ac:dyDescent="0.2">
      <c r="C240" s="5"/>
    </row>
    <row r="241" spans="3:3" x14ac:dyDescent="0.2">
      <c r="C241" s="5"/>
    </row>
    <row r="242" spans="3:3" x14ac:dyDescent="0.2">
      <c r="C242" s="5"/>
    </row>
    <row r="243" spans="3:3" x14ac:dyDescent="0.2">
      <c r="C243" s="5"/>
    </row>
    <row r="244" spans="3:3" x14ac:dyDescent="0.2">
      <c r="C244" s="5"/>
    </row>
    <row r="245" spans="3:3" x14ac:dyDescent="0.2">
      <c r="C245" s="5"/>
    </row>
    <row r="246" spans="3:3" x14ac:dyDescent="0.2">
      <c r="C246" s="5"/>
    </row>
    <row r="247" spans="3:3" x14ac:dyDescent="0.2">
      <c r="C247" s="5"/>
    </row>
    <row r="248" spans="3:3" x14ac:dyDescent="0.2">
      <c r="C248" s="5"/>
    </row>
    <row r="249" spans="3:3" x14ac:dyDescent="0.2">
      <c r="C249" s="5"/>
    </row>
    <row r="250" spans="3:3" x14ac:dyDescent="0.2">
      <c r="C250" s="5"/>
    </row>
    <row r="251" spans="3:3" x14ac:dyDescent="0.2">
      <c r="C251" s="5"/>
    </row>
    <row r="252" spans="3:3" x14ac:dyDescent="0.2">
      <c r="C252" s="5"/>
    </row>
    <row r="253" spans="3:3" x14ac:dyDescent="0.2">
      <c r="C253" s="5"/>
    </row>
    <row r="254" spans="3:3" x14ac:dyDescent="0.2">
      <c r="C254" s="5"/>
    </row>
    <row r="255" spans="3:3" x14ac:dyDescent="0.2">
      <c r="C255" s="5"/>
    </row>
    <row r="256" spans="3:3" x14ac:dyDescent="0.2">
      <c r="C256" s="5"/>
    </row>
    <row r="257" spans="3:3" x14ac:dyDescent="0.2">
      <c r="C257" s="5"/>
    </row>
    <row r="258" spans="3:3" x14ac:dyDescent="0.2">
      <c r="C258" s="5"/>
    </row>
    <row r="259" spans="3:3" x14ac:dyDescent="0.2">
      <c r="C259" s="5"/>
    </row>
    <row r="260" spans="3:3" x14ac:dyDescent="0.2">
      <c r="C260" s="5"/>
    </row>
    <row r="261" spans="3:3" x14ac:dyDescent="0.2">
      <c r="C261" s="5"/>
    </row>
    <row r="262" spans="3:3" x14ac:dyDescent="0.2">
      <c r="C262" s="5"/>
    </row>
    <row r="263" spans="3:3" x14ac:dyDescent="0.2">
      <c r="C263" s="5"/>
    </row>
    <row r="264" spans="3:3" x14ac:dyDescent="0.2">
      <c r="C264" s="5"/>
    </row>
    <row r="265" spans="3:3" x14ac:dyDescent="0.2">
      <c r="C265" s="5"/>
    </row>
    <row r="266" spans="3:3" x14ac:dyDescent="0.2">
      <c r="C266" s="5"/>
    </row>
    <row r="267" spans="3:3" x14ac:dyDescent="0.2">
      <c r="C267" s="5"/>
    </row>
    <row r="268" spans="3:3" x14ac:dyDescent="0.2">
      <c r="C268" s="5"/>
    </row>
    <row r="269" spans="3:3" x14ac:dyDescent="0.2">
      <c r="C269" s="5"/>
    </row>
    <row r="270" spans="3:3" x14ac:dyDescent="0.2">
      <c r="C270" s="5"/>
    </row>
    <row r="271" spans="3:3" x14ac:dyDescent="0.2">
      <c r="C271" s="5"/>
    </row>
    <row r="272" spans="3:3" x14ac:dyDescent="0.2">
      <c r="C272" s="5"/>
    </row>
    <row r="273" spans="3:3" x14ac:dyDescent="0.2">
      <c r="C273" s="5"/>
    </row>
    <row r="274" spans="3:3" x14ac:dyDescent="0.2">
      <c r="C274" s="5"/>
    </row>
    <row r="275" spans="3:3" x14ac:dyDescent="0.2">
      <c r="C275" s="5"/>
    </row>
    <row r="276" spans="3:3" x14ac:dyDescent="0.2">
      <c r="C276" s="5"/>
    </row>
    <row r="277" spans="3:3" x14ac:dyDescent="0.2">
      <c r="C277" s="5"/>
    </row>
    <row r="278" spans="3:3" x14ac:dyDescent="0.2">
      <c r="C278" s="5"/>
    </row>
    <row r="279" spans="3:3" x14ac:dyDescent="0.2">
      <c r="C279" s="5"/>
    </row>
    <row r="280" spans="3:3" x14ac:dyDescent="0.2">
      <c r="C280" s="5"/>
    </row>
    <row r="281" spans="3:3" x14ac:dyDescent="0.2">
      <c r="C281" s="5"/>
    </row>
    <row r="282" spans="3:3" x14ac:dyDescent="0.2">
      <c r="C282" s="5"/>
    </row>
    <row r="283" spans="3:3" x14ac:dyDescent="0.2">
      <c r="C283" s="5"/>
    </row>
    <row r="284" spans="3:3" x14ac:dyDescent="0.2">
      <c r="C284" s="5"/>
    </row>
    <row r="285" spans="3:3" x14ac:dyDescent="0.2">
      <c r="C285" s="5"/>
    </row>
    <row r="286" spans="3:3" x14ac:dyDescent="0.2">
      <c r="C286" s="5"/>
    </row>
    <row r="287" spans="3:3" x14ac:dyDescent="0.2">
      <c r="C287" s="5"/>
    </row>
    <row r="288" spans="3:3" x14ac:dyDescent="0.2">
      <c r="C288" s="5"/>
    </row>
    <row r="289" spans="3:3" x14ac:dyDescent="0.2">
      <c r="C289" s="5"/>
    </row>
    <row r="290" spans="3:3" x14ac:dyDescent="0.2">
      <c r="C290" s="5"/>
    </row>
    <row r="291" spans="3:3" x14ac:dyDescent="0.2">
      <c r="C291" s="5"/>
    </row>
    <row r="292" spans="3:3" x14ac:dyDescent="0.2">
      <c r="C292" s="5"/>
    </row>
    <row r="293" spans="3:3" x14ac:dyDescent="0.2">
      <c r="C293" s="5"/>
    </row>
    <row r="294" spans="3:3" x14ac:dyDescent="0.2">
      <c r="C294" s="5"/>
    </row>
    <row r="295" spans="3:3" x14ac:dyDescent="0.2">
      <c r="C295" s="5"/>
    </row>
    <row r="296" spans="3:3" x14ac:dyDescent="0.2">
      <c r="C296" s="5"/>
    </row>
    <row r="297" spans="3:3" x14ac:dyDescent="0.2">
      <c r="C297" s="5"/>
    </row>
    <row r="298" spans="3:3" x14ac:dyDescent="0.2">
      <c r="C298" s="5"/>
    </row>
    <row r="299" spans="3:3" x14ac:dyDescent="0.2">
      <c r="C299" s="5"/>
    </row>
    <row r="300" spans="3:3" x14ac:dyDescent="0.2">
      <c r="C300" s="5"/>
    </row>
    <row r="301" spans="3:3" x14ac:dyDescent="0.2">
      <c r="C301" s="5"/>
    </row>
    <row r="302" spans="3:3" x14ac:dyDescent="0.2">
      <c r="C302" s="5"/>
    </row>
    <row r="303" spans="3:3" x14ac:dyDescent="0.2">
      <c r="C303" s="5"/>
    </row>
    <row r="304" spans="3:3" x14ac:dyDescent="0.2">
      <c r="C304" s="5"/>
    </row>
    <row r="305" spans="3:3" x14ac:dyDescent="0.2">
      <c r="C305" s="5"/>
    </row>
    <row r="306" spans="3:3" x14ac:dyDescent="0.2">
      <c r="C306" s="5"/>
    </row>
    <row r="307" spans="3:3" x14ac:dyDescent="0.2">
      <c r="C307" s="5"/>
    </row>
    <row r="308" spans="3:3" x14ac:dyDescent="0.2">
      <c r="C308" s="5"/>
    </row>
    <row r="309" spans="3:3" x14ac:dyDescent="0.2">
      <c r="C309" s="5"/>
    </row>
    <row r="310" spans="3:3" x14ac:dyDescent="0.2">
      <c r="C310" s="5"/>
    </row>
    <row r="311" spans="3:3" x14ac:dyDescent="0.2">
      <c r="C311" s="5"/>
    </row>
    <row r="312" spans="3:3" x14ac:dyDescent="0.2">
      <c r="C312" s="5"/>
    </row>
    <row r="313" spans="3:3" x14ac:dyDescent="0.2">
      <c r="C313" s="5"/>
    </row>
    <row r="314" spans="3:3" x14ac:dyDescent="0.2">
      <c r="C314" s="5"/>
    </row>
    <row r="315" spans="3:3" x14ac:dyDescent="0.2">
      <c r="C315" s="5"/>
    </row>
    <row r="316" spans="3:3" x14ac:dyDescent="0.2">
      <c r="C316" s="5"/>
    </row>
    <row r="317" spans="3:3" x14ac:dyDescent="0.2">
      <c r="C317" s="5"/>
    </row>
    <row r="318" spans="3:3" x14ac:dyDescent="0.2">
      <c r="C318" s="5"/>
    </row>
    <row r="319" spans="3:3" x14ac:dyDescent="0.2">
      <c r="C319" s="5"/>
    </row>
    <row r="320" spans="3:3" x14ac:dyDescent="0.2">
      <c r="C320" s="5"/>
    </row>
    <row r="321" spans="3:3" x14ac:dyDescent="0.2">
      <c r="C321" s="5"/>
    </row>
    <row r="322" spans="3:3" x14ac:dyDescent="0.2">
      <c r="C322" s="5"/>
    </row>
    <row r="323" spans="3:3" x14ac:dyDescent="0.2">
      <c r="C323" s="5"/>
    </row>
    <row r="324" spans="3:3" x14ac:dyDescent="0.2">
      <c r="C324" s="5"/>
    </row>
    <row r="325" spans="3:3" x14ac:dyDescent="0.2">
      <c r="C325" s="5"/>
    </row>
    <row r="326" spans="3:3" x14ac:dyDescent="0.2">
      <c r="C326" s="5"/>
    </row>
    <row r="327" spans="3:3" x14ac:dyDescent="0.2">
      <c r="C327" s="5"/>
    </row>
    <row r="328" spans="3:3" x14ac:dyDescent="0.2">
      <c r="C328" s="5"/>
    </row>
    <row r="329" spans="3:3" x14ac:dyDescent="0.2">
      <c r="C329" s="5"/>
    </row>
    <row r="330" spans="3:3" x14ac:dyDescent="0.2">
      <c r="C330" s="5"/>
    </row>
    <row r="331" spans="3:3" x14ac:dyDescent="0.2">
      <c r="C331" s="5"/>
    </row>
    <row r="332" spans="3:3" x14ac:dyDescent="0.2">
      <c r="C332" s="5"/>
    </row>
    <row r="333" spans="3:3" x14ac:dyDescent="0.2">
      <c r="C333" s="5"/>
    </row>
    <row r="334" spans="3:3" x14ac:dyDescent="0.2">
      <c r="C334" s="5"/>
    </row>
    <row r="335" spans="3:3" x14ac:dyDescent="0.2">
      <c r="C335" s="5"/>
    </row>
    <row r="336" spans="3:3" x14ac:dyDescent="0.2">
      <c r="C336" s="5"/>
    </row>
    <row r="337" spans="3:3" x14ac:dyDescent="0.2">
      <c r="C337" s="5"/>
    </row>
    <row r="338" spans="3:3" x14ac:dyDescent="0.2">
      <c r="C338" s="5"/>
    </row>
    <row r="339" spans="3:3" x14ac:dyDescent="0.2">
      <c r="C339" s="5"/>
    </row>
    <row r="340" spans="3:3" x14ac:dyDescent="0.2">
      <c r="C340" s="5"/>
    </row>
    <row r="341" spans="3:3" x14ac:dyDescent="0.2">
      <c r="C341" s="5"/>
    </row>
    <row r="342" spans="3:3" x14ac:dyDescent="0.2">
      <c r="C342" s="5"/>
    </row>
    <row r="343" spans="3:3" x14ac:dyDescent="0.2">
      <c r="C343" s="5"/>
    </row>
    <row r="344" spans="3:3" x14ac:dyDescent="0.2">
      <c r="C344" s="5"/>
    </row>
    <row r="345" spans="3:3" x14ac:dyDescent="0.2">
      <c r="C345" s="5"/>
    </row>
    <row r="346" spans="3:3" x14ac:dyDescent="0.2">
      <c r="C346" s="5"/>
    </row>
    <row r="347" spans="3:3" x14ac:dyDescent="0.2">
      <c r="C347" s="5"/>
    </row>
    <row r="348" spans="3:3" x14ac:dyDescent="0.2">
      <c r="C348" s="5"/>
    </row>
    <row r="349" spans="3:3" x14ac:dyDescent="0.2">
      <c r="C349" s="5"/>
    </row>
    <row r="350" spans="3:3" x14ac:dyDescent="0.2">
      <c r="C350" s="5"/>
    </row>
    <row r="351" spans="3:3" x14ac:dyDescent="0.2">
      <c r="C351" s="5"/>
    </row>
    <row r="352" spans="3:3" x14ac:dyDescent="0.2">
      <c r="C352" s="5"/>
    </row>
    <row r="353" spans="3:3" x14ac:dyDescent="0.2">
      <c r="C353" s="5"/>
    </row>
    <row r="354" spans="3:3" x14ac:dyDescent="0.2">
      <c r="C354" s="5"/>
    </row>
    <row r="355" spans="3:3" x14ac:dyDescent="0.2">
      <c r="C355" s="5"/>
    </row>
    <row r="356" spans="3:3" x14ac:dyDescent="0.2">
      <c r="C356" s="5"/>
    </row>
    <row r="357" spans="3:3" x14ac:dyDescent="0.2">
      <c r="C357" s="5"/>
    </row>
    <row r="358" spans="3:3" x14ac:dyDescent="0.2">
      <c r="C358" s="5"/>
    </row>
    <row r="359" spans="3:3" x14ac:dyDescent="0.2">
      <c r="C359" s="5"/>
    </row>
    <row r="360" spans="3:3" x14ac:dyDescent="0.2">
      <c r="C360" s="5"/>
    </row>
    <row r="361" spans="3:3" x14ac:dyDescent="0.2">
      <c r="C361" s="5"/>
    </row>
    <row r="362" spans="3:3" x14ac:dyDescent="0.2">
      <c r="C362" s="5"/>
    </row>
    <row r="363" spans="3:3" x14ac:dyDescent="0.2">
      <c r="C363" s="5"/>
    </row>
    <row r="364" spans="3:3" x14ac:dyDescent="0.2">
      <c r="C364" s="5"/>
    </row>
    <row r="365" spans="3:3" x14ac:dyDescent="0.2">
      <c r="C365" s="5"/>
    </row>
    <row r="366" spans="3:3" x14ac:dyDescent="0.2">
      <c r="C366" s="5"/>
    </row>
    <row r="367" spans="3:3" x14ac:dyDescent="0.2">
      <c r="C367" s="5"/>
    </row>
    <row r="368" spans="3:3" x14ac:dyDescent="0.2">
      <c r="C368" s="5"/>
    </row>
    <row r="369" spans="3:3" x14ac:dyDescent="0.2">
      <c r="C369" s="5"/>
    </row>
    <row r="370" spans="3:3" x14ac:dyDescent="0.2">
      <c r="C370" s="5"/>
    </row>
    <row r="371" spans="3:3" x14ac:dyDescent="0.2">
      <c r="C371" s="5"/>
    </row>
    <row r="372" spans="3:3" x14ac:dyDescent="0.2">
      <c r="C372" s="5"/>
    </row>
    <row r="373" spans="3:3" x14ac:dyDescent="0.2">
      <c r="C373" s="5"/>
    </row>
    <row r="374" spans="3:3" x14ac:dyDescent="0.2">
      <c r="C374" s="5"/>
    </row>
    <row r="375" spans="3:3" x14ac:dyDescent="0.2">
      <c r="C375" s="5"/>
    </row>
    <row r="376" spans="3:3" x14ac:dyDescent="0.2">
      <c r="C376" s="5"/>
    </row>
    <row r="377" spans="3:3" x14ac:dyDescent="0.2">
      <c r="C377" s="5"/>
    </row>
    <row r="378" spans="3:3" x14ac:dyDescent="0.2">
      <c r="C378" s="5"/>
    </row>
    <row r="379" spans="3:3" x14ac:dyDescent="0.2">
      <c r="C379" s="5"/>
    </row>
    <row r="380" spans="3:3" x14ac:dyDescent="0.2">
      <c r="C380" s="5"/>
    </row>
    <row r="381" spans="3:3" x14ac:dyDescent="0.2">
      <c r="C381" s="5"/>
    </row>
    <row r="382" spans="3:3" x14ac:dyDescent="0.2">
      <c r="C382" s="5"/>
    </row>
    <row r="383" spans="3:3" x14ac:dyDescent="0.2">
      <c r="C383" s="5"/>
    </row>
    <row r="384" spans="3:3" x14ac:dyDescent="0.2">
      <c r="C384" s="5"/>
    </row>
    <row r="385" spans="3:3" x14ac:dyDescent="0.2">
      <c r="C385" s="5"/>
    </row>
    <row r="386" spans="3:3" x14ac:dyDescent="0.2">
      <c r="C386" s="5"/>
    </row>
    <row r="387" spans="3:3" x14ac:dyDescent="0.2">
      <c r="C387" s="5"/>
    </row>
    <row r="388" spans="3:3" x14ac:dyDescent="0.2">
      <c r="C388" s="5"/>
    </row>
    <row r="389" spans="3:3" x14ac:dyDescent="0.2">
      <c r="C389" s="5"/>
    </row>
    <row r="390" spans="3:3" x14ac:dyDescent="0.2">
      <c r="C390" s="5"/>
    </row>
    <row r="391" spans="3:3" x14ac:dyDescent="0.2">
      <c r="C391" s="5"/>
    </row>
    <row r="392" spans="3:3" x14ac:dyDescent="0.2">
      <c r="C392" s="5"/>
    </row>
    <row r="393" spans="3:3" x14ac:dyDescent="0.2">
      <c r="C393" s="5"/>
    </row>
    <row r="394" spans="3:3" x14ac:dyDescent="0.2">
      <c r="C394" s="5"/>
    </row>
    <row r="395" spans="3:3" x14ac:dyDescent="0.2">
      <c r="C395" s="5"/>
    </row>
    <row r="396" spans="3:3" x14ac:dyDescent="0.2">
      <c r="C396" s="5"/>
    </row>
    <row r="397" spans="3:3" x14ac:dyDescent="0.2">
      <c r="C397" s="5"/>
    </row>
    <row r="398" spans="3:3" x14ac:dyDescent="0.2">
      <c r="C398" s="5"/>
    </row>
    <row r="399" spans="3:3" x14ac:dyDescent="0.2">
      <c r="C399" s="5"/>
    </row>
    <row r="400" spans="3:3" x14ac:dyDescent="0.2">
      <c r="C400" s="5"/>
    </row>
    <row r="401" spans="3:3" x14ac:dyDescent="0.2">
      <c r="C401" s="5"/>
    </row>
    <row r="402" spans="3:3" x14ac:dyDescent="0.2">
      <c r="C402" s="5"/>
    </row>
    <row r="403" spans="3:3" x14ac:dyDescent="0.2">
      <c r="C403" s="5"/>
    </row>
    <row r="404" spans="3:3" x14ac:dyDescent="0.2">
      <c r="C404" s="5"/>
    </row>
    <row r="405" spans="3:3" x14ac:dyDescent="0.2">
      <c r="C405" s="5"/>
    </row>
    <row r="406" spans="3:3" x14ac:dyDescent="0.2">
      <c r="C406" s="5"/>
    </row>
    <row r="407" spans="3:3" x14ac:dyDescent="0.2">
      <c r="C407" s="5"/>
    </row>
    <row r="408" spans="3:3" x14ac:dyDescent="0.2">
      <c r="C408" s="5"/>
    </row>
    <row r="409" spans="3:3" x14ac:dyDescent="0.2">
      <c r="C409" s="5"/>
    </row>
    <row r="410" spans="3:3" x14ac:dyDescent="0.2">
      <c r="C410" s="5"/>
    </row>
    <row r="411" spans="3:3" x14ac:dyDescent="0.2">
      <c r="C411" s="5"/>
    </row>
    <row r="412" spans="3:3" x14ac:dyDescent="0.2">
      <c r="C412" s="5"/>
    </row>
    <row r="413" spans="3:3" x14ac:dyDescent="0.2">
      <c r="C413" s="5"/>
    </row>
    <row r="414" spans="3:3" x14ac:dyDescent="0.2">
      <c r="C414" s="5"/>
    </row>
    <row r="415" spans="3:3" x14ac:dyDescent="0.2">
      <c r="C415" s="5"/>
    </row>
    <row r="416" spans="3:3" x14ac:dyDescent="0.2">
      <c r="C416" s="5"/>
    </row>
    <row r="417" spans="3:3" x14ac:dyDescent="0.2">
      <c r="C417" s="5"/>
    </row>
    <row r="418" spans="3:3" x14ac:dyDescent="0.2">
      <c r="C418" s="5"/>
    </row>
    <row r="419" spans="3:3" x14ac:dyDescent="0.2">
      <c r="C419" s="5"/>
    </row>
    <row r="420" spans="3:3" x14ac:dyDescent="0.2">
      <c r="C420" s="5"/>
    </row>
    <row r="421" spans="3:3" x14ac:dyDescent="0.2">
      <c r="C421" s="5"/>
    </row>
    <row r="422" spans="3:3" x14ac:dyDescent="0.2">
      <c r="C422" s="5"/>
    </row>
    <row r="423" spans="3:3" x14ac:dyDescent="0.2">
      <c r="C423" s="5"/>
    </row>
    <row r="424" spans="3:3" x14ac:dyDescent="0.2">
      <c r="C424" s="5"/>
    </row>
    <row r="425" spans="3:3" x14ac:dyDescent="0.2">
      <c r="C425" s="5"/>
    </row>
    <row r="426" spans="3:3" x14ac:dyDescent="0.2">
      <c r="C426" s="5"/>
    </row>
    <row r="427" spans="3:3" x14ac:dyDescent="0.2">
      <c r="C427" s="5"/>
    </row>
    <row r="428" spans="3:3" x14ac:dyDescent="0.2">
      <c r="C428" s="5"/>
    </row>
    <row r="429" spans="3:3" x14ac:dyDescent="0.2">
      <c r="C429" s="5"/>
    </row>
    <row r="430" spans="3:3" x14ac:dyDescent="0.2">
      <c r="C430" s="5"/>
    </row>
    <row r="431" spans="3:3" x14ac:dyDescent="0.2">
      <c r="C431" s="5"/>
    </row>
    <row r="432" spans="3:3" x14ac:dyDescent="0.2">
      <c r="C432" s="5"/>
    </row>
    <row r="433" spans="3:3" x14ac:dyDescent="0.2">
      <c r="C433" s="5"/>
    </row>
    <row r="434" spans="3:3" x14ac:dyDescent="0.2">
      <c r="C434" s="5"/>
    </row>
    <row r="435" spans="3:3" x14ac:dyDescent="0.2">
      <c r="C435" s="5"/>
    </row>
    <row r="436" spans="3:3" x14ac:dyDescent="0.2">
      <c r="C436" s="5"/>
    </row>
    <row r="437" spans="3:3" x14ac:dyDescent="0.2">
      <c r="C437" s="5"/>
    </row>
    <row r="438" spans="3:3" x14ac:dyDescent="0.2">
      <c r="C438" s="5"/>
    </row>
    <row r="439" spans="3:3" x14ac:dyDescent="0.2">
      <c r="C439" s="5"/>
    </row>
    <row r="440" spans="3:3" x14ac:dyDescent="0.2">
      <c r="C440" s="5"/>
    </row>
    <row r="441" spans="3:3" x14ac:dyDescent="0.2">
      <c r="C441" s="5"/>
    </row>
    <row r="442" spans="3:3" x14ac:dyDescent="0.2">
      <c r="C442" s="5"/>
    </row>
    <row r="443" spans="3:3" x14ac:dyDescent="0.2">
      <c r="C443" s="5"/>
    </row>
    <row r="444" spans="3:3" x14ac:dyDescent="0.2">
      <c r="C444" s="5"/>
    </row>
    <row r="445" spans="3:3" x14ac:dyDescent="0.2">
      <c r="C445" s="5"/>
    </row>
    <row r="446" spans="3:3" x14ac:dyDescent="0.2">
      <c r="C446" s="5"/>
    </row>
    <row r="447" spans="3:3" x14ac:dyDescent="0.2">
      <c r="C447" s="5"/>
    </row>
    <row r="448" spans="3:3" x14ac:dyDescent="0.2">
      <c r="C448" s="5"/>
    </row>
    <row r="449" spans="3:3" x14ac:dyDescent="0.2">
      <c r="C449" s="5"/>
    </row>
    <row r="450" spans="3:3" x14ac:dyDescent="0.2">
      <c r="C450" s="5"/>
    </row>
    <row r="451" spans="3:3" x14ac:dyDescent="0.2">
      <c r="C451" s="5"/>
    </row>
    <row r="452" spans="3:3" x14ac:dyDescent="0.2">
      <c r="C452" s="5"/>
    </row>
    <row r="453" spans="3:3" x14ac:dyDescent="0.2">
      <c r="C453" s="5"/>
    </row>
    <row r="454" spans="3:3" x14ac:dyDescent="0.2">
      <c r="C454" s="5"/>
    </row>
    <row r="455" spans="3:3" x14ac:dyDescent="0.2">
      <c r="C455" s="5"/>
    </row>
    <row r="456" spans="3:3" x14ac:dyDescent="0.2">
      <c r="C456" s="5"/>
    </row>
    <row r="457" spans="3:3" x14ac:dyDescent="0.2">
      <c r="C457" s="5"/>
    </row>
    <row r="458" spans="3:3" x14ac:dyDescent="0.2">
      <c r="C458" s="5"/>
    </row>
    <row r="459" spans="3:3" x14ac:dyDescent="0.2">
      <c r="C459" s="5"/>
    </row>
    <row r="460" spans="3:3" x14ac:dyDescent="0.2">
      <c r="C460" s="5"/>
    </row>
    <row r="461" spans="3:3" x14ac:dyDescent="0.2">
      <c r="C461" s="5"/>
    </row>
    <row r="462" spans="3:3" x14ac:dyDescent="0.2">
      <c r="C462" s="5"/>
    </row>
    <row r="463" spans="3:3" x14ac:dyDescent="0.2">
      <c r="C463" s="5"/>
    </row>
    <row r="464" spans="3:3" x14ac:dyDescent="0.2">
      <c r="C464" s="5"/>
    </row>
    <row r="465" spans="3:3" x14ac:dyDescent="0.2">
      <c r="C465" s="5"/>
    </row>
    <row r="466" spans="3:3" x14ac:dyDescent="0.2">
      <c r="C466" s="5"/>
    </row>
    <row r="467" spans="3:3" x14ac:dyDescent="0.2">
      <c r="C467" s="5"/>
    </row>
    <row r="468" spans="3:3" x14ac:dyDescent="0.2">
      <c r="C468" s="5"/>
    </row>
    <row r="469" spans="3:3" x14ac:dyDescent="0.2">
      <c r="C469" s="5"/>
    </row>
    <row r="470" spans="3:3" x14ac:dyDescent="0.2">
      <c r="C470" s="5"/>
    </row>
    <row r="471" spans="3:3" x14ac:dyDescent="0.2">
      <c r="C471" s="5"/>
    </row>
    <row r="472" spans="3:3" x14ac:dyDescent="0.2">
      <c r="C472" s="5"/>
    </row>
    <row r="473" spans="3:3" x14ac:dyDescent="0.2">
      <c r="C473" s="5"/>
    </row>
    <row r="474" spans="3:3" x14ac:dyDescent="0.2">
      <c r="C474" s="5"/>
    </row>
    <row r="475" spans="3:3" x14ac:dyDescent="0.2">
      <c r="C475" s="5"/>
    </row>
    <row r="476" spans="3:3" x14ac:dyDescent="0.2">
      <c r="C476" s="5"/>
    </row>
    <row r="477" spans="3:3" x14ac:dyDescent="0.2">
      <c r="C477" s="5"/>
    </row>
    <row r="478" spans="3:3" x14ac:dyDescent="0.2">
      <c r="C478" s="5"/>
    </row>
    <row r="479" spans="3:3" x14ac:dyDescent="0.2">
      <c r="C479" s="5"/>
    </row>
    <row r="480" spans="3:3" x14ac:dyDescent="0.2">
      <c r="C480" s="5"/>
    </row>
    <row r="481" spans="3:3" x14ac:dyDescent="0.2">
      <c r="C481" s="5"/>
    </row>
    <row r="482" spans="3:3" x14ac:dyDescent="0.2">
      <c r="C482" s="5"/>
    </row>
    <row r="483" spans="3:3" x14ac:dyDescent="0.2">
      <c r="C483" s="5"/>
    </row>
    <row r="484" spans="3:3" x14ac:dyDescent="0.2">
      <c r="C484" s="5"/>
    </row>
    <row r="485" spans="3:3" x14ac:dyDescent="0.2">
      <c r="C485" s="5"/>
    </row>
    <row r="486" spans="3:3" x14ac:dyDescent="0.2">
      <c r="C486" s="5"/>
    </row>
    <row r="487" spans="3:3" x14ac:dyDescent="0.2">
      <c r="C487" s="5"/>
    </row>
    <row r="488" spans="3:3" x14ac:dyDescent="0.2">
      <c r="C488" s="5"/>
    </row>
    <row r="489" spans="3:3" x14ac:dyDescent="0.2">
      <c r="C489" s="5"/>
    </row>
    <row r="490" spans="3:3" x14ac:dyDescent="0.2">
      <c r="C490" s="5"/>
    </row>
    <row r="491" spans="3:3" x14ac:dyDescent="0.2">
      <c r="C491" s="5"/>
    </row>
    <row r="492" spans="3:3" x14ac:dyDescent="0.2">
      <c r="C492" s="5"/>
    </row>
    <row r="493" spans="3:3" x14ac:dyDescent="0.2">
      <c r="C493" s="5"/>
    </row>
    <row r="494" spans="3:3" x14ac:dyDescent="0.2">
      <c r="C494" s="5"/>
    </row>
    <row r="495" spans="3:3" x14ac:dyDescent="0.2">
      <c r="C495" s="5"/>
    </row>
    <row r="496" spans="3:3" x14ac:dyDescent="0.2">
      <c r="C496" s="5"/>
    </row>
    <row r="497" spans="3:3" x14ac:dyDescent="0.2">
      <c r="C497" s="5"/>
    </row>
    <row r="498" spans="3:3" x14ac:dyDescent="0.2">
      <c r="C498" s="5"/>
    </row>
    <row r="499" spans="3:3" x14ac:dyDescent="0.2">
      <c r="C499" s="5"/>
    </row>
    <row r="500" spans="3:3" x14ac:dyDescent="0.2">
      <c r="C500" s="5"/>
    </row>
    <row r="501" spans="3:3" x14ac:dyDescent="0.2">
      <c r="C501" s="5"/>
    </row>
    <row r="502" spans="3:3" x14ac:dyDescent="0.2">
      <c r="C502" s="5"/>
    </row>
    <row r="503" spans="3:3" x14ac:dyDescent="0.2">
      <c r="C503" s="5"/>
    </row>
    <row r="504" spans="3:3" x14ac:dyDescent="0.2">
      <c r="C504" s="5"/>
    </row>
    <row r="505" spans="3:3" x14ac:dyDescent="0.2">
      <c r="C505" s="5"/>
    </row>
    <row r="506" spans="3:3" x14ac:dyDescent="0.2">
      <c r="C506" s="5"/>
    </row>
    <row r="507" spans="3:3" x14ac:dyDescent="0.2">
      <c r="C507" s="5"/>
    </row>
    <row r="508" spans="3:3" x14ac:dyDescent="0.2">
      <c r="C508" s="5"/>
    </row>
    <row r="509" spans="3:3" x14ac:dyDescent="0.2">
      <c r="C509" s="5"/>
    </row>
    <row r="510" spans="3:3" x14ac:dyDescent="0.2">
      <c r="C510" s="5"/>
    </row>
    <row r="511" spans="3:3" x14ac:dyDescent="0.2">
      <c r="C511" s="5"/>
    </row>
    <row r="512" spans="3:3" x14ac:dyDescent="0.2">
      <c r="C512" s="5"/>
    </row>
    <row r="513" spans="3:3" x14ac:dyDescent="0.2">
      <c r="C513" s="5"/>
    </row>
    <row r="514" spans="3:3" x14ac:dyDescent="0.2">
      <c r="C514" s="5"/>
    </row>
    <row r="515" spans="3:3" x14ac:dyDescent="0.2">
      <c r="C515" s="5"/>
    </row>
    <row r="516" spans="3:3" x14ac:dyDescent="0.2">
      <c r="C516" s="5"/>
    </row>
    <row r="517" spans="3:3" x14ac:dyDescent="0.2">
      <c r="C517" s="5"/>
    </row>
    <row r="518" spans="3:3" x14ac:dyDescent="0.2">
      <c r="C518" s="5"/>
    </row>
    <row r="519" spans="3:3" x14ac:dyDescent="0.2">
      <c r="C519" s="5"/>
    </row>
    <row r="520" spans="3:3" x14ac:dyDescent="0.2">
      <c r="C520" s="5"/>
    </row>
    <row r="521" spans="3:3" x14ac:dyDescent="0.2">
      <c r="C521" s="5"/>
    </row>
    <row r="522" spans="3:3" x14ac:dyDescent="0.2">
      <c r="C522" s="5"/>
    </row>
    <row r="523" spans="3:3" x14ac:dyDescent="0.2">
      <c r="C523" s="5"/>
    </row>
    <row r="524" spans="3:3" x14ac:dyDescent="0.2">
      <c r="C524" s="5"/>
    </row>
    <row r="525" spans="3:3" x14ac:dyDescent="0.2">
      <c r="C525" s="5"/>
    </row>
    <row r="526" spans="3:3" x14ac:dyDescent="0.2">
      <c r="C526" s="5"/>
    </row>
    <row r="527" spans="3:3" x14ac:dyDescent="0.2">
      <c r="C527" s="5"/>
    </row>
    <row r="528" spans="3:3" x14ac:dyDescent="0.2">
      <c r="C528" s="5"/>
    </row>
    <row r="529" spans="3:3" x14ac:dyDescent="0.2">
      <c r="C529" s="5"/>
    </row>
    <row r="530" spans="3:3" x14ac:dyDescent="0.2">
      <c r="C530" s="5"/>
    </row>
    <row r="531" spans="3:3" x14ac:dyDescent="0.2">
      <c r="C531" s="5"/>
    </row>
    <row r="532" spans="3:3" x14ac:dyDescent="0.2">
      <c r="C532" s="5"/>
    </row>
    <row r="533" spans="3:3" x14ac:dyDescent="0.2">
      <c r="C533" s="5"/>
    </row>
    <row r="534" spans="3:3" x14ac:dyDescent="0.2">
      <c r="C534" s="5"/>
    </row>
    <row r="535" spans="3:3" x14ac:dyDescent="0.2">
      <c r="C535" s="5"/>
    </row>
    <row r="536" spans="3:3" x14ac:dyDescent="0.2">
      <c r="C536" s="5"/>
    </row>
    <row r="537" spans="3:3" x14ac:dyDescent="0.2">
      <c r="C537" s="5"/>
    </row>
    <row r="538" spans="3:3" x14ac:dyDescent="0.2">
      <c r="C538" s="5"/>
    </row>
    <row r="539" spans="3:3" x14ac:dyDescent="0.2">
      <c r="C539" s="5"/>
    </row>
    <row r="540" spans="3:3" x14ac:dyDescent="0.2">
      <c r="C540" s="5"/>
    </row>
    <row r="541" spans="3:3" x14ac:dyDescent="0.2">
      <c r="C541" s="5"/>
    </row>
    <row r="542" spans="3:3" x14ac:dyDescent="0.2">
      <c r="C542" s="5"/>
    </row>
    <row r="543" spans="3:3" x14ac:dyDescent="0.2">
      <c r="C543" s="5"/>
    </row>
    <row r="544" spans="3:3" x14ac:dyDescent="0.2">
      <c r="C544" s="5"/>
    </row>
    <row r="545" spans="3:3" x14ac:dyDescent="0.2">
      <c r="C545" s="5"/>
    </row>
    <row r="546" spans="3:3" x14ac:dyDescent="0.2">
      <c r="C546" s="5"/>
    </row>
    <row r="547" spans="3:3" x14ac:dyDescent="0.2">
      <c r="C547" s="5"/>
    </row>
    <row r="548" spans="3:3" x14ac:dyDescent="0.2">
      <c r="C548" s="5"/>
    </row>
    <row r="549" spans="3:3" x14ac:dyDescent="0.2">
      <c r="C549" s="5"/>
    </row>
    <row r="550" spans="3:3" x14ac:dyDescent="0.2">
      <c r="C550" s="5"/>
    </row>
    <row r="551" spans="3:3" x14ac:dyDescent="0.2">
      <c r="C551" s="5"/>
    </row>
    <row r="552" spans="3:3" x14ac:dyDescent="0.2">
      <c r="C552" s="5"/>
    </row>
    <row r="553" spans="3:3" x14ac:dyDescent="0.2">
      <c r="C553" s="5"/>
    </row>
    <row r="554" spans="3:3" x14ac:dyDescent="0.2">
      <c r="C554" s="5"/>
    </row>
    <row r="555" spans="3:3" x14ac:dyDescent="0.2">
      <c r="C555" s="5"/>
    </row>
    <row r="556" spans="3:3" x14ac:dyDescent="0.2">
      <c r="C556" s="5"/>
    </row>
    <row r="557" spans="3:3" x14ac:dyDescent="0.2">
      <c r="C557" s="5"/>
    </row>
    <row r="558" spans="3:3" x14ac:dyDescent="0.2">
      <c r="C558" s="5"/>
    </row>
    <row r="559" spans="3:3" x14ac:dyDescent="0.2">
      <c r="C559" s="5"/>
    </row>
    <row r="560" spans="3:3" x14ac:dyDescent="0.2">
      <c r="C560" s="5"/>
    </row>
    <row r="561" spans="3:3" x14ac:dyDescent="0.2">
      <c r="C561" s="5"/>
    </row>
    <row r="562" spans="3:3" x14ac:dyDescent="0.2">
      <c r="C562" s="5"/>
    </row>
    <row r="563" spans="3:3" x14ac:dyDescent="0.2">
      <c r="C563" s="5"/>
    </row>
    <row r="564" spans="3:3" x14ac:dyDescent="0.2">
      <c r="C564" s="5"/>
    </row>
    <row r="565" spans="3:3" x14ac:dyDescent="0.2">
      <c r="C565" s="5"/>
    </row>
    <row r="566" spans="3:3" x14ac:dyDescent="0.2">
      <c r="C566" s="5"/>
    </row>
    <row r="567" spans="3:3" x14ac:dyDescent="0.2">
      <c r="C567" s="5"/>
    </row>
    <row r="568" spans="3:3" x14ac:dyDescent="0.2">
      <c r="C568" s="5"/>
    </row>
    <row r="569" spans="3:3" x14ac:dyDescent="0.2">
      <c r="C569" s="5"/>
    </row>
    <row r="570" spans="3:3" x14ac:dyDescent="0.2">
      <c r="C570" s="5"/>
    </row>
    <row r="571" spans="3:3" x14ac:dyDescent="0.2">
      <c r="C571" s="5"/>
    </row>
    <row r="572" spans="3:3" x14ac:dyDescent="0.2">
      <c r="C572" s="5"/>
    </row>
    <row r="573" spans="3:3" x14ac:dyDescent="0.2">
      <c r="C573" s="5"/>
    </row>
    <row r="574" spans="3:3" x14ac:dyDescent="0.2">
      <c r="C574" s="5"/>
    </row>
    <row r="575" spans="3:3" x14ac:dyDescent="0.2">
      <c r="C575" s="5"/>
    </row>
    <row r="576" spans="3:3" x14ac:dyDescent="0.2">
      <c r="C576" s="5"/>
    </row>
    <row r="577" spans="3:3" x14ac:dyDescent="0.2">
      <c r="C577" s="5"/>
    </row>
    <row r="578" spans="3:3" x14ac:dyDescent="0.2">
      <c r="C578" s="5"/>
    </row>
    <row r="579" spans="3:3" x14ac:dyDescent="0.2">
      <c r="C579" s="5"/>
    </row>
    <row r="580" spans="3:3" x14ac:dyDescent="0.2">
      <c r="C580" s="5"/>
    </row>
    <row r="581" spans="3:3" x14ac:dyDescent="0.2">
      <c r="C581" s="5"/>
    </row>
    <row r="582" spans="3:3" x14ac:dyDescent="0.2">
      <c r="C582" s="5"/>
    </row>
    <row r="583" spans="3:3" x14ac:dyDescent="0.2">
      <c r="C583" s="5"/>
    </row>
    <row r="584" spans="3:3" x14ac:dyDescent="0.2">
      <c r="C584" s="5"/>
    </row>
    <row r="585" spans="3:3" x14ac:dyDescent="0.2">
      <c r="C585" s="5"/>
    </row>
    <row r="586" spans="3:3" x14ac:dyDescent="0.2">
      <c r="C586" s="5"/>
    </row>
    <row r="587" spans="3:3" x14ac:dyDescent="0.2">
      <c r="C587" s="5"/>
    </row>
    <row r="588" spans="3:3" x14ac:dyDescent="0.2">
      <c r="C588" s="5"/>
    </row>
    <row r="589" spans="3:3" x14ac:dyDescent="0.2">
      <c r="C589" s="5"/>
    </row>
    <row r="590" spans="3:3" x14ac:dyDescent="0.2">
      <c r="C590" s="5"/>
    </row>
    <row r="591" spans="3:3" x14ac:dyDescent="0.2">
      <c r="C591" s="5"/>
    </row>
    <row r="592" spans="3:3" x14ac:dyDescent="0.2">
      <c r="C592" s="5"/>
    </row>
    <row r="593" spans="3:3" x14ac:dyDescent="0.2">
      <c r="C593" s="5"/>
    </row>
    <row r="594" spans="3:3" x14ac:dyDescent="0.2">
      <c r="C594" s="5"/>
    </row>
    <row r="595" spans="3:3" x14ac:dyDescent="0.2">
      <c r="C595" s="5"/>
    </row>
    <row r="596" spans="3:3" x14ac:dyDescent="0.2">
      <c r="C596" s="5"/>
    </row>
    <row r="597" spans="3:3" x14ac:dyDescent="0.2">
      <c r="C597" s="5"/>
    </row>
    <row r="598" spans="3:3" x14ac:dyDescent="0.2">
      <c r="C598" s="5"/>
    </row>
    <row r="599" spans="3:3" x14ac:dyDescent="0.2">
      <c r="C599" s="5"/>
    </row>
    <row r="600" spans="3:3" x14ac:dyDescent="0.2">
      <c r="C600" s="5"/>
    </row>
    <row r="601" spans="3:3" x14ac:dyDescent="0.2">
      <c r="C601" s="5"/>
    </row>
    <row r="602" spans="3:3" x14ac:dyDescent="0.2">
      <c r="C602" s="5"/>
    </row>
    <row r="603" spans="3:3" x14ac:dyDescent="0.2">
      <c r="C603" s="5"/>
    </row>
    <row r="604" spans="3:3" x14ac:dyDescent="0.2">
      <c r="C604" s="5"/>
    </row>
    <row r="605" spans="3:3" x14ac:dyDescent="0.2">
      <c r="C605" s="5"/>
    </row>
    <row r="606" spans="3:3" x14ac:dyDescent="0.2">
      <c r="C606" s="5"/>
    </row>
    <row r="607" spans="3:3" x14ac:dyDescent="0.2">
      <c r="C607" s="5"/>
    </row>
    <row r="608" spans="3:3" x14ac:dyDescent="0.2">
      <c r="C608" s="5"/>
    </row>
    <row r="609" spans="3:3" x14ac:dyDescent="0.2">
      <c r="C609" s="5"/>
    </row>
    <row r="610" spans="3:3" x14ac:dyDescent="0.2">
      <c r="C610" s="5"/>
    </row>
    <row r="611" spans="3:3" x14ac:dyDescent="0.2">
      <c r="C611" s="5"/>
    </row>
    <row r="612" spans="3:3" x14ac:dyDescent="0.2">
      <c r="C612" s="5"/>
    </row>
    <row r="613" spans="3:3" x14ac:dyDescent="0.2">
      <c r="C613" s="5"/>
    </row>
    <row r="614" spans="3:3" x14ac:dyDescent="0.2">
      <c r="C614" s="5"/>
    </row>
    <row r="615" spans="3:3" x14ac:dyDescent="0.2">
      <c r="C615" s="5"/>
    </row>
    <row r="616" spans="3:3" x14ac:dyDescent="0.2">
      <c r="C616" s="5"/>
    </row>
    <row r="617" spans="3:3" x14ac:dyDescent="0.2">
      <c r="C617" s="5"/>
    </row>
    <row r="618" spans="3:3" x14ac:dyDescent="0.2">
      <c r="C618" s="5"/>
    </row>
    <row r="619" spans="3:3" x14ac:dyDescent="0.2">
      <c r="C619" s="5"/>
    </row>
    <row r="620" spans="3:3" x14ac:dyDescent="0.2">
      <c r="C620" s="5"/>
    </row>
    <row r="621" spans="3:3" x14ac:dyDescent="0.2">
      <c r="C621" s="5"/>
    </row>
    <row r="622" spans="3:3" x14ac:dyDescent="0.2">
      <c r="C622" s="5"/>
    </row>
    <row r="623" spans="3:3" x14ac:dyDescent="0.2">
      <c r="C623" s="5"/>
    </row>
    <row r="624" spans="3:3" x14ac:dyDescent="0.2">
      <c r="C624" s="5"/>
    </row>
    <row r="625" spans="3:3" x14ac:dyDescent="0.2">
      <c r="C625" s="5"/>
    </row>
    <row r="626" spans="3:3" x14ac:dyDescent="0.2">
      <c r="C626" s="5"/>
    </row>
    <row r="627" spans="3:3" x14ac:dyDescent="0.2">
      <c r="C627" s="5"/>
    </row>
    <row r="628" spans="3:3" x14ac:dyDescent="0.2">
      <c r="C628" s="5"/>
    </row>
    <row r="629" spans="3:3" x14ac:dyDescent="0.2">
      <c r="C629" s="5"/>
    </row>
    <row r="630" spans="3:3" x14ac:dyDescent="0.2">
      <c r="C630" s="5"/>
    </row>
    <row r="631" spans="3:3" x14ac:dyDescent="0.2">
      <c r="C631" s="5"/>
    </row>
    <row r="632" spans="3:3" x14ac:dyDescent="0.2">
      <c r="C632" s="5"/>
    </row>
    <row r="633" spans="3:3" x14ac:dyDescent="0.2">
      <c r="C633" s="5"/>
    </row>
    <row r="634" spans="3:3" x14ac:dyDescent="0.2">
      <c r="C634" s="5"/>
    </row>
    <row r="635" spans="3:3" x14ac:dyDescent="0.2">
      <c r="C635" s="5"/>
    </row>
    <row r="636" spans="3:3" x14ac:dyDescent="0.2">
      <c r="C636" s="5"/>
    </row>
    <row r="637" spans="3:3" x14ac:dyDescent="0.2">
      <c r="C637" s="5"/>
    </row>
    <row r="638" spans="3:3" x14ac:dyDescent="0.2">
      <c r="C638" s="5"/>
    </row>
    <row r="639" spans="3:3" x14ac:dyDescent="0.2">
      <c r="C639" s="5"/>
    </row>
    <row r="640" spans="3:3" x14ac:dyDescent="0.2">
      <c r="C640" s="5"/>
    </row>
    <row r="641" spans="3:3" x14ac:dyDescent="0.2">
      <c r="C641" s="5"/>
    </row>
    <row r="642" spans="3:3" x14ac:dyDescent="0.2">
      <c r="C642" s="5"/>
    </row>
    <row r="643" spans="3:3" x14ac:dyDescent="0.2">
      <c r="C643" s="5"/>
    </row>
    <row r="644" spans="3:3" x14ac:dyDescent="0.2">
      <c r="C644" s="5"/>
    </row>
    <row r="645" spans="3:3" x14ac:dyDescent="0.2">
      <c r="C645" s="5"/>
    </row>
    <row r="646" spans="3:3" x14ac:dyDescent="0.2">
      <c r="C646" s="5"/>
    </row>
    <row r="647" spans="3:3" x14ac:dyDescent="0.2">
      <c r="C647" s="5"/>
    </row>
    <row r="648" spans="3:3" x14ac:dyDescent="0.2">
      <c r="C648" s="5"/>
    </row>
    <row r="649" spans="3:3" x14ac:dyDescent="0.2">
      <c r="C649" s="5"/>
    </row>
    <row r="650" spans="3:3" x14ac:dyDescent="0.2">
      <c r="C650" s="5"/>
    </row>
    <row r="651" spans="3:3" x14ac:dyDescent="0.2">
      <c r="C651" s="5"/>
    </row>
    <row r="652" spans="3:3" x14ac:dyDescent="0.2">
      <c r="C652" s="5"/>
    </row>
    <row r="653" spans="3:3" x14ac:dyDescent="0.2">
      <c r="C653" s="5"/>
    </row>
    <row r="654" spans="3:3" x14ac:dyDescent="0.2">
      <c r="C654" s="5"/>
    </row>
    <row r="655" spans="3:3" x14ac:dyDescent="0.2">
      <c r="C655" s="5"/>
    </row>
    <row r="656" spans="3:3" x14ac:dyDescent="0.2">
      <c r="C656" s="5"/>
    </row>
    <row r="657" spans="3:3" x14ac:dyDescent="0.2">
      <c r="C657" s="5"/>
    </row>
    <row r="658" spans="3:3" x14ac:dyDescent="0.2">
      <c r="C658" s="5"/>
    </row>
    <row r="659" spans="3:3" x14ac:dyDescent="0.2">
      <c r="C659" s="5"/>
    </row>
    <row r="660" spans="3:3" x14ac:dyDescent="0.2">
      <c r="C660" s="5"/>
    </row>
    <row r="661" spans="3:3" x14ac:dyDescent="0.2">
      <c r="C661" s="5"/>
    </row>
    <row r="662" spans="3:3" x14ac:dyDescent="0.2">
      <c r="C662" s="5"/>
    </row>
    <row r="663" spans="3:3" x14ac:dyDescent="0.2">
      <c r="C663" s="5"/>
    </row>
    <row r="664" spans="3:3" x14ac:dyDescent="0.2">
      <c r="C664" s="5"/>
    </row>
    <row r="665" spans="3:3" x14ac:dyDescent="0.2">
      <c r="C665" s="5"/>
    </row>
    <row r="666" spans="3:3" x14ac:dyDescent="0.2">
      <c r="C666" s="5"/>
    </row>
    <row r="667" spans="3:3" x14ac:dyDescent="0.2">
      <c r="C667" s="5"/>
    </row>
    <row r="668" spans="3:3" x14ac:dyDescent="0.2">
      <c r="C668" s="5"/>
    </row>
    <row r="669" spans="3:3" x14ac:dyDescent="0.2">
      <c r="C669" s="5"/>
    </row>
    <row r="670" spans="3:3" x14ac:dyDescent="0.2">
      <c r="C670" s="5"/>
    </row>
    <row r="671" spans="3:3" x14ac:dyDescent="0.2">
      <c r="C671" s="5"/>
    </row>
    <row r="672" spans="3:3" x14ac:dyDescent="0.2">
      <c r="C672" s="5"/>
    </row>
    <row r="673" spans="3:3" x14ac:dyDescent="0.2">
      <c r="C673" s="5"/>
    </row>
    <row r="674" spans="3:3" x14ac:dyDescent="0.2">
      <c r="C674" s="5"/>
    </row>
    <row r="675" spans="3:3" x14ac:dyDescent="0.2">
      <c r="C675" s="5"/>
    </row>
    <row r="676" spans="3:3" x14ac:dyDescent="0.2">
      <c r="C676" s="5"/>
    </row>
    <row r="677" spans="3:3" x14ac:dyDescent="0.2">
      <c r="C677" s="5"/>
    </row>
    <row r="678" spans="3:3" x14ac:dyDescent="0.2">
      <c r="C678" s="5"/>
    </row>
    <row r="679" spans="3:3" x14ac:dyDescent="0.2">
      <c r="C679" s="5"/>
    </row>
    <row r="680" spans="3:3" x14ac:dyDescent="0.2">
      <c r="C680" s="5"/>
    </row>
    <row r="681" spans="3:3" x14ac:dyDescent="0.2">
      <c r="C681" s="5"/>
    </row>
    <row r="682" spans="3:3" x14ac:dyDescent="0.2">
      <c r="C682" s="5"/>
    </row>
    <row r="683" spans="3:3" x14ac:dyDescent="0.2">
      <c r="C683" s="5"/>
    </row>
    <row r="684" spans="3:3" x14ac:dyDescent="0.2">
      <c r="C684" s="5"/>
    </row>
    <row r="685" spans="3:3" x14ac:dyDescent="0.2">
      <c r="C685" s="5"/>
    </row>
    <row r="686" spans="3:3" x14ac:dyDescent="0.2">
      <c r="C686" s="5"/>
    </row>
    <row r="687" spans="3:3" x14ac:dyDescent="0.2">
      <c r="C687" s="5"/>
    </row>
    <row r="688" spans="3:3" x14ac:dyDescent="0.2">
      <c r="C688" s="5"/>
    </row>
    <row r="689" spans="3:3" x14ac:dyDescent="0.2">
      <c r="C689" s="5"/>
    </row>
    <row r="690" spans="3:3" x14ac:dyDescent="0.2">
      <c r="C690" s="5"/>
    </row>
    <row r="691" spans="3:3" x14ac:dyDescent="0.2">
      <c r="C691" s="5"/>
    </row>
    <row r="692" spans="3:3" x14ac:dyDescent="0.2">
      <c r="C692" s="5"/>
    </row>
    <row r="693" spans="3:3" x14ac:dyDescent="0.2">
      <c r="C693" s="5"/>
    </row>
    <row r="694" spans="3:3" x14ac:dyDescent="0.2">
      <c r="C694" s="5"/>
    </row>
    <row r="695" spans="3:3" x14ac:dyDescent="0.2">
      <c r="C695" s="5"/>
    </row>
    <row r="696" spans="3:3" x14ac:dyDescent="0.2">
      <c r="C696" s="5"/>
    </row>
    <row r="697" spans="3:3" x14ac:dyDescent="0.2">
      <c r="C697" s="5"/>
    </row>
    <row r="698" spans="3:3" x14ac:dyDescent="0.2">
      <c r="C698" s="5"/>
    </row>
    <row r="699" spans="3:3" x14ac:dyDescent="0.2">
      <c r="C699" s="5"/>
    </row>
    <row r="700" spans="3:3" x14ac:dyDescent="0.2">
      <c r="C700" s="5"/>
    </row>
    <row r="701" spans="3:3" x14ac:dyDescent="0.2">
      <c r="C701" s="5"/>
    </row>
    <row r="702" spans="3:3" x14ac:dyDescent="0.2">
      <c r="C702" s="5"/>
    </row>
    <row r="703" spans="3:3" x14ac:dyDescent="0.2">
      <c r="C703" s="5"/>
    </row>
    <row r="704" spans="3:3" x14ac:dyDescent="0.2">
      <c r="C704" s="5"/>
    </row>
    <row r="705" spans="3:3" x14ac:dyDescent="0.2">
      <c r="C705" s="5"/>
    </row>
    <row r="706" spans="3:3" x14ac:dyDescent="0.2">
      <c r="C706" s="5"/>
    </row>
    <row r="707" spans="3:3" x14ac:dyDescent="0.2">
      <c r="C707" s="5"/>
    </row>
    <row r="708" spans="3:3" x14ac:dyDescent="0.2">
      <c r="C708" s="5"/>
    </row>
    <row r="709" spans="3:3" x14ac:dyDescent="0.2">
      <c r="C709" s="5"/>
    </row>
    <row r="710" spans="3:3" x14ac:dyDescent="0.2">
      <c r="C710" s="5"/>
    </row>
    <row r="711" spans="3:3" x14ac:dyDescent="0.2">
      <c r="C711" s="5"/>
    </row>
    <row r="712" spans="3:3" x14ac:dyDescent="0.2">
      <c r="C712" s="5"/>
    </row>
    <row r="713" spans="3:3" x14ac:dyDescent="0.2">
      <c r="C713" s="5"/>
    </row>
    <row r="714" spans="3:3" x14ac:dyDescent="0.2">
      <c r="C714" s="5"/>
    </row>
    <row r="715" spans="3:3" x14ac:dyDescent="0.2">
      <c r="C715" s="5"/>
    </row>
    <row r="716" spans="3:3" x14ac:dyDescent="0.2">
      <c r="C716" s="5"/>
    </row>
    <row r="717" spans="3:3" x14ac:dyDescent="0.2">
      <c r="C717" s="5"/>
    </row>
    <row r="718" spans="3:3" x14ac:dyDescent="0.2">
      <c r="C718" s="5"/>
    </row>
    <row r="719" spans="3:3" x14ac:dyDescent="0.2">
      <c r="C719" s="5"/>
    </row>
    <row r="720" spans="3:3" x14ac:dyDescent="0.2">
      <c r="C720" s="5"/>
    </row>
    <row r="721" spans="3:3" x14ac:dyDescent="0.2">
      <c r="C721" s="5"/>
    </row>
    <row r="722" spans="3:3" x14ac:dyDescent="0.2">
      <c r="C722" s="5"/>
    </row>
    <row r="723" spans="3:3" x14ac:dyDescent="0.2">
      <c r="C723" s="5"/>
    </row>
    <row r="724" spans="3:3" x14ac:dyDescent="0.2">
      <c r="C724" s="5"/>
    </row>
    <row r="725" spans="3:3" x14ac:dyDescent="0.2">
      <c r="C725" s="5"/>
    </row>
    <row r="726" spans="3:3" x14ac:dyDescent="0.2">
      <c r="C726" s="5"/>
    </row>
    <row r="727" spans="3:3" x14ac:dyDescent="0.2">
      <c r="C727" s="5"/>
    </row>
    <row r="728" spans="3:3" x14ac:dyDescent="0.2">
      <c r="C728" s="5"/>
    </row>
    <row r="729" spans="3:3" x14ac:dyDescent="0.2">
      <c r="C729" s="5"/>
    </row>
    <row r="730" spans="3:3" x14ac:dyDescent="0.2">
      <c r="C730" s="5"/>
    </row>
    <row r="731" spans="3:3" x14ac:dyDescent="0.2">
      <c r="C731" s="5"/>
    </row>
    <row r="732" spans="3:3" x14ac:dyDescent="0.2">
      <c r="C732" s="5"/>
    </row>
    <row r="733" spans="3:3" x14ac:dyDescent="0.2">
      <c r="C733" s="5"/>
    </row>
    <row r="734" spans="3:3" x14ac:dyDescent="0.2">
      <c r="C734" s="5"/>
    </row>
    <row r="735" spans="3:3" x14ac:dyDescent="0.2">
      <c r="C735" s="5"/>
    </row>
    <row r="736" spans="3:3" x14ac:dyDescent="0.2">
      <c r="C736" s="5"/>
    </row>
    <row r="737" spans="3:3" x14ac:dyDescent="0.2">
      <c r="C737" s="5"/>
    </row>
    <row r="738" spans="3:3" x14ac:dyDescent="0.2">
      <c r="C738" s="5"/>
    </row>
    <row r="739" spans="3:3" x14ac:dyDescent="0.2">
      <c r="C739" s="5"/>
    </row>
    <row r="740" spans="3:3" x14ac:dyDescent="0.2">
      <c r="C740" s="5"/>
    </row>
    <row r="741" spans="3:3" x14ac:dyDescent="0.2">
      <c r="C741" s="5"/>
    </row>
    <row r="742" spans="3:3" x14ac:dyDescent="0.2">
      <c r="C742" s="5"/>
    </row>
    <row r="743" spans="3:3" x14ac:dyDescent="0.2">
      <c r="C743" s="5"/>
    </row>
    <row r="744" spans="3:3" x14ac:dyDescent="0.2">
      <c r="C744" s="5"/>
    </row>
    <row r="745" spans="3:3" x14ac:dyDescent="0.2">
      <c r="C745" s="5"/>
    </row>
    <row r="746" spans="3:3" x14ac:dyDescent="0.2">
      <c r="C746" s="5"/>
    </row>
    <row r="747" spans="3:3" x14ac:dyDescent="0.2">
      <c r="C747" s="5"/>
    </row>
    <row r="748" spans="3:3" x14ac:dyDescent="0.2">
      <c r="C748" s="5"/>
    </row>
    <row r="749" spans="3:3" x14ac:dyDescent="0.2">
      <c r="C749" s="5"/>
    </row>
    <row r="750" spans="3:3" x14ac:dyDescent="0.2">
      <c r="C750" s="5"/>
    </row>
    <row r="751" spans="3:3" x14ac:dyDescent="0.2">
      <c r="C751" s="5"/>
    </row>
    <row r="752" spans="3:3" x14ac:dyDescent="0.2">
      <c r="C752" s="5"/>
    </row>
    <row r="753" spans="3:3" x14ac:dyDescent="0.2">
      <c r="C753" s="5"/>
    </row>
    <row r="754" spans="3:3" x14ac:dyDescent="0.2">
      <c r="C754" s="5"/>
    </row>
    <row r="755" spans="3:3" x14ac:dyDescent="0.2">
      <c r="C755" s="5"/>
    </row>
    <row r="756" spans="3:3" x14ac:dyDescent="0.2">
      <c r="C756" s="5"/>
    </row>
    <row r="757" spans="3:3" x14ac:dyDescent="0.2">
      <c r="C757" s="5"/>
    </row>
    <row r="758" spans="3:3" x14ac:dyDescent="0.2">
      <c r="C758" s="5"/>
    </row>
    <row r="759" spans="3:3" x14ac:dyDescent="0.2">
      <c r="C759" s="5"/>
    </row>
    <row r="760" spans="3:3" x14ac:dyDescent="0.2">
      <c r="C760" s="5"/>
    </row>
    <row r="761" spans="3:3" x14ac:dyDescent="0.2">
      <c r="C761" s="5"/>
    </row>
    <row r="762" spans="3:3" x14ac:dyDescent="0.2">
      <c r="C762" s="5"/>
    </row>
    <row r="763" spans="3:3" x14ac:dyDescent="0.2">
      <c r="C763" s="5"/>
    </row>
    <row r="764" spans="3:3" x14ac:dyDescent="0.2">
      <c r="C764" s="5"/>
    </row>
    <row r="765" spans="3:3" x14ac:dyDescent="0.2">
      <c r="C765" s="5"/>
    </row>
    <row r="766" spans="3:3" x14ac:dyDescent="0.2">
      <c r="C766" s="5"/>
    </row>
    <row r="767" spans="3:3" x14ac:dyDescent="0.2">
      <c r="C767" s="5"/>
    </row>
    <row r="768" spans="3:3" x14ac:dyDescent="0.2">
      <c r="C768" s="5"/>
    </row>
    <row r="769" spans="3:3" x14ac:dyDescent="0.2">
      <c r="C769" s="5"/>
    </row>
    <row r="770" spans="3:3" x14ac:dyDescent="0.2">
      <c r="C770" s="5"/>
    </row>
    <row r="771" spans="3:3" x14ac:dyDescent="0.2">
      <c r="C771" s="5"/>
    </row>
    <row r="772" spans="3:3" x14ac:dyDescent="0.2">
      <c r="C772" s="5"/>
    </row>
    <row r="773" spans="3:3" x14ac:dyDescent="0.2">
      <c r="C773" s="5"/>
    </row>
    <row r="774" spans="3:3" x14ac:dyDescent="0.2">
      <c r="C774" s="5"/>
    </row>
    <row r="775" spans="3:3" x14ac:dyDescent="0.2">
      <c r="C775" s="5"/>
    </row>
    <row r="776" spans="3:3" x14ac:dyDescent="0.2">
      <c r="C776" s="5"/>
    </row>
    <row r="777" spans="3:3" x14ac:dyDescent="0.2">
      <c r="C777" s="5"/>
    </row>
    <row r="778" spans="3:3" x14ac:dyDescent="0.2">
      <c r="C778" s="5"/>
    </row>
    <row r="779" spans="3:3" x14ac:dyDescent="0.2">
      <c r="C779" s="5"/>
    </row>
    <row r="780" spans="3:3" x14ac:dyDescent="0.2">
      <c r="C780" s="5"/>
    </row>
    <row r="781" spans="3:3" x14ac:dyDescent="0.2">
      <c r="C781" s="5"/>
    </row>
    <row r="782" spans="3:3" x14ac:dyDescent="0.2">
      <c r="C782" s="5"/>
    </row>
    <row r="783" spans="3:3" x14ac:dyDescent="0.2">
      <c r="C783" s="5"/>
    </row>
    <row r="784" spans="3:3" x14ac:dyDescent="0.2">
      <c r="C784" s="5"/>
    </row>
    <row r="785" spans="3:3" x14ac:dyDescent="0.2">
      <c r="C785" s="5"/>
    </row>
    <row r="786" spans="3:3" x14ac:dyDescent="0.2">
      <c r="C786" s="5"/>
    </row>
    <row r="787" spans="3:3" x14ac:dyDescent="0.2">
      <c r="C787" s="5"/>
    </row>
    <row r="788" spans="3:3" x14ac:dyDescent="0.2">
      <c r="C788" s="5"/>
    </row>
    <row r="789" spans="3:3" x14ac:dyDescent="0.2">
      <c r="C789" s="5"/>
    </row>
    <row r="790" spans="3:3" x14ac:dyDescent="0.2">
      <c r="C790" s="5"/>
    </row>
    <row r="791" spans="3:3" x14ac:dyDescent="0.2">
      <c r="C791" s="5"/>
    </row>
    <row r="792" spans="3:3" x14ac:dyDescent="0.2">
      <c r="C792" s="5"/>
    </row>
    <row r="793" spans="3:3" x14ac:dyDescent="0.2">
      <c r="C793" s="5"/>
    </row>
    <row r="794" spans="3:3" x14ac:dyDescent="0.2">
      <c r="C794" s="5"/>
    </row>
    <row r="795" spans="3:3" x14ac:dyDescent="0.2">
      <c r="C795" s="5"/>
    </row>
    <row r="796" spans="3:3" x14ac:dyDescent="0.2">
      <c r="C796" s="5"/>
    </row>
    <row r="797" spans="3:3" x14ac:dyDescent="0.2">
      <c r="C797" s="5"/>
    </row>
    <row r="798" spans="3:3" x14ac:dyDescent="0.2">
      <c r="C798" s="5"/>
    </row>
    <row r="799" spans="3:3" x14ac:dyDescent="0.2">
      <c r="C799" s="5"/>
    </row>
    <row r="800" spans="3:3" x14ac:dyDescent="0.2">
      <c r="C800" s="5"/>
    </row>
    <row r="801" spans="3:3" x14ac:dyDescent="0.2">
      <c r="C801" s="5"/>
    </row>
    <row r="802" spans="3:3" x14ac:dyDescent="0.2">
      <c r="C802" s="5"/>
    </row>
    <row r="803" spans="3:3" x14ac:dyDescent="0.2">
      <c r="C803" s="5"/>
    </row>
    <row r="804" spans="3:3" x14ac:dyDescent="0.2">
      <c r="C804" s="5"/>
    </row>
    <row r="805" spans="3:3" x14ac:dyDescent="0.2">
      <c r="C805" s="5"/>
    </row>
    <row r="806" spans="3:3" x14ac:dyDescent="0.2">
      <c r="C806" s="5"/>
    </row>
    <row r="807" spans="3:3" x14ac:dyDescent="0.2">
      <c r="C807" s="5"/>
    </row>
    <row r="808" spans="3:3" x14ac:dyDescent="0.2">
      <c r="C808" s="5"/>
    </row>
    <row r="809" spans="3:3" x14ac:dyDescent="0.2">
      <c r="C809" s="5"/>
    </row>
    <row r="810" spans="3:3" x14ac:dyDescent="0.2">
      <c r="C810" s="5"/>
    </row>
    <row r="811" spans="3:3" x14ac:dyDescent="0.2">
      <c r="C811" s="5"/>
    </row>
    <row r="812" spans="3:3" x14ac:dyDescent="0.2">
      <c r="C812" s="5"/>
    </row>
    <row r="813" spans="3:3" x14ac:dyDescent="0.2">
      <c r="C813" s="5"/>
    </row>
    <row r="814" spans="3:3" x14ac:dyDescent="0.2">
      <c r="C814" s="5"/>
    </row>
    <row r="815" spans="3:3" x14ac:dyDescent="0.2">
      <c r="C815" s="5"/>
    </row>
    <row r="816" spans="3:3" x14ac:dyDescent="0.2">
      <c r="C816" s="5"/>
    </row>
    <row r="817" spans="3:3" x14ac:dyDescent="0.2">
      <c r="C817" s="5"/>
    </row>
    <row r="818" spans="3:3" x14ac:dyDescent="0.2">
      <c r="C818" s="5"/>
    </row>
    <row r="819" spans="3:3" x14ac:dyDescent="0.2">
      <c r="C819" s="5"/>
    </row>
    <row r="820" spans="3:3" x14ac:dyDescent="0.2">
      <c r="C820" s="5"/>
    </row>
    <row r="821" spans="3:3" x14ac:dyDescent="0.2">
      <c r="C821" s="5"/>
    </row>
    <row r="822" spans="3:3" x14ac:dyDescent="0.2">
      <c r="C822" s="5"/>
    </row>
    <row r="823" spans="3:3" x14ac:dyDescent="0.2">
      <c r="C823" s="5"/>
    </row>
    <row r="824" spans="3:3" x14ac:dyDescent="0.2">
      <c r="C824" s="5"/>
    </row>
    <row r="825" spans="3:3" x14ac:dyDescent="0.2">
      <c r="C825" s="5"/>
    </row>
    <row r="826" spans="3:3" x14ac:dyDescent="0.2">
      <c r="C826" s="5"/>
    </row>
    <row r="827" spans="3:3" x14ac:dyDescent="0.2">
      <c r="C827" s="5"/>
    </row>
    <row r="828" spans="3:3" x14ac:dyDescent="0.2">
      <c r="C828" s="5"/>
    </row>
    <row r="829" spans="3:3" x14ac:dyDescent="0.2">
      <c r="C829" s="5"/>
    </row>
    <row r="830" spans="3:3" x14ac:dyDescent="0.2">
      <c r="C830" s="5"/>
    </row>
    <row r="831" spans="3:3" x14ac:dyDescent="0.2">
      <c r="C831" s="5"/>
    </row>
    <row r="832" spans="3:3" x14ac:dyDescent="0.2">
      <c r="C832" s="5"/>
    </row>
    <row r="833" spans="3:3" x14ac:dyDescent="0.2">
      <c r="C833" s="5"/>
    </row>
    <row r="834" spans="3:3" x14ac:dyDescent="0.2">
      <c r="C834" s="5"/>
    </row>
    <row r="835" spans="3:3" x14ac:dyDescent="0.2">
      <c r="C835" s="5"/>
    </row>
    <row r="836" spans="3:3" x14ac:dyDescent="0.2">
      <c r="C836" s="5"/>
    </row>
    <row r="837" spans="3:3" x14ac:dyDescent="0.2">
      <c r="C837" s="5"/>
    </row>
    <row r="838" spans="3:3" x14ac:dyDescent="0.2">
      <c r="C838" s="5"/>
    </row>
    <row r="839" spans="3:3" x14ac:dyDescent="0.2">
      <c r="C839" s="5"/>
    </row>
    <row r="840" spans="3:3" x14ac:dyDescent="0.2">
      <c r="C840" s="5"/>
    </row>
    <row r="841" spans="3:3" x14ac:dyDescent="0.2">
      <c r="C841" s="5"/>
    </row>
    <row r="842" spans="3:3" x14ac:dyDescent="0.2">
      <c r="C842" s="5"/>
    </row>
    <row r="843" spans="3:3" x14ac:dyDescent="0.2">
      <c r="C843" s="5"/>
    </row>
    <row r="844" spans="3:3" x14ac:dyDescent="0.2">
      <c r="C844" s="5"/>
    </row>
    <row r="845" spans="3:3" x14ac:dyDescent="0.2">
      <c r="C845" s="5"/>
    </row>
    <row r="846" spans="3:3" x14ac:dyDescent="0.2">
      <c r="C846" s="5"/>
    </row>
    <row r="847" spans="3:3" x14ac:dyDescent="0.2">
      <c r="C847" s="5"/>
    </row>
    <row r="848" spans="3:3" x14ac:dyDescent="0.2">
      <c r="C848" s="5"/>
    </row>
    <row r="849" spans="3:3" x14ac:dyDescent="0.2">
      <c r="C849" s="5"/>
    </row>
    <row r="850" spans="3:3" x14ac:dyDescent="0.2">
      <c r="C850" s="5"/>
    </row>
    <row r="851" spans="3:3" x14ac:dyDescent="0.2">
      <c r="C851" s="5"/>
    </row>
    <row r="852" spans="3:3" x14ac:dyDescent="0.2">
      <c r="C852" s="5"/>
    </row>
    <row r="853" spans="3:3" x14ac:dyDescent="0.2">
      <c r="C853" s="5"/>
    </row>
    <row r="854" spans="3:3" x14ac:dyDescent="0.2">
      <c r="C854" s="5"/>
    </row>
    <row r="855" spans="3:3" x14ac:dyDescent="0.2">
      <c r="C855" s="5"/>
    </row>
    <row r="856" spans="3:3" x14ac:dyDescent="0.2">
      <c r="C856" s="5"/>
    </row>
    <row r="857" spans="3:3" x14ac:dyDescent="0.2">
      <c r="C857" s="5"/>
    </row>
    <row r="858" spans="3:3" x14ac:dyDescent="0.2">
      <c r="C858" s="5"/>
    </row>
    <row r="859" spans="3:3" x14ac:dyDescent="0.2">
      <c r="C859" s="5"/>
    </row>
    <row r="860" spans="3:3" x14ac:dyDescent="0.2">
      <c r="C860" s="5"/>
    </row>
    <row r="861" spans="3:3" x14ac:dyDescent="0.2">
      <c r="C861" s="5"/>
    </row>
    <row r="862" spans="3:3" x14ac:dyDescent="0.2">
      <c r="C862" s="5"/>
    </row>
    <row r="863" spans="3:3" x14ac:dyDescent="0.2">
      <c r="C863" s="5"/>
    </row>
    <row r="864" spans="3:3" x14ac:dyDescent="0.2">
      <c r="C864" s="5"/>
    </row>
    <row r="865" spans="3:3" x14ac:dyDescent="0.2">
      <c r="C865" s="5"/>
    </row>
    <row r="866" spans="3:3" x14ac:dyDescent="0.2">
      <c r="C866" s="5"/>
    </row>
    <row r="867" spans="3:3" x14ac:dyDescent="0.2">
      <c r="C867" s="5"/>
    </row>
    <row r="868" spans="3:3" x14ac:dyDescent="0.2">
      <c r="C868" s="5"/>
    </row>
    <row r="869" spans="3:3" x14ac:dyDescent="0.2">
      <c r="C869" s="5"/>
    </row>
    <row r="870" spans="3:3" x14ac:dyDescent="0.2">
      <c r="C870" s="5"/>
    </row>
    <row r="871" spans="3:3" x14ac:dyDescent="0.2">
      <c r="C871" s="5"/>
    </row>
    <row r="872" spans="3:3" x14ac:dyDescent="0.2">
      <c r="C872" s="5"/>
    </row>
    <row r="873" spans="3:3" x14ac:dyDescent="0.2">
      <c r="C873" s="5"/>
    </row>
    <row r="874" spans="3:3" x14ac:dyDescent="0.2">
      <c r="C874" s="5"/>
    </row>
    <row r="875" spans="3:3" x14ac:dyDescent="0.2">
      <c r="C875" s="5"/>
    </row>
    <row r="876" spans="3:3" x14ac:dyDescent="0.2">
      <c r="C876" s="5"/>
    </row>
    <row r="877" spans="3:3" x14ac:dyDescent="0.2">
      <c r="C877" s="5"/>
    </row>
    <row r="878" spans="3:3" x14ac:dyDescent="0.2">
      <c r="C878" s="5"/>
    </row>
    <row r="879" spans="3:3" x14ac:dyDescent="0.2">
      <c r="C879" s="5"/>
    </row>
    <row r="880" spans="3:3" x14ac:dyDescent="0.2">
      <c r="C880" s="5"/>
    </row>
    <row r="881" spans="3:3" x14ac:dyDescent="0.2">
      <c r="C881" s="5"/>
    </row>
    <row r="882" spans="3:3" x14ac:dyDescent="0.2">
      <c r="C882" s="5"/>
    </row>
    <row r="883" spans="3:3" x14ac:dyDescent="0.2">
      <c r="C883" s="5"/>
    </row>
    <row r="884" spans="3:3" x14ac:dyDescent="0.2">
      <c r="C884" s="5"/>
    </row>
    <row r="885" spans="3:3" x14ac:dyDescent="0.2">
      <c r="C885" s="5"/>
    </row>
    <row r="886" spans="3:3" x14ac:dyDescent="0.2">
      <c r="C886" s="5"/>
    </row>
    <row r="887" spans="3:3" x14ac:dyDescent="0.2">
      <c r="C887" s="5"/>
    </row>
    <row r="888" spans="3:3" x14ac:dyDescent="0.2">
      <c r="C888" s="5"/>
    </row>
    <row r="889" spans="3:3" x14ac:dyDescent="0.2">
      <c r="C889" s="5"/>
    </row>
    <row r="890" spans="3:3" x14ac:dyDescent="0.2">
      <c r="C890" s="5"/>
    </row>
    <row r="891" spans="3:3" x14ac:dyDescent="0.2">
      <c r="C891" s="5"/>
    </row>
    <row r="892" spans="3:3" x14ac:dyDescent="0.2">
      <c r="C892" s="5"/>
    </row>
    <row r="893" spans="3:3" x14ac:dyDescent="0.2">
      <c r="C893" s="5"/>
    </row>
    <row r="894" spans="3:3" x14ac:dyDescent="0.2">
      <c r="C894" s="5"/>
    </row>
    <row r="895" spans="3:3" x14ac:dyDescent="0.2">
      <c r="C895" s="5"/>
    </row>
    <row r="896" spans="3:3" x14ac:dyDescent="0.2">
      <c r="C896" s="5"/>
    </row>
    <row r="897" spans="3:3" x14ac:dyDescent="0.2">
      <c r="C897" s="5"/>
    </row>
    <row r="898" spans="3:3" x14ac:dyDescent="0.2">
      <c r="C898" s="5"/>
    </row>
    <row r="899" spans="3:3" x14ac:dyDescent="0.2">
      <c r="C899" s="5"/>
    </row>
    <row r="900" spans="3:3" x14ac:dyDescent="0.2">
      <c r="C900" s="5"/>
    </row>
    <row r="901" spans="3:3" x14ac:dyDescent="0.2">
      <c r="C901" s="5"/>
    </row>
    <row r="902" spans="3:3" x14ac:dyDescent="0.2">
      <c r="C902" s="5"/>
    </row>
    <row r="903" spans="3:3" x14ac:dyDescent="0.2">
      <c r="C903" s="5"/>
    </row>
    <row r="904" spans="3:3" x14ac:dyDescent="0.2">
      <c r="C904" s="5"/>
    </row>
    <row r="905" spans="3:3" x14ac:dyDescent="0.2">
      <c r="C905" s="5"/>
    </row>
    <row r="906" spans="3:3" x14ac:dyDescent="0.2">
      <c r="C906" s="5"/>
    </row>
    <row r="907" spans="3:3" x14ac:dyDescent="0.2">
      <c r="C907" s="5"/>
    </row>
    <row r="908" spans="3:3" x14ac:dyDescent="0.2">
      <c r="C908" s="5"/>
    </row>
    <row r="909" spans="3:3" x14ac:dyDescent="0.2">
      <c r="C909" s="5"/>
    </row>
    <row r="910" spans="3:3" x14ac:dyDescent="0.2">
      <c r="C910" s="5"/>
    </row>
    <row r="911" spans="3:3" x14ac:dyDescent="0.2">
      <c r="C911" s="5"/>
    </row>
    <row r="912" spans="3:3" x14ac:dyDescent="0.2">
      <c r="C912" s="5"/>
    </row>
    <row r="913" spans="3:3" x14ac:dyDescent="0.2">
      <c r="C913" s="5"/>
    </row>
    <row r="914" spans="3:3" x14ac:dyDescent="0.2">
      <c r="C914" s="5"/>
    </row>
    <row r="915" spans="3:3" x14ac:dyDescent="0.2">
      <c r="C915" s="5"/>
    </row>
    <row r="916" spans="3:3" x14ac:dyDescent="0.2">
      <c r="C916" s="5"/>
    </row>
    <row r="917" spans="3:3" x14ac:dyDescent="0.2">
      <c r="C917" s="5"/>
    </row>
    <row r="918" spans="3:3" x14ac:dyDescent="0.2">
      <c r="C918" s="5"/>
    </row>
    <row r="919" spans="3:3" x14ac:dyDescent="0.2">
      <c r="C919" s="5"/>
    </row>
    <row r="920" spans="3:3" x14ac:dyDescent="0.2">
      <c r="C920" s="5"/>
    </row>
    <row r="921" spans="3:3" x14ac:dyDescent="0.2">
      <c r="C921" s="5"/>
    </row>
    <row r="922" spans="3:3" x14ac:dyDescent="0.2">
      <c r="C922" s="5"/>
    </row>
    <row r="923" spans="3:3" x14ac:dyDescent="0.2">
      <c r="C923" s="5"/>
    </row>
    <row r="924" spans="3:3" x14ac:dyDescent="0.2">
      <c r="C924" s="5"/>
    </row>
    <row r="925" spans="3:3" x14ac:dyDescent="0.2">
      <c r="C925" s="5"/>
    </row>
    <row r="926" spans="3:3" x14ac:dyDescent="0.2">
      <c r="C926" s="5"/>
    </row>
    <row r="927" spans="3:3" x14ac:dyDescent="0.2">
      <c r="C927" s="5"/>
    </row>
    <row r="928" spans="3:3" x14ac:dyDescent="0.2">
      <c r="C928" s="5"/>
    </row>
    <row r="929" spans="3:3" x14ac:dyDescent="0.2">
      <c r="C929" s="5"/>
    </row>
    <row r="930" spans="3:3" x14ac:dyDescent="0.2">
      <c r="C930" s="5"/>
    </row>
    <row r="931" spans="3:3" x14ac:dyDescent="0.2">
      <c r="C931" s="5"/>
    </row>
    <row r="932" spans="3:3" x14ac:dyDescent="0.2">
      <c r="C932" s="5"/>
    </row>
    <row r="933" spans="3:3" x14ac:dyDescent="0.2">
      <c r="C933" s="5"/>
    </row>
    <row r="934" spans="3:3" x14ac:dyDescent="0.2">
      <c r="C934" s="5"/>
    </row>
    <row r="935" spans="3:3" x14ac:dyDescent="0.2">
      <c r="C935" s="5"/>
    </row>
    <row r="936" spans="3:3" x14ac:dyDescent="0.2">
      <c r="C936" s="5"/>
    </row>
    <row r="937" spans="3:3" x14ac:dyDescent="0.2">
      <c r="C937" s="5"/>
    </row>
    <row r="938" spans="3:3" x14ac:dyDescent="0.2">
      <c r="C938" s="5"/>
    </row>
    <row r="939" spans="3:3" x14ac:dyDescent="0.2">
      <c r="C939" s="5"/>
    </row>
    <row r="940" spans="3:3" x14ac:dyDescent="0.2">
      <c r="C940" s="5"/>
    </row>
    <row r="941" spans="3:3" x14ac:dyDescent="0.2">
      <c r="C941" s="5"/>
    </row>
    <row r="942" spans="3:3" x14ac:dyDescent="0.2">
      <c r="C942" s="5"/>
    </row>
    <row r="943" spans="3:3" x14ac:dyDescent="0.2">
      <c r="C943" s="5"/>
    </row>
    <row r="944" spans="3:3" x14ac:dyDescent="0.2">
      <c r="C944" s="5"/>
    </row>
    <row r="945" spans="3:3" x14ac:dyDescent="0.2">
      <c r="C945" s="5"/>
    </row>
    <row r="946" spans="3:3" x14ac:dyDescent="0.2">
      <c r="C946" s="5"/>
    </row>
    <row r="947" spans="3:3" x14ac:dyDescent="0.2">
      <c r="C947" s="5"/>
    </row>
    <row r="948" spans="3:3" x14ac:dyDescent="0.2">
      <c r="C948" s="5"/>
    </row>
    <row r="949" spans="3:3" x14ac:dyDescent="0.2">
      <c r="C949" s="5"/>
    </row>
    <row r="950" spans="3:3" x14ac:dyDescent="0.2">
      <c r="C950" s="5"/>
    </row>
    <row r="951" spans="3:3" x14ac:dyDescent="0.2">
      <c r="C951" s="5"/>
    </row>
    <row r="952" spans="3:3" x14ac:dyDescent="0.2">
      <c r="C952" s="5"/>
    </row>
    <row r="953" spans="3:3" x14ac:dyDescent="0.2">
      <c r="C953" s="5"/>
    </row>
    <row r="954" spans="3:3" x14ac:dyDescent="0.2">
      <c r="C954" s="5"/>
    </row>
    <row r="955" spans="3:3" x14ac:dyDescent="0.2">
      <c r="C955" s="5"/>
    </row>
    <row r="956" spans="3:3" x14ac:dyDescent="0.2">
      <c r="C956" s="5"/>
    </row>
    <row r="957" spans="3:3" x14ac:dyDescent="0.2">
      <c r="C957" s="5"/>
    </row>
    <row r="958" spans="3:3" x14ac:dyDescent="0.2">
      <c r="C958" s="5"/>
    </row>
    <row r="959" spans="3:3" x14ac:dyDescent="0.2">
      <c r="C959" s="5"/>
    </row>
    <row r="960" spans="3:3" x14ac:dyDescent="0.2">
      <c r="C960" s="5"/>
    </row>
    <row r="961" spans="3:3" x14ac:dyDescent="0.2">
      <c r="C961" s="5"/>
    </row>
    <row r="962" spans="3:3" x14ac:dyDescent="0.2">
      <c r="C962" s="5"/>
    </row>
    <row r="963" spans="3:3" x14ac:dyDescent="0.2">
      <c r="C963" s="5"/>
    </row>
    <row r="964" spans="3:3" x14ac:dyDescent="0.2">
      <c r="C964" s="5"/>
    </row>
    <row r="965" spans="3:3" x14ac:dyDescent="0.2">
      <c r="C965" s="5"/>
    </row>
    <row r="966" spans="3:3" x14ac:dyDescent="0.2">
      <c r="C966" s="5"/>
    </row>
    <row r="967" spans="3:3" x14ac:dyDescent="0.2">
      <c r="C967" s="5"/>
    </row>
    <row r="968" spans="3:3" x14ac:dyDescent="0.2">
      <c r="C968" s="5"/>
    </row>
    <row r="969" spans="3:3" x14ac:dyDescent="0.2">
      <c r="C969" s="5"/>
    </row>
    <row r="970" spans="3:3" x14ac:dyDescent="0.2">
      <c r="C970" s="5"/>
    </row>
    <row r="971" spans="3:3" x14ac:dyDescent="0.2">
      <c r="C971" s="5"/>
    </row>
    <row r="972" spans="3:3" x14ac:dyDescent="0.2">
      <c r="C972" s="5"/>
    </row>
    <row r="973" spans="3:3" x14ac:dyDescent="0.2">
      <c r="C973" s="5"/>
    </row>
    <row r="974" spans="3:3" x14ac:dyDescent="0.2">
      <c r="C974" s="5"/>
    </row>
    <row r="975" spans="3:3" x14ac:dyDescent="0.2">
      <c r="C975" s="5"/>
    </row>
    <row r="976" spans="3:3" x14ac:dyDescent="0.2">
      <c r="C976" s="5"/>
    </row>
    <row r="977" spans="3:3" x14ac:dyDescent="0.2">
      <c r="C977" s="5"/>
    </row>
    <row r="978" spans="3:3" x14ac:dyDescent="0.2">
      <c r="C978" s="5"/>
    </row>
    <row r="979" spans="3:3" x14ac:dyDescent="0.2">
      <c r="C979" s="5"/>
    </row>
    <row r="980" spans="3:3" x14ac:dyDescent="0.2">
      <c r="C980" s="5"/>
    </row>
    <row r="981" spans="3:3" x14ac:dyDescent="0.2">
      <c r="C981" s="5"/>
    </row>
    <row r="982" spans="3:3" x14ac:dyDescent="0.2">
      <c r="C982" s="5"/>
    </row>
    <row r="983" spans="3:3" x14ac:dyDescent="0.2">
      <c r="C983" s="5"/>
    </row>
    <row r="984" spans="3:3" x14ac:dyDescent="0.2">
      <c r="C984" s="5"/>
    </row>
    <row r="985" spans="3:3" x14ac:dyDescent="0.2">
      <c r="C985" s="5"/>
    </row>
    <row r="986" spans="3:3" x14ac:dyDescent="0.2">
      <c r="C986" s="5"/>
    </row>
    <row r="987" spans="3:3" x14ac:dyDescent="0.2">
      <c r="C987" s="5"/>
    </row>
    <row r="988" spans="3:3" x14ac:dyDescent="0.2">
      <c r="C988" s="5"/>
    </row>
    <row r="989" spans="3:3" x14ac:dyDescent="0.2">
      <c r="C989" s="5"/>
    </row>
    <row r="990" spans="3:3" x14ac:dyDescent="0.2">
      <c r="C990" s="5"/>
    </row>
    <row r="991" spans="3:3" x14ac:dyDescent="0.2">
      <c r="C991" s="5"/>
    </row>
    <row r="992" spans="3:3" x14ac:dyDescent="0.2">
      <c r="C992" s="5"/>
    </row>
    <row r="993" spans="3:3" x14ac:dyDescent="0.2">
      <c r="C993" s="5"/>
    </row>
    <row r="994" spans="3:3" x14ac:dyDescent="0.2">
      <c r="C994" s="5"/>
    </row>
    <row r="995" spans="3:3" x14ac:dyDescent="0.2">
      <c r="C995" s="5"/>
    </row>
    <row r="996" spans="3:3" x14ac:dyDescent="0.2">
      <c r="C996" s="5"/>
    </row>
    <row r="997" spans="3:3" x14ac:dyDescent="0.2">
      <c r="C997" s="5"/>
    </row>
    <row r="998" spans="3:3" x14ac:dyDescent="0.2">
      <c r="C998" s="5"/>
    </row>
    <row r="999" spans="3:3" x14ac:dyDescent="0.2">
      <c r="C999" s="5"/>
    </row>
    <row r="1000" spans="3:3" x14ac:dyDescent="0.2">
      <c r="C1000" s="5"/>
    </row>
    <row r="1001" spans="3:3" x14ac:dyDescent="0.2">
      <c r="C1001" s="5"/>
    </row>
    <row r="1002" spans="3:3" x14ac:dyDescent="0.2">
      <c r="C1002" s="5"/>
    </row>
    <row r="1003" spans="3:3" x14ac:dyDescent="0.2">
      <c r="C1003" s="5"/>
    </row>
    <row r="1004" spans="3:3" x14ac:dyDescent="0.2">
      <c r="C1004" s="5"/>
    </row>
    <row r="1005" spans="3:3" x14ac:dyDescent="0.2">
      <c r="C1005" s="5"/>
    </row>
    <row r="1006" spans="3:3" x14ac:dyDescent="0.2">
      <c r="C1006" s="5"/>
    </row>
    <row r="1007" spans="3:3" x14ac:dyDescent="0.2">
      <c r="C1007" s="5"/>
    </row>
    <row r="1008" spans="3:3" x14ac:dyDescent="0.2">
      <c r="C1008" s="5"/>
    </row>
    <row r="1009" spans="3:3" x14ac:dyDescent="0.2">
      <c r="C1009" s="5"/>
    </row>
    <row r="1010" spans="3:3" x14ac:dyDescent="0.2">
      <c r="C1010" s="5"/>
    </row>
    <row r="1011" spans="3:3" x14ac:dyDescent="0.2">
      <c r="C1011" s="5"/>
    </row>
    <row r="1012" spans="3:3" x14ac:dyDescent="0.2">
      <c r="C1012" s="5"/>
    </row>
    <row r="1013" spans="3:3" x14ac:dyDescent="0.2">
      <c r="C1013" s="5"/>
    </row>
    <row r="1014" spans="3:3" x14ac:dyDescent="0.2">
      <c r="C1014" s="5"/>
    </row>
    <row r="1015" spans="3:3" x14ac:dyDescent="0.2">
      <c r="C1015" s="5"/>
    </row>
    <row r="1016" spans="3:3" x14ac:dyDescent="0.2">
      <c r="C1016" s="5"/>
    </row>
    <row r="1017" spans="3:3" x14ac:dyDescent="0.2">
      <c r="C1017" s="5"/>
    </row>
    <row r="1018" spans="3:3" x14ac:dyDescent="0.2">
      <c r="C1018" s="5"/>
    </row>
    <row r="1019" spans="3:3" x14ac:dyDescent="0.2">
      <c r="C1019" s="5"/>
    </row>
    <row r="1020" spans="3:3" x14ac:dyDescent="0.2">
      <c r="C1020" s="5"/>
    </row>
    <row r="1021" spans="3:3" x14ac:dyDescent="0.2">
      <c r="C1021" s="5"/>
    </row>
    <row r="1022" spans="3:3" x14ac:dyDescent="0.2">
      <c r="C1022" s="5"/>
    </row>
    <row r="1023" spans="3:3" x14ac:dyDescent="0.2">
      <c r="C1023" s="5"/>
    </row>
    <row r="1024" spans="3:3" x14ac:dyDescent="0.2">
      <c r="C1024" s="5"/>
    </row>
    <row r="1025" spans="3:3" x14ac:dyDescent="0.2">
      <c r="C1025" s="5"/>
    </row>
    <row r="1026" spans="3:3" x14ac:dyDescent="0.2">
      <c r="C1026" s="5"/>
    </row>
    <row r="1027" spans="3:3" x14ac:dyDescent="0.2">
      <c r="C1027" s="5"/>
    </row>
    <row r="1028" spans="3:3" x14ac:dyDescent="0.2">
      <c r="C1028" s="5"/>
    </row>
    <row r="1029" spans="3:3" x14ac:dyDescent="0.2">
      <c r="C1029" s="5"/>
    </row>
    <row r="1030" spans="3:3" x14ac:dyDescent="0.2">
      <c r="C1030" s="5"/>
    </row>
    <row r="1031" spans="3:3" x14ac:dyDescent="0.2">
      <c r="C1031" s="5"/>
    </row>
    <row r="1032" spans="3:3" x14ac:dyDescent="0.2">
      <c r="C1032" s="5"/>
    </row>
    <row r="1033" spans="3:3" x14ac:dyDescent="0.2">
      <c r="C1033" s="5"/>
    </row>
    <row r="1034" spans="3:3" x14ac:dyDescent="0.2">
      <c r="C1034" s="5"/>
    </row>
    <row r="1035" spans="3:3" x14ac:dyDescent="0.2">
      <c r="C1035" s="5"/>
    </row>
    <row r="1036" spans="3:3" x14ac:dyDescent="0.2">
      <c r="C1036" s="5"/>
    </row>
    <row r="1037" spans="3:3" x14ac:dyDescent="0.2">
      <c r="C1037" s="5"/>
    </row>
    <row r="1038" spans="3:3" x14ac:dyDescent="0.2">
      <c r="C1038" s="5"/>
    </row>
    <row r="1039" spans="3:3" x14ac:dyDescent="0.2">
      <c r="C1039" s="5"/>
    </row>
    <row r="1040" spans="3:3" x14ac:dyDescent="0.2">
      <c r="C1040" s="5"/>
    </row>
    <row r="1041" spans="3:3" x14ac:dyDescent="0.2">
      <c r="C1041" s="5"/>
    </row>
    <row r="1042" spans="3:3" x14ac:dyDescent="0.2">
      <c r="C1042" s="5"/>
    </row>
    <row r="1043" spans="3:3" x14ac:dyDescent="0.2">
      <c r="C1043" s="5"/>
    </row>
    <row r="1044" spans="3:3" x14ac:dyDescent="0.2">
      <c r="C1044" s="5"/>
    </row>
    <row r="1045" spans="3:3" x14ac:dyDescent="0.2">
      <c r="C1045" s="5"/>
    </row>
    <row r="1046" spans="3:3" x14ac:dyDescent="0.2">
      <c r="C1046" s="5"/>
    </row>
    <row r="1047" spans="3:3" x14ac:dyDescent="0.2">
      <c r="C1047" s="5"/>
    </row>
    <row r="1048" spans="3:3" x14ac:dyDescent="0.2">
      <c r="C1048" s="5"/>
    </row>
    <row r="1049" spans="3:3" x14ac:dyDescent="0.2">
      <c r="C1049" s="5"/>
    </row>
    <row r="1050" spans="3:3" x14ac:dyDescent="0.2">
      <c r="C1050" s="5"/>
    </row>
    <row r="1051" spans="3:3" x14ac:dyDescent="0.2">
      <c r="C1051" s="5"/>
    </row>
    <row r="1052" spans="3:3" x14ac:dyDescent="0.2">
      <c r="C1052" s="5"/>
    </row>
    <row r="1053" spans="3:3" x14ac:dyDescent="0.2">
      <c r="C1053" s="5"/>
    </row>
    <row r="1054" spans="3:3" x14ac:dyDescent="0.2">
      <c r="C1054" s="5"/>
    </row>
    <row r="1055" spans="3:3" x14ac:dyDescent="0.2">
      <c r="C1055" s="5"/>
    </row>
    <row r="1056" spans="3:3" x14ac:dyDescent="0.2">
      <c r="C1056" s="5"/>
    </row>
    <row r="1057" spans="3:3" x14ac:dyDescent="0.2">
      <c r="C1057" s="5"/>
    </row>
    <row r="1058" spans="3:3" x14ac:dyDescent="0.2">
      <c r="C1058" s="5"/>
    </row>
    <row r="1059" spans="3:3" x14ac:dyDescent="0.2">
      <c r="C1059" s="5"/>
    </row>
    <row r="1060" spans="3:3" x14ac:dyDescent="0.2">
      <c r="C1060" s="5"/>
    </row>
    <row r="1061" spans="3:3" x14ac:dyDescent="0.2">
      <c r="C1061" s="5"/>
    </row>
    <row r="1062" spans="3:3" x14ac:dyDescent="0.2">
      <c r="C1062" s="5"/>
    </row>
    <row r="1063" spans="3:3" x14ac:dyDescent="0.2">
      <c r="C1063" s="5"/>
    </row>
    <row r="1064" spans="3:3" x14ac:dyDescent="0.2">
      <c r="C1064" s="5"/>
    </row>
    <row r="1065" spans="3:3" x14ac:dyDescent="0.2">
      <c r="C1065" s="5"/>
    </row>
    <row r="1066" spans="3:3" x14ac:dyDescent="0.2">
      <c r="C1066" s="5"/>
    </row>
    <row r="1067" spans="3:3" x14ac:dyDescent="0.2">
      <c r="C1067" s="5"/>
    </row>
    <row r="1068" spans="3:3" x14ac:dyDescent="0.2">
      <c r="C1068" s="5"/>
    </row>
    <row r="1069" spans="3:3" x14ac:dyDescent="0.2">
      <c r="C1069" s="5"/>
    </row>
    <row r="1070" spans="3:3" x14ac:dyDescent="0.2">
      <c r="C1070" s="5"/>
    </row>
    <row r="1071" spans="3:3" x14ac:dyDescent="0.2">
      <c r="C1071" s="5"/>
    </row>
    <row r="1072" spans="3:3" x14ac:dyDescent="0.2">
      <c r="C1072" s="5"/>
    </row>
    <row r="1073" spans="3:3" x14ac:dyDescent="0.2">
      <c r="C1073" s="5"/>
    </row>
    <row r="1074" spans="3:3" x14ac:dyDescent="0.2">
      <c r="C1074" s="5"/>
    </row>
    <row r="1075" spans="3:3" x14ac:dyDescent="0.2">
      <c r="C1075" s="5"/>
    </row>
    <row r="1076" spans="3:3" x14ac:dyDescent="0.2">
      <c r="C1076" s="5"/>
    </row>
    <row r="1077" spans="3:3" x14ac:dyDescent="0.2">
      <c r="C1077" s="5"/>
    </row>
    <row r="1078" spans="3:3" x14ac:dyDescent="0.2">
      <c r="C1078" s="5"/>
    </row>
    <row r="1079" spans="3:3" x14ac:dyDescent="0.2">
      <c r="C1079" s="5"/>
    </row>
    <row r="1080" spans="3:3" x14ac:dyDescent="0.2">
      <c r="C1080" s="5"/>
    </row>
    <row r="1081" spans="3:3" x14ac:dyDescent="0.2">
      <c r="C1081" s="5"/>
    </row>
    <row r="1082" spans="3:3" x14ac:dyDescent="0.2">
      <c r="C1082" s="5"/>
    </row>
    <row r="1083" spans="3:3" x14ac:dyDescent="0.2">
      <c r="C1083" s="5"/>
    </row>
    <row r="1084" spans="3:3" x14ac:dyDescent="0.2">
      <c r="C1084" s="5"/>
    </row>
    <row r="1085" spans="3:3" x14ac:dyDescent="0.2">
      <c r="C1085" s="5"/>
    </row>
    <row r="1086" spans="3:3" x14ac:dyDescent="0.2">
      <c r="C1086" s="5"/>
    </row>
    <row r="1087" spans="3:3" x14ac:dyDescent="0.2">
      <c r="C1087" s="5"/>
    </row>
    <row r="1088" spans="3:3" x14ac:dyDescent="0.2">
      <c r="C1088" s="5"/>
    </row>
    <row r="1089" spans="3:3" x14ac:dyDescent="0.2">
      <c r="C1089" s="5"/>
    </row>
    <row r="1090" spans="3:3" x14ac:dyDescent="0.2">
      <c r="C1090" s="5"/>
    </row>
    <row r="1091" spans="3:3" x14ac:dyDescent="0.2">
      <c r="C1091" s="5"/>
    </row>
    <row r="1092" spans="3:3" x14ac:dyDescent="0.2">
      <c r="C1092" s="5"/>
    </row>
    <row r="1093" spans="3:3" x14ac:dyDescent="0.2">
      <c r="C1093" s="5"/>
    </row>
    <row r="1094" spans="3:3" x14ac:dyDescent="0.2">
      <c r="C1094" s="5"/>
    </row>
    <row r="1095" spans="3:3" x14ac:dyDescent="0.2">
      <c r="C1095" s="5"/>
    </row>
    <row r="1096" spans="3:3" x14ac:dyDescent="0.2">
      <c r="C1096" s="5"/>
    </row>
    <row r="1097" spans="3:3" x14ac:dyDescent="0.2">
      <c r="C1097" s="5"/>
    </row>
    <row r="1098" spans="3:3" x14ac:dyDescent="0.2">
      <c r="C1098" s="5"/>
    </row>
    <row r="1099" spans="3:3" x14ac:dyDescent="0.2">
      <c r="C1099" s="5"/>
    </row>
    <row r="1100" spans="3:3" x14ac:dyDescent="0.2">
      <c r="C1100" s="5"/>
    </row>
    <row r="1101" spans="3:3" x14ac:dyDescent="0.2">
      <c r="C1101" s="5"/>
    </row>
    <row r="1102" spans="3:3" x14ac:dyDescent="0.2">
      <c r="C1102" s="5"/>
    </row>
    <row r="1103" spans="3:3" x14ac:dyDescent="0.2">
      <c r="C1103" s="5"/>
    </row>
    <row r="1104" spans="3:3" x14ac:dyDescent="0.2">
      <c r="C1104" s="5"/>
    </row>
    <row r="1105" spans="3:3" x14ac:dyDescent="0.2">
      <c r="C1105" s="5"/>
    </row>
    <row r="1106" spans="3:3" x14ac:dyDescent="0.2">
      <c r="C1106" s="5"/>
    </row>
    <row r="1107" spans="3:3" x14ac:dyDescent="0.2">
      <c r="C1107" s="5"/>
    </row>
    <row r="1108" spans="3:3" x14ac:dyDescent="0.2">
      <c r="C1108" s="5"/>
    </row>
    <row r="1109" spans="3:3" x14ac:dyDescent="0.2">
      <c r="C1109" s="5"/>
    </row>
    <row r="1110" spans="3:3" x14ac:dyDescent="0.2">
      <c r="C1110" s="5"/>
    </row>
    <row r="1111" spans="3:3" x14ac:dyDescent="0.2">
      <c r="C1111" s="5"/>
    </row>
    <row r="1112" spans="3:3" x14ac:dyDescent="0.2">
      <c r="C1112" s="5"/>
    </row>
    <row r="1113" spans="3:3" x14ac:dyDescent="0.2">
      <c r="C1113" s="5"/>
    </row>
    <row r="1114" spans="3:3" x14ac:dyDescent="0.2">
      <c r="C1114" s="5"/>
    </row>
    <row r="1115" spans="3:3" x14ac:dyDescent="0.2">
      <c r="C1115" s="5"/>
    </row>
    <row r="1116" spans="3:3" x14ac:dyDescent="0.2">
      <c r="C1116" s="5"/>
    </row>
    <row r="1117" spans="3:3" x14ac:dyDescent="0.2">
      <c r="C1117" s="5"/>
    </row>
    <row r="1118" spans="3:3" x14ac:dyDescent="0.2">
      <c r="C1118" s="5"/>
    </row>
    <row r="1119" spans="3:3" x14ac:dyDescent="0.2">
      <c r="C1119" s="5"/>
    </row>
    <row r="1120" spans="3:3" x14ac:dyDescent="0.2">
      <c r="C1120" s="5"/>
    </row>
    <row r="1121" spans="3:3" x14ac:dyDescent="0.2">
      <c r="C1121" s="5"/>
    </row>
    <row r="1122" spans="3:3" x14ac:dyDescent="0.2">
      <c r="C1122" s="5"/>
    </row>
    <row r="1123" spans="3:3" x14ac:dyDescent="0.2">
      <c r="C1123" s="5"/>
    </row>
    <row r="1124" spans="3:3" x14ac:dyDescent="0.2">
      <c r="C1124" s="5"/>
    </row>
    <row r="1125" spans="3:3" x14ac:dyDescent="0.2">
      <c r="C1125" s="5"/>
    </row>
    <row r="1126" spans="3:3" x14ac:dyDescent="0.2">
      <c r="C1126" s="5"/>
    </row>
    <row r="1127" spans="3:3" x14ac:dyDescent="0.2">
      <c r="C1127" s="5"/>
    </row>
    <row r="1128" spans="3:3" x14ac:dyDescent="0.2">
      <c r="C1128" s="5"/>
    </row>
    <row r="1129" spans="3:3" x14ac:dyDescent="0.2">
      <c r="C1129" s="5"/>
    </row>
    <row r="1130" spans="3:3" x14ac:dyDescent="0.2">
      <c r="C1130" s="5"/>
    </row>
    <row r="1131" spans="3:3" x14ac:dyDescent="0.2">
      <c r="C1131" s="5"/>
    </row>
    <row r="1132" spans="3:3" x14ac:dyDescent="0.2">
      <c r="C1132" s="5"/>
    </row>
    <row r="1133" spans="3:3" x14ac:dyDescent="0.2">
      <c r="C1133" s="5"/>
    </row>
    <row r="1134" spans="3:3" x14ac:dyDescent="0.2">
      <c r="C1134" s="5"/>
    </row>
    <row r="1135" spans="3:3" x14ac:dyDescent="0.2">
      <c r="C1135" s="5"/>
    </row>
    <row r="1136" spans="3:3" x14ac:dyDescent="0.2">
      <c r="C1136" s="5"/>
    </row>
    <row r="1137" spans="3:3" x14ac:dyDescent="0.2">
      <c r="C1137" s="5"/>
    </row>
    <row r="1138" spans="3:3" x14ac:dyDescent="0.2">
      <c r="C1138" s="5"/>
    </row>
    <row r="1139" spans="3:3" x14ac:dyDescent="0.2">
      <c r="C1139" s="5"/>
    </row>
    <row r="1140" spans="3:3" x14ac:dyDescent="0.2">
      <c r="C1140" s="5"/>
    </row>
    <row r="1141" spans="3:3" x14ac:dyDescent="0.2">
      <c r="C1141" s="5"/>
    </row>
    <row r="1142" spans="3:3" x14ac:dyDescent="0.2">
      <c r="C1142" s="5"/>
    </row>
    <row r="1143" spans="3:3" x14ac:dyDescent="0.2">
      <c r="C1143" s="5"/>
    </row>
    <row r="1144" spans="3:3" x14ac:dyDescent="0.2">
      <c r="C1144" s="5"/>
    </row>
    <row r="1145" spans="3:3" x14ac:dyDescent="0.2">
      <c r="C1145" s="5"/>
    </row>
    <row r="1146" spans="3:3" x14ac:dyDescent="0.2">
      <c r="C1146" s="5"/>
    </row>
    <row r="1147" spans="3:3" x14ac:dyDescent="0.2">
      <c r="C1147" s="5"/>
    </row>
    <row r="1148" spans="3:3" x14ac:dyDescent="0.2">
      <c r="C1148" s="5"/>
    </row>
    <row r="1149" spans="3:3" x14ac:dyDescent="0.2">
      <c r="C1149" s="5"/>
    </row>
    <row r="1150" spans="3:3" x14ac:dyDescent="0.2">
      <c r="C1150" s="5"/>
    </row>
    <row r="1151" spans="3:3" x14ac:dyDescent="0.2">
      <c r="C1151" s="5"/>
    </row>
    <row r="1152" spans="3:3" x14ac:dyDescent="0.2">
      <c r="C1152" s="5"/>
    </row>
    <row r="1153" spans="3:3" x14ac:dyDescent="0.2">
      <c r="C1153" s="5"/>
    </row>
    <row r="1154" spans="3:3" x14ac:dyDescent="0.2">
      <c r="C1154" s="5"/>
    </row>
    <row r="1155" spans="3:3" x14ac:dyDescent="0.2">
      <c r="C1155" s="5"/>
    </row>
    <row r="1156" spans="3:3" x14ac:dyDescent="0.2">
      <c r="C1156" s="5"/>
    </row>
    <row r="1157" spans="3:3" x14ac:dyDescent="0.2">
      <c r="C1157" s="5"/>
    </row>
    <row r="1158" spans="3:3" x14ac:dyDescent="0.2">
      <c r="C1158" s="5"/>
    </row>
    <row r="1159" spans="3:3" x14ac:dyDescent="0.2">
      <c r="C1159" s="5"/>
    </row>
    <row r="1160" spans="3:3" x14ac:dyDescent="0.2">
      <c r="C1160" s="5"/>
    </row>
    <row r="1161" spans="3:3" x14ac:dyDescent="0.2">
      <c r="C1161" s="5"/>
    </row>
    <row r="1162" spans="3:3" x14ac:dyDescent="0.2">
      <c r="C1162" s="5"/>
    </row>
    <row r="1163" spans="3:3" x14ac:dyDescent="0.2">
      <c r="C1163" s="5"/>
    </row>
    <row r="1164" spans="3:3" x14ac:dyDescent="0.2">
      <c r="C1164" s="5"/>
    </row>
    <row r="1165" spans="3:3" x14ac:dyDescent="0.2">
      <c r="C1165" s="5"/>
    </row>
    <row r="1166" spans="3:3" x14ac:dyDescent="0.2">
      <c r="C1166" s="5"/>
    </row>
    <row r="1167" spans="3:3" x14ac:dyDescent="0.2">
      <c r="C1167" s="5"/>
    </row>
    <row r="1168" spans="3:3" x14ac:dyDescent="0.2">
      <c r="C1168" s="5"/>
    </row>
    <row r="1169" spans="3:3" x14ac:dyDescent="0.2">
      <c r="C1169" s="5"/>
    </row>
    <row r="1170" spans="3:3" x14ac:dyDescent="0.2">
      <c r="C1170" s="5"/>
    </row>
    <row r="1171" spans="3:3" x14ac:dyDescent="0.2">
      <c r="C1171" s="5"/>
    </row>
    <row r="1172" spans="3:3" x14ac:dyDescent="0.2">
      <c r="C1172" s="5"/>
    </row>
    <row r="1173" spans="3:3" x14ac:dyDescent="0.2">
      <c r="C1173" s="5"/>
    </row>
    <row r="1174" spans="3:3" x14ac:dyDescent="0.2">
      <c r="C1174" s="5"/>
    </row>
    <row r="1175" spans="3:3" x14ac:dyDescent="0.2">
      <c r="C1175" s="5"/>
    </row>
    <row r="1176" spans="3:3" x14ac:dyDescent="0.2">
      <c r="C1176" s="5"/>
    </row>
    <row r="1177" spans="3:3" x14ac:dyDescent="0.2">
      <c r="C1177" s="5"/>
    </row>
    <row r="1178" spans="3:3" x14ac:dyDescent="0.2">
      <c r="C1178" s="5"/>
    </row>
    <row r="1179" spans="3:3" x14ac:dyDescent="0.2">
      <c r="C1179" s="5"/>
    </row>
    <row r="1180" spans="3:3" x14ac:dyDescent="0.2">
      <c r="C1180" s="5"/>
    </row>
    <row r="1181" spans="3:3" x14ac:dyDescent="0.2">
      <c r="C1181" s="5"/>
    </row>
    <row r="1182" spans="3:3" x14ac:dyDescent="0.2">
      <c r="C1182" s="5"/>
    </row>
    <row r="1183" spans="3:3" x14ac:dyDescent="0.2">
      <c r="C1183" s="5"/>
    </row>
    <row r="1184" spans="3:3" x14ac:dyDescent="0.2">
      <c r="C1184" s="5"/>
    </row>
    <row r="1185" spans="3:3" x14ac:dyDescent="0.2">
      <c r="C1185" s="5"/>
    </row>
    <row r="1186" spans="3:3" x14ac:dyDescent="0.2">
      <c r="C1186" s="5"/>
    </row>
    <row r="1187" spans="3:3" x14ac:dyDescent="0.2">
      <c r="C1187" s="5"/>
    </row>
    <row r="1188" spans="3:3" x14ac:dyDescent="0.2">
      <c r="C1188" s="5"/>
    </row>
    <row r="1189" spans="3:3" x14ac:dyDescent="0.2">
      <c r="C1189" s="5"/>
    </row>
    <row r="1190" spans="3:3" x14ac:dyDescent="0.2">
      <c r="C1190" s="5"/>
    </row>
    <row r="1191" spans="3:3" x14ac:dyDescent="0.2">
      <c r="C1191" s="5"/>
    </row>
    <row r="1192" spans="3:3" x14ac:dyDescent="0.2">
      <c r="C1192" s="5"/>
    </row>
    <row r="1193" spans="3:3" x14ac:dyDescent="0.2">
      <c r="C1193" s="5"/>
    </row>
    <row r="1194" spans="3:3" x14ac:dyDescent="0.2">
      <c r="C1194" s="5"/>
    </row>
    <row r="1195" spans="3:3" x14ac:dyDescent="0.2">
      <c r="C1195" s="5"/>
    </row>
    <row r="1196" spans="3:3" x14ac:dyDescent="0.2">
      <c r="C1196" s="5"/>
    </row>
    <row r="1197" spans="3:3" x14ac:dyDescent="0.2">
      <c r="C1197" s="5"/>
    </row>
    <row r="1198" spans="3:3" x14ac:dyDescent="0.2">
      <c r="C1198" s="5"/>
    </row>
    <row r="1199" spans="3:3" x14ac:dyDescent="0.2">
      <c r="C1199" s="5"/>
    </row>
    <row r="1200" spans="3:3" x14ac:dyDescent="0.2">
      <c r="C1200" s="5"/>
    </row>
    <row r="1201" spans="3:3" x14ac:dyDescent="0.2">
      <c r="C1201" s="5"/>
    </row>
    <row r="1202" spans="3:3" x14ac:dyDescent="0.2">
      <c r="C1202" s="5"/>
    </row>
    <row r="1203" spans="3:3" x14ac:dyDescent="0.2">
      <c r="C1203" s="5"/>
    </row>
    <row r="1204" spans="3:3" x14ac:dyDescent="0.2">
      <c r="C1204" s="5"/>
    </row>
    <row r="1205" spans="3:3" x14ac:dyDescent="0.2">
      <c r="C1205" s="5"/>
    </row>
    <row r="1206" spans="3:3" x14ac:dyDescent="0.2">
      <c r="C1206" s="5"/>
    </row>
    <row r="1207" spans="3:3" x14ac:dyDescent="0.2">
      <c r="C1207" s="5"/>
    </row>
    <row r="1208" spans="3:3" x14ac:dyDescent="0.2">
      <c r="C1208" s="5"/>
    </row>
    <row r="1209" spans="3:3" x14ac:dyDescent="0.2">
      <c r="C1209" s="5"/>
    </row>
    <row r="1210" spans="3:3" x14ac:dyDescent="0.2">
      <c r="C1210" s="5"/>
    </row>
    <row r="1211" spans="3:3" x14ac:dyDescent="0.2">
      <c r="C1211" s="5"/>
    </row>
    <row r="1212" spans="3:3" x14ac:dyDescent="0.2">
      <c r="C1212" s="5"/>
    </row>
    <row r="1213" spans="3:3" x14ac:dyDescent="0.2">
      <c r="C1213" s="5"/>
    </row>
    <row r="1214" spans="3:3" x14ac:dyDescent="0.2">
      <c r="C1214" s="5"/>
    </row>
    <row r="1215" spans="3:3" x14ac:dyDescent="0.2">
      <c r="C1215" s="5"/>
    </row>
    <row r="1216" spans="3:3" x14ac:dyDescent="0.2">
      <c r="C1216" s="5"/>
    </row>
    <row r="1217" spans="3:3" x14ac:dyDescent="0.2">
      <c r="C1217" s="5"/>
    </row>
    <row r="1218" spans="3:3" x14ac:dyDescent="0.2">
      <c r="C1218" s="5"/>
    </row>
    <row r="1219" spans="3:3" x14ac:dyDescent="0.2">
      <c r="C1219" s="5"/>
    </row>
    <row r="1220" spans="3:3" x14ac:dyDescent="0.2">
      <c r="C1220" s="5"/>
    </row>
    <row r="1221" spans="3:3" x14ac:dyDescent="0.2">
      <c r="C1221" s="5"/>
    </row>
    <row r="1222" spans="3:3" x14ac:dyDescent="0.2">
      <c r="C1222" s="5"/>
    </row>
    <row r="1223" spans="3:3" x14ac:dyDescent="0.2">
      <c r="C1223" s="5"/>
    </row>
    <row r="1224" spans="3:3" x14ac:dyDescent="0.2">
      <c r="C1224" s="5"/>
    </row>
    <row r="1225" spans="3:3" x14ac:dyDescent="0.2">
      <c r="C1225" s="5"/>
    </row>
    <row r="1226" spans="3:3" x14ac:dyDescent="0.2">
      <c r="C1226" s="5"/>
    </row>
    <row r="1227" spans="3:3" x14ac:dyDescent="0.2">
      <c r="C1227" s="5"/>
    </row>
    <row r="1228" spans="3:3" x14ac:dyDescent="0.2">
      <c r="C1228" s="5"/>
    </row>
    <row r="1229" spans="3:3" x14ac:dyDescent="0.2">
      <c r="C1229" s="5"/>
    </row>
    <row r="1230" spans="3:3" x14ac:dyDescent="0.2">
      <c r="C1230" s="5"/>
    </row>
    <row r="1231" spans="3:3" x14ac:dyDescent="0.2">
      <c r="C1231" s="5"/>
    </row>
    <row r="1232" spans="3:3" x14ac:dyDescent="0.2">
      <c r="C1232" s="5"/>
    </row>
    <row r="1233" spans="3:3" x14ac:dyDescent="0.2">
      <c r="C1233" s="5"/>
    </row>
    <row r="1234" spans="3:3" x14ac:dyDescent="0.2">
      <c r="C1234" s="5"/>
    </row>
    <row r="1235" spans="3:3" x14ac:dyDescent="0.2">
      <c r="C1235" s="5"/>
    </row>
    <row r="1236" spans="3:3" x14ac:dyDescent="0.2">
      <c r="C1236" s="5"/>
    </row>
    <row r="1237" spans="3:3" x14ac:dyDescent="0.2">
      <c r="C1237" s="5"/>
    </row>
    <row r="1238" spans="3:3" x14ac:dyDescent="0.2">
      <c r="C1238" s="5"/>
    </row>
    <row r="1239" spans="3:3" x14ac:dyDescent="0.2">
      <c r="C1239" s="5"/>
    </row>
    <row r="1240" spans="3:3" x14ac:dyDescent="0.2">
      <c r="C1240" s="5"/>
    </row>
    <row r="1241" spans="3:3" x14ac:dyDescent="0.2">
      <c r="C1241" s="5"/>
    </row>
    <row r="1242" spans="3:3" x14ac:dyDescent="0.2">
      <c r="C1242" s="5"/>
    </row>
    <row r="1243" spans="3:3" x14ac:dyDescent="0.2">
      <c r="C1243" s="5"/>
    </row>
    <row r="1244" spans="3:3" x14ac:dyDescent="0.2">
      <c r="C1244" s="5"/>
    </row>
    <row r="1245" spans="3:3" x14ac:dyDescent="0.2">
      <c r="C1245" s="5"/>
    </row>
    <row r="1246" spans="3:3" x14ac:dyDescent="0.2">
      <c r="C1246" s="5"/>
    </row>
    <row r="1247" spans="3:3" x14ac:dyDescent="0.2">
      <c r="C1247" s="5"/>
    </row>
    <row r="1248" spans="3:3" x14ac:dyDescent="0.2">
      <c r="C1248" s="5"/>
    </row>
    <row r="1249" spans="3:3" x14ac:dyDescent="0.2">
      <c r="C1249" s="5"/>
    </row>
    <row r="1250" spans="3:3" x14ac:dyDescent="0.2">
      <c r="C1250" s="5"/>
    </row>
    <row r="1251" spans="3:3" x14ac:dyDescent="0.2">
      <c r="C1251" s="5"/>
    </row>
    <row r="1252" spans="3:3" x14ac:dyDescent="0.2">
      <c r="C1252" s="5"/>
    </row>
    <row r="1253" spans="3:3" x14ac:dyDescent="0.2">
      <c r="C1253" s="5"/>
    </row>
    <row r="1254" spans="3:3" x14ac:dyDescent="0.2">
      <c r="C1254" s="5"/>
    </row>
    <row r="1255" spans="3:3" x14ac:dyDescent="0.2">
      <c r="C1255" s="5"/>
    </row>
    <row r="1256" spans="3:3" x14ac:dyDescent="0.2">
      <c r="C1256" s="5"/>
    </row>
    <row r="1257" spans="3:3" x14ac:dyDescent="0.2">
      <c r="C1257" s="5"/>
    </row>
    <row r="1258" spans="3:3" x14ac:dyDescent="0.2">
      <c r="C1258" s="5"/>
    </row>
    <row r="1259" spans="3:3" x14ac:dyDescent="0.2">
      <c r="C1259" s="5"/>
    </row>
    <row r="1260" spans="3:3" x14ac:dyDescent="0.2">
      <c r="C1260" s="5"/>
    </row>
    <row r="1261" spans="3:3" x14ac:dyDescent="0.2">
      <c r="C1261" s="5"/>
    </row>
    <row r="1262" spans="3:3" x14ac:dyDescent="0.2">
      <c r="C1262" s="5"/>
    </row>
    <row r="1263" spans="3:3" x14ac:dyDescent="0.2">
      <c r="C1263" s="5"/>
    </row>
    <row r="1264" spans="3:3" x14ac:dyDescent="0.2">
      <c r="C1264" s="5"/>
    </row>
    <row r="1265" spans="3:3" x14ac:dyDescent="0.2">
      <c r="C1265" s="5"/>
    </row>
    <row r="1266" spans="3:3" x14ac:dyDescent="0.2">
      <c r="C1266" s="5"/>
    </row>
    <row r="1267" spans="3:3" x14ac:dyDescent="0.2">
      <c r="C1267" s="5"/>
    </row>
    <row r="1268" spans="3:3" x14ac:dyDescent="0.2">
      <c r="C1268" s="5"/>
    </row>
    <row r="1269" spans="3:3" x14ac:dyDescent="0.2">
      <c r="C1269" s="5"/>
    </row>
    <row r="1270" spans="3:3" x14ac:dyDescent="0.2">
      <c r="C1270" s="5"/>
    </row>
    <row r="1271" spans="3:3" x14ac:dyDescent="0.2">
      <c r="C1271" s="5"/>
    </row>
    <row r="1272" spans="3:3" x14ac:dyDescent="0.2">
      <c r="C1272" s="5"/>
    </row>
    <row r="1273" spans="3:3" x14ac:dyDescent="0.2">
      <c r="C1273" s="5"/>
    </row>
    <row r="1274" spans="3:3" x14ac:dyDescent="0.2">
      <c r="C1274" s="5"/>
    </row>
    <row r="1275" spans="3:3" x14ac:dyDescent="0.2">
      <c r="C1275" s="5"/>
    </row>
    <row r="1276" spans="3:3" x14ac:dyDescent="0.2">
      <c r="C1276" s="5"/>
    </row>
    <row r="1277" spans="3:3" x14ac:dyDescent="0.2">
      <c r="C1277" s="5"/>
    </row>
    <row r="1278" spans="3:3" x14ac:dyDescent="0.2">
      <c r="C1278" s="5"/>
    </row>
    <row r="1279" spans="3:3" x14ac:dyDescent="0.2">
      <c r="C1279" s="5"/>
    </row>
    <row r="1280" spans="3:3" x14ac:dyDescent="0.2">
      <c r="C1280" s="5"/>
    </row>
    <row r="1281" spans="3:3" x14ac:dyDescent="0.2">
      <c r="C1281" s="5"/>
    </row>
    <row r="1282" spans="3:3" x14ac:dyDescent="0.2">
      <c r="C1282" s="5"/>
    </row>
    <row r="1283" spans="3:3" x14ac:dyDescent="0.2">
      <c r="C1283" s="5"/>
    </row>
    <row r="1284" spans="3:3" x14ac:dyDescent="0.2">
      <c r="C1284" s="5"/>
    </row>
    <row r="1285" spans="3:3" x14ac:dyDescent="0.2">
      <c r="C1285" s="5"/>
    </row>
    <row r="1286" spans="3:3" x14ac:dyDescent="0.2">
      <c r="C1286" s="5"/>
    </row>
    <row r="1287" spans="3:3" x14ac:dyDescent="0.2">
      <c r="C1287" s="5"/>
    </row>
    <row r="1288" spans="3:3" x14ac:dyDescent="0.2">
      <c r="C1288" s="5"/>
    </row>
    <row r="1289" spans="3:3" x14ac:dyDescent="0.2">
      <c r="C1289" s="5"/>
    </row>
    <row r="1290" spans="3:3" x14ac:dyDescent="0.2">
      <c r="C1290" s="5"/>
    </row>
    <row r="1291" spans="3:3" x14ac:dyDescent="0.2">
      <c r="C1291" s="5"/>
    </row>
    <row r="1292" spans="3:3" x14ac:dyDescent="0.2">
      <c r="C1292" s="5"/>
    </row>
    <row r="1293" spans="3:3" x14ac:dyDescent="0.2">
      <c r="C1293" s="5"/>
    </row>
    <row r="1294" spans="3:3" x14ac:dyDescent="0.2">
      <c r="C1294" s="5"/>
    </row>
    <row r="1295" spans="3:3" x14ac:dyDescent="0.2">
      <c r="C1295" s="5"/>
    </row>
    <row r="1296" spans="3:3" x14ac:dyDescent="0.2">
      <c r="C1296" s="5"/>
    </row>
    <row r="1297" spans="3:3" x14ac:dyDescent="0.2">
      <c r="C1297" s="5"/>
    </row>
    <row r="1298" spans="3:3" x14ac:dyDescent="0.2">
      <c r="C1298" s="5"/>
    </row>
    <row r="1299" spans="3:3" x14ac:dyDescent="0.2">
      <c r="C1299" s="5"/>
    </row>
    <row r="1300" spans="3:3" x14ac:dyDescent="0.2">
      <c r="C1300" s="5"/>
    </row>
    <row r="1301" spans="3:3" x14ac:dyDescent="0.2">
      <c r="C1301" s="5"/>
    </row>
    <row r="1302" spans="3:3" x14ac:dyDescent="0.2">
      <c r="C1302" s="5"/>
    </row>
    <row r="1303" spans="3:3" x14ac:dyDescent="0.2">
      <c r="C1303" s="5"/>
    </row>
    <row r="1304" spans="3:3" x14ac:dyDescent="0.2">
      <c r="C1304" s="5"/>
    </row>
    <row r="1305" spans="3:3" x14ac:dyDescent="0.2">
      <c r="C1305" s="5"/>
    </row>
    <row r="1306" spans="3:3" x14ac:dyDescent="0.2">
      <c r="C1306" s="5"/>
    </row>
    <row r="1307" spans="3:3" x14ac:dyDescent="0.2">
      <c r="C1307" s="5"/>
    </row>
    <row r="1308" spans="3:3" x14ac:dyDescent="0.2">
      <c r="C1308" s="5"/>
    </row>
    <row r="1309" spans="3:3" x14ac:dyDescent="0.2">
      <c r="C1309" s="5"/>
    </row>
    <row r="1310" spans="3:3" x14ac:dyDescent="0.2">
      <c r="C1310" s="5"/>
    </row>
    <row r="1311" spans="3:3" x14ac:dyDescent="0.2">
      <c r="C1311" s="5"/>
    </row>
    <row r="1312" spans="3:3" x14ac:dyDescent="0.2">
      <c r="C1312" s="5"/>
    </row>
    <row r="1313" spans="3:3" x14ac:dyDescent="0.2">
      <c r="C1313" s="5"/>
    </row>
    <row r="1314" spans="3:3" x14ac:dyDescent="0.2">
      <c r="C1314" s="5"/>
    </row>
    <row r="1315" spans="3:3" x14ac:dyDescent="0.2">
      <c r="C1315" s="5"/>
    </row>
    <row r="1316" spans="3:3" x14ac:dyDescent="0.2">
      <c r="C1316" s="5"/>
    </row>
    <row r="1317" spans="3:3" x14ac:dyDescent="0.2">
      <c r="C1317" s="5"/>
    </row>
    <row r="1318" spans="3:3" x14ac:dyDescent="0.2">
      <c r="C1318" s="5"/>
    </row>
    <row r="1319" spans="3:3" x14ac:dyDescent="0.2">
      <c r="C1319" s="5"/>
    </row>
    <row r="1320" spans="3:3" x14ac:dyDescent="0.2">
      <c r="C1320" s="5"/>
    </row>
    <row r="1321" spans="3:3" x14ac:dyDescent="0.2">
      <c r="C1321" s="5"/>
    </row>
    <row r="1322" spans="3:3" x14ac:dyDescent="0.2">
      <c r="C1322" s="5"/>
    </row>
    <row r="1323" spans="3:3" x14ac:dyDescent="0.2">
      <c r="C1323" s="5"/>
    </row>
    <row r="1324" spans="3:3" x14ac:dyDescent="0.2">
      <c r="C1324" s="5"/>
    </row>
    <row r="1325" spans="3:3" x14ac:dyDescent="0.2">
      <c r="C1325" s="5"/>
    </row>
    <row r="1326" spans="3:3" x14ac:dyDescent="0.2">
      <c r="C1326" s="5"/>
    </row>
    <row r="1327" spans="3:3" x14ac:dyDescent="0.2">
      <c r="C1327" s="5"/>
    </row>
    <row r="1328" spans="3:3" x14ac:dyDescent="0.2">
      <c r="C1328" s="5"/>
    </row>
    <row r="1329" spans="3:3" x14ac:dyDescent="0.2">
      <c r="C1329" s="5"/>
    </row>
    <row r="1330" spans="3:3" x14ac:dyDescent="0.2">
      <c r="C1330" s="5"/>
    </row>
    <row r="1331" spans="3:3" x14ac:dyDescent="0.2">
      <c r="C1331" s="5"/>
    </row>
    <row r="1332" spans="3:3" x14ac:dyDescent="0.2">
      <c r="C1332" s="5"/>
    </row>
    <row r="1333" spans="3:3" x14ac:dyDescent="0.2">
      <c r="C1333" s="5"/>
    </row>
    <row r="1334" spans="3:3" x14ac:dyDescent="0.2">
      <c r="C1334" s="5"/>
    </row>
    <row r="1335" spans="3:3" x14ac:dyDescent="0.2">
      <c r="C1335" s="5"/>
    </row>
    <row r="1336" spans="3:3" x14ac:dyDescent="0.2">
      <c r="C1336" s="5"/>
    </row>
    <row r="1337" spans="3:3" x14ac:dyDescent="0.2">
      <c r="C1337" s="5"/>
    </row>
    <row r="1338" spans="3:3" x14ac:dyDescent="0.2">
      <c r="C1338" s="5"/>
    </row>
    <row r="1339" spans="3:3" x14ac:dyDescent="0.2">
      <c r="C1339" s="5"/>
    </row>
    <row r="1340" spans="3:3" x14ac:dyDescent="0.2">
      <c r="C1340" s="5"/>
    </row>
    <row r="1341" spans="3:3" x14ac:dyDescent="0.2">
      <c r="C1341" s="5"/>
    </row>
    <row r="1342" spans="3:3" x14ac:dyDescent="0.2">
      <c r="C1342" s="5"/>
    </row>
    <row r="1343" spans="3:3" x14ac:dyDescent="0.2">
      <c r="C1343" s="5"/>
    </row>
    <row r="1344" spans="3:3" x14ac:dyDescent="0.2">
      <c r="C1344" s="5"/>
    </row>
    <row r="1345" spans="3:3" x14ac:dyDescent="0.2">
      <c r="C1345" s="5"/>
    </row>
    <row r="1346" spans="3:3" x14ac:dyDescent="0.2">
      <c r="C1346" s="5"/>
    </row>
    <row r="1347" spans="3:3" x14ac:dyDescent="0.2">
      <c r="C1347" s="5"/>
    </row>
    <row r="1348" spans="3:3" x14ac:dyDescent="0.2">
      <c r="C1348" s="5"/>
    </row>
    <row r="1349" spans="3:3" x14ac:dyDescent="0.2">
      <c r="C1349" s="5"/>
    </row>
    <row r="1350" spans="3:3" x14ac:dyDescent="0.2">
      <c r="C1350" s="5"/>
    </row>
    <row r="1351" spans="3:3" x14ac:dyDescent="0.2">
      <c r="C1351" s="5"/>
    </row>
    <row r="1352" spans="3:3" x14ac:dyDescent="0.2">
      <c r="C1352" s="5"/>
    </row>
    <row r="1353" spans="3:3" x14ac:dyDescent="0.2">
      <c r="C1353" s="5"/>
    </row>
    <row r="1354" spans="3:3" x14ac:dyDescent="0.2">
      <c r="C1354" s="5"/>
    </row>
    <row r="1355" spans="3:3" x14ac:dyDescent="0.2">
      <c r="C1355" s="5"/>
    </row>
    <row r="1356" spans="3:3" x14ac:dyDescent="0.2">
      <c r="C1356" s="5"/>
    </row>
    <row r="1357" spans="3:3" x14ac:dyDescent="0.2">
      <c r="C1357" s="5"/>
    </row>
    <row r="1358" spans="3:3" x14ac:dyDescent="0.2">
      <c r="C1358" s="5"/>
    </row>
    <row r="1359" spans="3:3" x14ac:dyDescent="0.2">
      <c r="C1359" s="5"/>
    </row>
    <row r="1360" spans="3:3" x14ac:dyDescent="0.2">
      <c r="C1360" s="5"/>
    </row>
    <row r="1361" spans="3:3" x14ac:dyDescent="0.2">
      <c r="C1361" s="5"/>
    </row>
    <row r="1362" spans="3:3" x14ac:dyDescent="0.2">
      <c r="C1362" s="5"/>
    </row>
    <row r="1363" spans="3:3" x14ac:dyDescent="0.2">
      <c r="C1363" s="5"/>
    </row>
    <row r="1364" spans="3:3" x14ac:dyDescent="0.2">
      <c r="C1364" s="5"/>
    </row>
    <row r="1365" spans="3:3" x14ac:dyDescent="0.2">
      <c r="C1365" s="5"/>
    </row>
    <row r="1366" spans="3:3" x14ac:dyDescent="0.2">
      <c r="C1366" s="5"/>
    </row>
    <row r="1367" spans="3:3" x14ac:dyDescent="0.2">
      <c r="C1367" s="5"/>
    </row>
    <row r="1368" spans="3:3" x14ac:dyDescent="0.2">
      <c r="C1368" s="5"/>
    </row>
    <row r="1369" spans="3:3" x14ac:dyDescent="0.2">
      <c r="C1369" s="5"/>
    </row>
    <row r="1370" spans="3:3" x14ac:dyDescent="0.2">
      <c r="C1370" s="5"/>
    </row>
    <row r="1371" spans="3:3" x14ac:dyDescent="0.2">
      <c r="C1371" s="5"/>
    </row>
    <row r="1372" spans="3:3" x14ac:dyDescent="0.2">
      <c r="C1372" s="5"/>
    </row>
    <row r="1373" spans="3:3" x14ac:dyDescent="0.2">
      <c r="C1373" s="5"/>
    </row>
    <row r="1374" spans="3:3" x14ac:dyDescent="0.2">
      <c r="C1374" s="5"/>
    </row>
    <row r="1375" spans="3:3" x14ac:dyDescent="0.2">
      <c r="C1375" s="5"/>
    </row>
    <row r="1376" spans="3:3" x14ac:dyDescent="0.2">
      <c r="C1376" s="5"/>
    </row>
    <row r="1377" spans="3:3" x14ac:dyDescent="0.2">
      <c r="C1377" s="5"/>
    </row>
    <row r="1378" spans="3:3" x14ac:dyDescent="0.2">
      <c r="C1378" s="5"/>
    </row>
    <row r="1379" spans="3:3" x14ac:dyDescent="0.2">
      <c r="C1379" s="5"/>
    </row>
    <row r="1380" spans="3:3" x14ac:dyDescent="0.2">
      <c r="C1380" s="5"/>
    </row>
    <row r="1381" spans="3:3" x14ac:dyDescent="0.2">
      <c r="C1381" s="5"/>
    </row>
    <row r="1382" spans="3:3" x14ac:dyDescent="0.2">
      <c r="C1382" s="5"/>
    </row>
    <row r="1383" spans="3:3" x14ac:dyDescent="0.2">
      <c r="C1383" s="5"/>
    </row>
    <row r="1384" spans="3:3" x14ac:dyDescent="0.2">
      <c r="C1384" s="5"/>
    </row>
    <row r="1385" spans="3:3" x14ac:dyDescent="0.2">
      <c r="C1385" s="5"/>
    </row>
    <row r="1386" spans="3:3" x14ac:dyDescent="0.2">
      <c r="C1386" s="5"/>
    </row>
    <row r="1387" spans="3:3" x14ac:dyDescent="0.2">
      <c r="C1387" s="5"/>
    </row>
    <row r="1388" spans="3:3" x14ac:dyDescent="0.2">
      <c r="C1388" s="5"/>
    </row>
    <row r="1389" spans="3:3" x14ac:dyDescent="0.2">
      <c r="C1389" s="5"/>
    </row>
    <row r="1390" spans="3:3" x14ac:dyDescent="0.2">
      <c r="C1390" s="5"/>
    </row>
    <row r="1391" spans="3:3" x14ac:dyDescent="0.2">
      <c r="C1391" s="5"/>
    </row>
    <row r="1392" spans="3:3" x14ac:dyDescent="0.2">
      <c r="C1392" s="5"/>
    </row>
    <row r="1393" spans="3:3" x14ac:dyDescent="0.2">
      <c r="C1393" s="5"/>
    </row>
    <row r="1394" spans="3:3" x14ac:dyDescent="0.2">
      <c r="C1394" s="5"/>
    </row>
    <row r="1395" spans="3:3" x14ac:dyDescent="0.2">
      <c r="C1395" s="5"/>
    </row>
    <row r="1396" spans="3:3" x14ac:dyDescent="0.2">
      <c r="C1396" s="5"/>
    </row>
    <row r="1397" spans="3:3" x14ac:dyDescent="0.2">
      <c r="C1397" s="5"/>
    </row>
    <row r="1398" spans="3:3" x14ac:dyDescent="0.2">
      <c r="C1398" s="5"/>
    </row>
    <row r="1399" spans="3:3" x14ac:dyDescent="0.2">
      <c r="C1399" s="5"/>
    </row>
    <row r="1400" spans="3:3" x14ac:dyDescent="0.2">
      <c r="C1400" s="5"/>
    </row>
    <row r="1401" spans="3:3" x14ac:dyDescent="0.2">
      <c r="C1401" s="5"/>
    </row>
    <row r="1402" spans="3:3" x14ac:dyDescent="0.2">
      <c r="C1402" s="5"/>
    </row>
    <row r="1403" spans="3:3" x14ac:dyDescent="0.2">
      <c r="C1403" s="5"/>
    </row>
    <row r="1404" spans="3:3" x14ac:dyDescent="0.2">
      <c r="C1404" s="5"/>
    </row>
    <row r="1405" spans="3:3" x14ac:dyDescent="0.2">
      <c r="C1405" s="5"/>
    </row>
    <row r="1406" spans="3:3" x14ac:dyDescent="0.2">
      <c r="C1406" s="5"/>
    </row>
    <row r="1407" spans="3:3" x14ac:dyDescent="0.2">
      <c r="C1407" s="5"/>
    </row>
    <row r="1408" spans="3:3" x14ac:dyDescent="0.2">
      <c r="C1408" s="5"/>
    </row>
    <row r="1409" spans="3:3" x14ac:dyDescent="0.2">
      <c r="C1409" s="5"/>
    </row>
    <row r="1410" spans="3:3" x14ac:dyDescent="0.2">
      <c r="C1410" s="5"/>
    </row>
    <row r="1411" spans="3:3" x14ac:dyDescent="0.2">
      <c r="C1411" s="5"/>
    </row>
    <row r="1412" spans="3:3" x14ac:dyDescent="0.2">
      <c r="C1412" s="5"/>
    </row>
    <row r="1413" spans="3:3" x14ac:dyDescent="0.2">
      <c r="C1413" s="5"/>
    </row>
    <row r="1414" spans="3:3" x14ac:dyDescent="0.2">
      <c r="C1414" s="5"/>
    </row>
    <row r="1415" spans="3:3" x14ac:dyDescent="0.2">
      <c r="C1415" s="5"/>
    </row>
    <row r="1416" spans="3:3" x14ac:dyDescent="0.2">
      <c r="C1416" s="5"/>
    </row>
    <row r="1417" spans="3:3" x14ac:dyDescent="0.2">
      <c r="C1417" s="5"/>
    </row>
    <row r="1418" spans="3:3" x14ac:dyDescent="0.2">
      <c r="C1418" s="5"/>
    </row>
    <row r="1419" spans="3:3" x14ac:dyDescent="0.2">
      <c r="C1419" s="5"/>
    </row>
    <row r="1420" spans="3:3" x14ac:dyDescent="0.2">
      <c r="C1420" s="5"/>
    </row>
    <row r="1421" spans="3:3" x14ac:dyDescent="0.2">
      <c r="C1421" s="5"/>
    </row>
    <row r="1422" spans="3:3" x14ac:dyDescent="0.2">
      <c r="C1422" s="5"/>
    </row>
    <row r="1423" spans="3:3" x14ac:dyDescent="0.2">
      <c r="C1423" s="5"/>
    </row>
    <row r="1424" spans="3:3" x14ac:dyDescent="0.2">
      <c r="C1424" s="5"/>
    </row>
    <row r="1425" spans="3:3" x14ac:dyDescent="0.2">
      <c r="C1425" s="5"/>
    </row>
    <row r="1426" spans="3:3" x14ac:dyDescent="0.2">
      <c r="C1426" s="5"/>
    </row>
    <row r="1427" spans="3:3" x14ac:dyDescent="0.2">
      <c r="C1427" s="5"/>
    </row>
    <row r="1428" spans="3:3" x14ac:dyDescent="0.2">
      <c r="C1428" s="5"/>
    </row>
    <row r="1429" spans="3:3" x14ac:dyDescent="0.2">
      <c r="C1429" s="5"/>
    </row>
    <row r="1430" spans="3:3" x14ac:dyDescent="0.2">
      <c r="C1430" s="5"/>
    </row>
    <row r="1431" spans="3:3" x14ac:dyDescent="0.2">
      <c r="C1431" s="5"/>
    </row>
    <row r="1432" spans="3:3" x14ac:dyDescent="0.2">
      <c r="C1432" s="5"/>
    </row>
    <row r="1433" spans="3:3" x14ac:dyDescent="0.2">
      <c r="C1433" s="5"/>
    </row>
    <row r="1434" spans="3:3" x14ac:dyDescent="0.2">
      <c r="C1434" s="5"/>
    </row>
    <row r="1435" spans="3:3" x14ac:dyDescent="0.2">
      <c r="C1435" s="5"/>
    </row>
    <row r="1436" spans="3:3" x14ac:dyDescent="0.2">
      <c r="C1436" s="5"/>
    </row>
    <row r="1437" spans="3:3" x14ac:dyDescent="0.2">
      <c r="C1437" s="5"/>
    </row>
    <row r="1438" spans="3:3" x14ac:dyDescent="0.2">
      <c r="C1438" s="5"/>
    </row>
    <row r="1439" spans="3:3" x14ac:dyDescent="0.2">
      <c r="C1439" s="5"/>
    </row>
    <row r="1440" spans="3:3" x14ac:dyDescent="0.2">
      <c r="C1440" s="5"/>
    </row>
    <row r="1441" spans="3:3" x14ac:dyDescent="0.2">
      <c r="C1441" s="5"/>
    </row>
    <row r="1442" spans="3:3" x14ac:dyDescent="0.2">
      <c r="C1442" s="5"/>
    </row>
    <row r="1443" spans="3:3" x14ac:dyDescent="0.2">
      <c r="C1443" s="5"/>
    </row>
    <row r="1444" spans="3:3" x14ac:dyDescent="0.2">
      <c r="C1444" s="5"/>
    </row>
    <row r="1445" spans="3:3" x14ac:dyDescent="0.2">
      <c r="C1445" s="5"/>
    </row>
    <row r="1446" spans="3:3" x14ac:dyDescent="0.2">
      <c r="C1446" s="5"/>
    </row>
    <row r="1447" spans="3:3" x14ac:dyDescent="0.2">
      <c r="C1447" s="5"/>
    </row>
    <row r="1448" spans="3:3" x14ac:dyDescent="0.2">
      <c r="C1448" s="5"/>
    </row>
    <row r="1449" spans="3:3" x14ac:dyDescent="0.2">
      <c r="C1449" s="5"/>
    </row>
    <row r="1450" spans="3:3" x14ac:dyDescent="0.2">
      <c r="C1450" s="5"/>
    </row>
    <row r="1451" spans="3:3" x14ac:dyDescent="0.2">
      <c r="C1451" s="5"/>
    </row>
    <row r="1452" spans="3:3" x14ac:dyDescent="0.2">
      <c r="C1452" s="5"/>
    </row>
    <row r="1453" spans="3:3" x14ac:dyDescent="0.2">
      <c r="C1453" s="5"/>
    </row>
    <row r="1454" spans="3:3" x14ac:dyDescent="0.2">
      <c r="C1454" s="5"/>
    </row>
    <row r="1455" spans="3:3" x14ac:dyDescent="0.2">
      <c r="C1455" s="5"/>
    </row>
    <row r="1456" spans="3:3" x14ac:dyDescent="0.2">
      <c r="C1456" s="5"/>
    </row>
    <row r="1457" spans="3:3" x14ac:dyDescent="0.2">
      <c r="C1457" s="5"/>
    </row>
    <row r="1458" spans="3:3" x14ac:dyDescent="0.2">
      <c r="C1458" s="5"/>
    </row>
    <row r="1459" spans="3:3" x14ac:dyDescent="0.2">
      <c r="C1459" s="5"/>
    </row>
    <row r="1460" spans="3:3" x14ac:dyDescent="0.2">
      <c r="C1460" s="5"/>
    </row>
    <row r="1461" spans="3:3" x14ac:dyDescent="0.2">
      <c r="C1461" s="5"/>
    </row>
    <row r="1462" spans="3:3" x14ac:dyDescent="0.2">
      <c r="C1462" s="5"/>
    </row>
    <row r="1463" spans="3:3" x14ac:dyDescent="0.2">
      <c r="C1463" s="5"/>
    </row>
    <row r="1464" spans="3:3" x14ac:dyDescent="0.2">
      <c r="C1464" s="5"/>
    </row>
    <row r="1465" spans="3:3" x14ac:dyDescent="0.2">
      <c r="C1465" s="5"/>
    </row>
    <row r="1466" spans="3:3" x14ac:dyDescent="0.2">
      <c r="C1466" s="5"/>
    </row>
    <row r="1467" spans="3:3" x14ac:dyDescent="0.2">
      <c r="C1467" s="5"/>
    </row>
    <row r="1468" spans="3:3" x14ac:dyDescent="0.2">
      <c r="C1468" s="5"/>
    </row>
    <row r="1469" spans="3:3" x14ac:dyDescent="0.2">
      <c r="C1469" s="5"/>
    </row>
    <row r="1470" spans="3:3" x14ac:dyDescent="0.2">
      <c r="C1470" s="5"/>
    </row>
    <row r="1471" spans="3:3" x14ac:dyDescent="0.2">
      <c r="C1471" s="5"/>
    </row>
    <row r="1472" spans="3:3" x14ac:dyDescent="0.2">
      <c r="C1472" s="5"/>
    </row>
    <row r="1473" spans="3:3" x14ac:dyDescent="0.2">
      <c r="C1473" s="5"/>
    </row>
    <row r="1474" spans="3:3" x14ac:dyDescent="0.2">
      <c r="C1474" s="5"/>
    </row>
    <row r="1475" spans="3:3" x14ac:dyDescent="0.2">
      <c r="C1475" s="5"/>
    </row>
    <row r="1476" spans="3:3" x14ac:dyDescent="0.2">
      <c r="C1476" s="5"/>
    </row>
    <row r="1477" spans="3:3" x14ac:dyDescent="0.2">
      <c r="C1477" s="5"/>
    </row>
    <row r="1478" spans="3:3" x14ac:dyDescent="0.2">
      <c r="C1478" s="5"/>
    </row>
    <row r="1479" spans="3:3" x14ac:dyDescent="0.2">
      <c r="C1479" s="5"/>
    </row>
    <row r="1480" spans="3:3" x14ac:dyDescent="0.2">
      <c r="C1480" s="5"/>
    </row>
    <row r="1481" spans="3:3" x14ac:dyDescent="0.2">
      <c r="C1481" s="5"/>
    </row>
    <row r="1482" spans="3:3" x14ac:dyDescent="0.2">
      <c r="C1482" s="5"/>
    </row>
    <row r="1483" spans="3:3" x14ac:dyDescent="0.2">
      <c r="C1483" s="5"/>
    </row>
    <row r="1484" spans="3:3" x14ac:dyDescent="0.2">
      <c r="C1484" s="5"/>
    </row>
    <row r="1485" spans="3:3" x14ac:dyDescent="0.2">
      <c r="C1485" s="5"/>
    </row>
    <row r="1486" spans="3:3" x14ac:dyDescent="0.2">
      <c r="C1486" s="5"/>
    </row>
    <row r="1487" spans="3:3" x14ac:dyDescent="0.2">
      <c r="C1487" s="5"/>
    </row>
    <row r="1488" spans="3:3" x14ac:dyDescent="0.2">
      <c r="C1488" s="5"/>
    </row>
    <row r="1489" spans="3:3" x14ac:dyDescent="0.2">
      <c r="C1489" s="5"/>
    </row>
    <row r="1490" spans="3:3" x14ac:dyDescent="0.2">
      <c r="C1490" s="5"/>
    </row>
    <row r="1491" spans="3:3" x14ac:dyDescent="0.2">
      <c r="C1491" s="5"/>
    </row>
    <row r="1492" spans="3:3" x14ac:dyDescent="0.2">
      <c r="C1492" s="5"/>
    </row>
    <row r="1493" spans="3:3" x14ac:dyDescent="0.2">
      <c r="C1493" s="5"/>
    </row>
    <row r="1494" spans="3:3" x14ac:dyDescent="0.2">
      <c r="C1494" s="5"/>
    </row>
    <row r="1495" spans="3:3" x14ac:dyDescent="0.2">
      <c r="C1495" s="5"/>
    </row>
    <row r="1496" spans="3:3" x14ac:dyDescent="0.2">
      <c r="C1496" s="5"/>
    </row>
    <row r="1497" spans="3:3" x14ac:dyDescent="0.2">
      <c r="C1497" s="5"/>
    </row>
    <row r="1498" spans="3:3" x14ac:dyDescent="0.2">
      <c r="C1498" s="5"/>
    </row>
    <row r="1499" spans="3:3" x14ac:dyDescent="0.2">
      <c r="C1499" s="5"/>
    </row>
    <row r="1500" spans="3:3" x14ac:dyDescent="0.2">
      <c r="C1500" s="5"/>
    </row>
    <row r="1501" spans="3:3" x14ac:dyDescent="0.2">
      <c r="C1501" s="5"/>
    </row>
    <row r="1502" spans="3:3" x14ac:dyDescent="0.2">
      <c r="C1502" s="5"/>
    </row>
    <row r="1503" spans="3:3" x14ac:dyDescent="0.2">
      <c r="C1503" s="5"/>
    </row>
    <row r="1504" spans="3:3" x14ac:dyDescent="0.2">
      <c r="C1504" s="5"/>
    </row>
    <row r="1505" spans="3:3" x14ac:dyDescent="0.2">
      <c r="C1505" s="5"/>
    </row>
    <row r="1506" spans="3:3" x14ac:dyDescent="0.2">
      <c r="C1506" s="5"/>
    </row>
    <row r="1507" spans="3:3" x14ac:dyDescent="0.2">
      <c r="C1507" s="5"/>
    </row>
    <row r="1508" spans="3:3" x14ac:dyDescent="0.2">
      <c r="C1508" s="5"/>
    </row>
    <row r="1509" spans="3:3" x14ac:dyDescent="0.2">
      <c r="C1509" s="5"/>
    </row>
    <row r="1510" spans="3:3" x14ac:dyDescent="0.2">
      <c r="C1510" s="5"/>
    </row>
    <row r="1511" spans="3:3" x14ac:dyDescent="0.2">
      <c r="C1511" s="5"/>
    </row>
    <row r="1512" spans="3:3" x14ac:dyDescent="0.2">
      <c r="C1512" s="5"/>
    </row>
    <row r="1513" spans="3:3" x14ac:dyDescent="0.2">
      <c r="C1513" s="5"/>
    </row>
    <row r="1514" spans="3:3" x14ac:dyDescent="0.2">
      <c r="C1514" s="5"/>
    </row>
    <row r="1515" spans="3:3" x14ac:dyDescent="0.2">
      <c r="C1515" s="5"/>
    </row>
    <row r="1516" spans="3:3" x14ac:dyDescent="0.2">
      <c r="C1516" s="5"/>
    </row>
    <row r="1517" spans="3:3" x14ac:dyDescent="0.2">
      <c r="C1517" s="5"/>
    </row>
    <row r="1518" spans="3:3" x14ac:dyDescent="0.2">
      <c r="C1518" s="5"/>
    </row>
    <row r="1519" spans="3:3" x14ac:dyDescent="0.2">
      <c r="C1519" s="5"/>
    </row>
    <row r="1520" spans="3:3" x14ac:dyDescent="0.2">
      <c r="C1520" s="5"/>
    </row>
    <row r="1521" spans="3:3" x14ac:dyDescent="0.2">
      <c r="C1521" s="5"/>
    </row>
    <row r="1522" spans="3:3" x14ac:dyDescent="0.2">
      <c r="C1522" s="5"/>
    </row>
    <row r="1523" spans="3:3" x14ac:dyDescent="0.2">
      <c r="C1523" s="5"/>
    </row>
    <row r="1524" spans="3:3" x14ac:dyDescent="0.2">
      <c r="C1524" s="5"/>
    </row>
    <row r="1525" spans="3:3" x14ac:dyDescent="0.2">
      <c r="C1525" s="5"/>
    </row>
    <row r="1526" spans="3:3" x14ac:dyDescent="0.2">
      <c r="C1526" s="5"/>
    </row>
    <row r="1527" spans="3:3" x14ac:dyDescent="0.2">
      <c r="C1527" s="5"/>
    </row>
    <row r="1528" spans="3:3" x14ac:dyDescent="0.2">
      <c r="C1528" s="5"/>
    </row>
    <row r="1529" spans="3:3" x14ac:dyDescent="0.2">
      <c r="C1529" s="5"/>
    </row>
    <row r="1530" spans="3:3" x14ac:dyDescent="0.2">
      <c r="C1530" s="5"/>
    </row>
    <row r="1531" spans="3:3" x14ac:dyDescent="0.2">
      <c r="C1531" s="5"/>
    </row>
    <row r="1532" spans="3:3" x14ac:dyDescent="0.2">
      <c r="C1532" s="5"/>
    </row>
    <row r="1533" spans="3:3" x14ac:dyDescent="0.2">
      <c r="C1533" s="5"/>
    </row>
    <row r="1534" spans="3:3" x14ac:dyDescent="0.2">
      <c r="C1534" s="5"/>
    </row>
    <row r="1535" spans="3:3" x14ac:dyDescent="0.2">
      <c r="C1535" s="5"/>
    </row>
    <row r="1536" spans="3:3" x14ac:dyDescent="0.2">
      <c r="C1536" s="5"/>
    </row>
    <row r="1537" spans="3:3" x14ac:dyDescent="0.2">
      <c r="C1537" s="5"/>
    </row>
    <row r="1538" spans="3:3" x14ac:dyDescent="0.2">
      <c r="C1538" s="5"/>
    </row>
    <row r="1539" spans="3:3" x14ac:dyDescent="0.2">
      <c r="C1539" s="5"/>
    </row>
    <row r="1540" spans="3:3" x14ac:dyDescent="0.2">
      <c r="C1540" s="5"/>
    </row>
    <row r="1541" spans="3:3" x14ac:dyDescent="0.2">
      <c r="C1541" s="5"/>
    </row>
    <row r="1542" spans="3:3" x14ac:dyDescent="0.2">
      <c r="C1542" s="5"/>
    </row>
    <row r="1543" spans="3:3" x14ac:dyDescent="0.2">
      <c r="C1543" s="5"/>
    </row>
    <row r="1544" spans="3:3" x14ac:dyDescent="0.2">
      <c r="C1544" s="5"/>
    </row>
    <row r="1545" spans="3:3" x14ac:dyDescent="0.2">
      <c r="C1545" s="5"/>
    </row>
    <row r="1546" spans="3:3" x14ac:dyDescent="0.2">
      <c r="C1546" s="5"/>
    </row>
    <row r="1547" spans="3:3" x14ac:dyDescent="0.2">
      <c r="C1547" s="5"/>
    </row>
    <row r="1548" spans="3:3" x14ac:dyDescent="0.2">
      <c r="C1548" s="5"/>
    </row>
    <row r="1549" spans="3:3" x14ac:dyDescent="0.2">
      <c r="C1549" s="5"/>
    </row>
    <row r="1550" spans="3:3" x14ac:dyDescent="0.2">
      <c r="C1550" s="5"/>
    </row>
    <row r="1551" spans="3:3" x14ac:dyDescent="0.2">
      <c r="C1551" s="5"/>
    </row>
    <row r="1552" spans="3:3" x14ac:dyDescent="0.2">
      <c r="C1552" s="5"/>
    </row>
    <row r="1553" spans="3:3" x14ac:dyDescent="0.2">
      <c r="C1553" s="5"/>
    </row>
    <row r="1554" spans="3:3" x14ac:dyDescent="0.2">
      <c r="C1554" s="5"/>
    </row>
    <row r="1555" spans="3:3" x14ac:dyDescent="0.2">
      <c r="C1555" s="5"/>
    </row>
    <row r="1556" spans="3:3" x14ac:dyDescent="0.2">
      <c r="C1556" s="5"/>
    </row>
    <row r="1557" spans="3:3" x14ac:dyDescent="0.2">
      <c r="C1557" s="5"/>
    </row>
    <row r="1558" spans="3:3" x14ac:dyDescent="0.2">
      <c r="C1558" s="5"/>
    </row>
    <row r="1559" spans="3:3" x14ac:dyDescent="0.2">
      <c r="C1559" s="5"/>
    </row>
    <row r="1560" spans="3:3" x14ac:dyDescent="0.2">
      <c r="C1560" s="5"/>
    </row>
    <row r="1561" spans="3:3" x14ac:dyDescent="0.2">
      <c r="C1561" s="5"/>
    </row>
    <row r="1562" spans="3:3" x14ac:dyDescent="0.2">
      <c r="C1562" s="5"/>
    </row>
    <row r="1563" spans="3:3" x14ac:dyDescent="0.2">
      <c r="C1563" s="5"/>
    </row>
    <row r="1564" spans="3:3" x14ac:dyDescent="0.2">
      <c r="C1564" s="5"/>
    </row>
    <row r="1565" spans="3:3" x14ac:dyDescent="0.2">
      <c r="C1565" s="5"/>
    </row>
    <row r="1566" spans="3:3" x14ac:dyDescent="0.2">
      <c r="C1566" s="5"/>
    </row>
    <row r="1567" spans="3:3" x14ac:dyDescent="0.2">
      <c r="C1567" s="5"/>
    </row>
    <row r="1568" spans="3:3" x14ac:dyDescent="0.2">
      <c r="C1568" s="5"/>
    </row>
    <row r="1569" spans="3:3" x14ac:dyDescent="0.2">
      <c r="C1569" s="5"/>
    </row>
    <row r="1570" spans="3:3" x14ac:dyDescent="0.2">
      <c r="C1570" s="5"/>
    </row>
    <row r="1571" spans="3:3" x14ac:dyDescent="0.2">
      <c r="C1571" s="5"/>
    </row>
    <row r="1572" spans="3:3" x14ac:dyDescent="0.2">
      <c r="C1572" s="5"/>
    </row>
    <row r="1573" spans="3:3" x14ac:dyDescent="0.2">
      <c r="C1573" s="5"/>
    </row>
    <row r="1574" spans="3:3" x14ac:dyDescent="0.2">
      <c r="C1574" s="5"/>
    </row>
    <row r="1575" spans="3:3" x14ac:dyDescent="0.2">
      <c r="C1575" s="5"/>
    </row>
    <row r="1576" spans="3:3" x14ac:dyDescent="0.2">
      <c r="C1576" s="5"/>
    </row>
    <row r="1577" spans="3:3" x14ac:dyDescent="0.2">
      <c r="C1577" s="5"/>
    </row>
    <row r="1578" spans="3:3" x14ac:dyDescent="0.2">
      <c r="C1578" s="5"/>
    </row>
    <row r="1579" spans="3:3" x14ac:dyDescent="0.2">
      <c r="C1579" s="5"/>
    </row>
    <row r="1580" spans="3:3" x14ac:dyDescent="0.2">
      <c r="C1580" s="5"/>
    </row>
    <row r="1581" spans="3:3" x14ac:dyDescent="0.2">
      <c r="C1581" s="5"/>
    </row>
    <row r="1582" spans="3:3" x14ac:dyDescent="0.2">
      <c r="C1582" s="5"/>
    </row>
    <row r="1583" spans="3:3" x14ac:dyDescent="0.2">
      <c r="C1583" s="5"/>
    </row>
    <row r="1584" spans="3:3" x14ac:dyDescent="0.2">
      <c r="C1584" s="5"/>
    </row>
    <row r="1585" spans="3:3" x14ac:dyDescent="0.2">
      <c r="C1585" s="5"/>
    </row>
    <row r="1586" spans="3:3" x14ac:dyDescent="0.2">
      <c r="C1586" s="5"/>
    </row>
    <row r="1587" spans="3:3" x14ac:dyDescent="0.2">
      <c r="C1587" s="5"/>
    </row>
    <row r="1588" spans="3:3" x14ac:dyDescent="0.2">
      <c r="C1588" s="5"/>
    </row>
    <row r="1589" spans="3:3" x14ac:dyDescent="0.2">
      <c r="C1589" s="5"/>
    </row>
    <row r="1590" spans="3:3" x14ac:dyDescent="0.2">
      <c r="C1590" s="5"/>
    </row>
    <row r="1591" spans="3:3" x14ac:dyDescent="0.2">
      <c r="C1591" s="5"/>
    </row>
    <row r="1592" spans="3:3" x14ac:dyDescent="0.2">
      <c r="C1592" s="5"/>
    </row>
    <row r="1593" spans="3:3" x14ac:dyDescent="0.2">
      <c r="C1593" s="5"/>
    </row>
    <row r="1594" spans="3:3" x14ac:dyDescent="0.2">
      <c r="C1594" s="5"/>
    </row>
    <row r="1595" spans="3:3" x14ac:dyDescent="0.2">
      <c r="C1595" s="5"/>
    </row>
    <row r="1596" spans="3:3" x14ac:dyDescent="0.2">
      <c r="C1596" s="5"/>
    </row>
    <row r="1597" spans="3:3" x14ac:dyDescent="0.2">
      <c r="C1597" s="5"/>
    </row>
    <row r="1598" spans="3:3" x14ac:dyDescent="0.2">
      <c r="C1598" s="5"/>
    </row>
    <row r="1599" spans="3:3" x14ac:dyDescent="0.2">
      <c r="C1599" s="5"/>
    </row>
    <row r="1600" spans="3:3" x14ac:dyDescent="0.2">
      <c r="C1600" s="5"/>
    </row>
    <row r="1601" spans="3:3" x14ac:dyDescent="0.2">
      <c r="C1601" s="5"/>
    </row>
    <row r="1602" spans="3:3" x14ac:dyDescent="0.2">
      <c r="C1602" s="5"/>
    </row>
    <row r="1603" spans="3:3" x14ac:dyDescent="0.2">
      <c r="C1603" s="5"/>
    </row>
    <row r="1604" spans="3:3" x14ac:dyDescent="0.2">
      <c r="C1604" s="5"/>
    </row>
    <row r="1605" spans="3:3" x14ac:dyDescent="0.2">
      <c r="C1605" s="5"/>
    </row>
    <row r="1606" spans="3:3" x14ac:dyDescent="0.2">
      <c r="C1606" s="5"/>
    </row>
    <row r="1607" spans="3:3" x14ac:dyDescent="0.2">
      <c r="C1607" s="5"/>
    </row>
    <row r="1608" spans="3:3" x14ac:dyDescent="0.2">
      <c r="C1608" s="5"/>
    </row>
    <row r="1609" spans="3:3" x14ac:dyDescent="0.2">
      <c r="C1609" s="5"/>
    </row>
    <row r="1610" spans="3:3" x14ac:dyDescent="0.2">
      <c r="C1610" s="5"/>
    </row>
    <row r="1611" spans="3:3" x14ac:dyDescent="0.2">
      <c r="C1611" s="5"/>
    </row>
    <row r="1612" spans="3:3" x14ac:dyDescent="0.2">
      <c r="C1612" s="5"/>
    </row>
    <row r="1613" spans="3:3" x14ac:dyDescent="0.2">
      <c r="C1613" s="5"/>
    </row>
    <row r="1614" spans="3:3" x14ac:dyDescent="0.2">
      <c r="C1614" s="5"/>
    </row>
    <row r="1615" spans="3:3" x14ac:dyDescent="0.2">
      <c r="C1615" s="5"/>
    </row>
    <row r="1616" spans="3:3" x14ac:dyDescent="0.2">
      <c r="C1616" s="5"/>
    </row>
    <row r="1617" spans="3:3" x14ac:dyDescent="0.2">
      <c r="C1617" s="5"/>
    </row>
    <row r="1618" spans="3:3" x14ac:dyDescent="0.2">
      <c r="C1618" s="5"/>
    </row>
    <row r="1619" spans="3:3" x14ac:dyDescent="0.2">
      <c r="C1619" s="5"/>
    </row>
    <row r="1620" spans="3:3" x14ac:dyDescent="0.2">
      <c r="C1620" s="5"/>
    </row>
    <row r="1621" spans="3:3" x14ac:dyDescent="0.2">
      <c r="C1621" s="5"/>
    </row>
    <row r="1622" spans="3:3" x14ac:dyDescent="0.2">
      <c r="C1622" s="5"/>
    </row>
    <row r="1623" spans="3:3" x14ac:dyDescent="0.2">
      <c r="C1623" s="5"/>
    </row>
    <row r="1624" spans="3:3" x14ac:dyDescent="0.2">
      <c r="C1624" s="5"/>
    </row>
    <row r="1625" spans="3:3" x14ac:dyDescent="0.2">
      <c r="C1625" s="5"/>
    </row>
    <row r="1626" spans="3:3" x14ac:dyDescent="0.2">
      <c r="C1626" s="5"/>
    </row>
    <row r="1627" spans="3:3" x14ac:dyDescent="0.2">
      <c r="C1627" s="5"/>
    </row>
    <row r="1628" spans="3:3" x14ac:dyDescent="0.2">
      <c r="C1628" s="5"/>
    </row>
    <row r="1629" spans="3:3" x14ac:dyDescent="0.2">
      <c r="C1629" s="5"/>
    </row>
    <row r="1630" spans="3:3" x14ac:dyDescent="0.2">
      <c r="C1630" s="5"/>
    </row>
    <row r="1631" spans="3:3" x14ac:dyDescent="0.2">
      <c r="C1631" s="5"/>
    </row>
    <row r="1632" spans="3:3" x14ac:dyDescent="0.2">
      <c r="C1632" s="5"/>
    </row>
    <row r="1633" spans="3:3" x14ac:dyDescent="0.2">
      <c r="C1633" s="5"/>
    </row>
    <row r="1634" spans="3:3" x14ac:dyDescent="0.2">
      <c r="C1634" s="5"/>
    </row>
    <row r="1635" spans="3:3" x14ac:dyDescent="0.2">
      <c r="C1635" s="5"/>
    </row>
    <row r="1636" spans="3:3" x14ac:dyDescent="0.2">
      <c r="C1636" s="5"/>
    </row>
    <row r="1637" spans="3:3" x14ac:dyDescent="0.2">
      <c r="C1637" s="5"/>
    </row>
    <row r="1638" spans="3:3" x14ac:dyDescent="0.2">
      <c r="C1638" s="5"/>
    </row>
    <row r="1639" spans="3:3" x14ac:dyDescent="0.2">
      <c r="C1639" s="5"/>
    </row>
    <row r="1640" spans="3:3" x14ac:dyDescent="0.2">
      <c r="C1640" s="5"/>
    </row>
    <row r="1641" spans="3:3" x14ac:dyDescent="0.2">
      <c r="C1641" s="5"/>
    </row>
    <row r="1642" spans="3:3" x14ac:dyDescent="0.2">
      <c r="C1642" s="5"/>
    </row>
    <row r="1643" spans="3:3" x14ac:dyDescent="0.2">
      <c r="C1643" s="5"/>
    </row>
    <row r="1644" spans="3:3" x14ac:dyDescent="0.2">
      <c r="C1644" s="5"/>
    </row>
    <row r="1645" spans="3:3" x14ac:dyDescent="0.2">
      <c r="C1645" s="5"/>
    </row>
    <row r="1646" spans="3:3" x14ac:dyDescent="0.2">
      <c r="C1646" s="5"/>
    </row>
    <row r="1647" spans="3:3" x14ac:dyDescent="0.2">
      <c r="C1647" s="5"/>
    </row>
    <row r="1648" spans="3:3" x14ac:dyDescent="0.2">
      <c r="C1648" s="5"/>
    </row>
    <row r="1649" spans="3:3" x14ac:dyDescent="0.2">
      <c r="C1649" s="5"/>
    </row>
    <row r="1650" spans="3:3" x14ac:dyDescent="0.2">
      <c r="C1650" s="5"/>
    </row>
    <row r="1651" spans="3:3" x14ac:dyDescent="0.2">
      <c r="C1651" s="5"/>
    </row>
    <row r="1652" spans="3:3" x14ac:dyDescent="0.2">
      <c r="C1652" s="5"/>
    </row>
    <row r="1653" spans="3:3" x14ac:dyDescent="0.2">
      <c r="C1653" s="5"/>
    </row>
    <row r="1654" spans="3:3" x14ac:dyDescent="0.2">
      <c r="C1654" s="5"/>
    </row>
    <row r="1655" spans="3:3" x14ac:dyDescent="0.2">
      <c r="C1655" s="5"/>
    </row>
    <row r="1656" spans="3:3" x14ac:dyDescent="0.2">
      <c r="C1656" s="5"/>
    </row>
    <row r="1657" spans="3:3" x14ac:dyDescent="0.2">
      <c r="C1657" s="5"/>
    </row>
    <row r="1658" spans="3:3" x14ac:dyDescent="0.2">
      <c r="C1658" s="5"/>
    </row>
    <row r="1659" spans="3:3" x14ac:dyDescent="0.2">
      <c r="C1659" s="5"/>
    </row>
    <row r="1660" spans="3:3" x14ac:dyDescent="0.2">
      <c r="C1660" s="5"/>
    </row>
    <row r="1661" spans="3:3" x14ac:dyDescent="0.2">
      <c r="C1661" s="5"/>
    </row>
    <row r="1662" spans="3:3" x14ac:dyDescent="0.2">
      <c r="C1662" s="5"/>
    </row>
    <row r="1663" spans="3:3" x14ac:dyDescent="0.2">
      <c r="C1663" s="5"/>
    </row>
    <row r="1664" spans="3:3" x14ac:dyDescent="0.2">
      <c r="C1664" s="5"/>
    </row>
    <row r="1665" spans="3:3" x14ac:dyDescent="0.2">
      <c r="C1665" s="5"/>
    </row>
    <row r="1666" spans="3:3" x14ac:dyDescent="0.2">
      <c r="C1666" s="5"/>
    </row>
    <row r="1667" spans="3:3" x14ac:dyDescent="0.2">
      <c r="C1667" s="5"/>
    </row>
    <row r="1668" spans="3:3" x14ac:dyDescent="0.2">
      <c r="C1668" s="5"/>
    </row>
    <row r="1669" spans="3:3" x14ac:dyDescent="0.2">
      <c r="C1669" s="5"/>
    </row>
    <row r="1670" spans="3:3" x14ac:dyDescent="0.2">
      <c r="C1670" s="5"/>
    </row>
    <row r="1671" spans="3:3" x14ac:dyDescent="0.2">
      <c r="C1671" s="5"/>
    </row>
    <row r="1672" spans="3:3" x14ac:dyDescent="0.2">
      <c r="C1672" s="5"/>
    </row>
    <row r="1673" spans="3:3" x14ac:dyDescent="0.2">
      <c r="C1673" s="5"/>
    </row>
    <row r="1674" spans="3:3" x14ac:dyDescent="0.2">
      <c r="C1674" s="5"/>
    </row>
    <row r="1675" spans="3:3" x14ac:dyDescent="0.2">
      <c r="C1675" s="5"/>
    </row>
    <row r="1676" spans="3:3" x14ac:dyDescent="0.2">
      <c r="C1676" s="5"/>
    </row>
    <row r="1677" spans="3:3" x14ac:dyDescent="0.2">
      <c r="C1677" s="5"/>
    </row>
    <row r="1678" spans="3:3" x14ac:dyDescent="0.2">
      <c r="C1678" s="5"/>
    </row>
    <row r="1679" spans="3:3" x14ac:dyDescent="0.2">
      <c r="C1679" s="5"/>
    </row>
    <row r="1680" spans="3:3" x14ac:dyDescent="0.2">
      <c r="C1680" s="5"/>
    </row>
    <row r="1681" spans="3:3" x14ac:dyDescent="0.2">
      <c r="C1681" s="5"/>
    </row>
    <row r="1682" spans="3:3" x14ac:dyDescent="0.2">
      <c r="C1682" s="5"/>
    </row>
    <row r="1683" spans="3:3" x14ac:dyDescent="0.2">
      <c r="C1683" s="5"/>
    </row>
    <row r="1684" spans="3:3" x14ac:dyDescent="0.2">
      <c r="C1684" s="5"/>
    </row>
    <row r="1685" spans="3:3" x14ac:dyDescent="0.2">
      <c r="C1685" s="5"/>
    </row>
    <row r="1686" spans="3:3" x14ac:dyDescent="0.2">
      <c r="C1686" s="5"/>
    </row>
    <row r="1687" spans="3:3" x14ac:dyDescent="0.2">
      <c r="C1687" s="5"/>
    </row>
    <row r="1688" spans="3:3" x14ac:dyDescent="0.2">
      <c r="C1688" s="5"/>
    </row>
    <row r="1689" spans="3:3" x14ac:dyDescent="0.2">
      <c r="C1689" s="5"/>
    </row>
    <row r="1690" spans="3:3" x14ac:dyDescent="0.2">
      <c r="C1690" s="5"/>
    </row>
    <row r="1691" spans="3:3" x14ac:dyDescent="0.2">
      <c r="C1691" s="5"/>
    </row>
    <row r="1692" spans="3:3" x14ac:dyDescent="0.2">
      <c r="C1692" s="5"/>
    </row>
    <row r="1693" spans="3:3" x14ac:dyDescent="0.2">
      <c r="C1693" s="5"/>
    </row>
    <row r="1694" spans="3:3" x14ac:dyDescent="0.2">
      <c r="C1694" s="5"/>
    </row>
    <row r="1695" spans="3:3" x14ac:dyDescent="0.2">
      <c r="C1695" s="5"/>
    </row>
    <row r="1696" spans="3:3" x14ac:dyDescent="0.2">
      <c r="C1696" s="5"/>
    </row>
    <row r="1697" spans="3:3" x14ac:dyDescent="0.2">
      <c r="C1697" s="5"/>
    </row>
    <row r="1698" spans="3:3" x14ac:dyDescent="0.2">
      <c r="C1698" s="5"/>
    </row>
    <row r="1699" spans="3:3" x14ac:dyDescent="0.2">
      <c r="C1699" s="5"/>
    </row>
    <row r="1700" spans="3:3" x14ac:dyDescent="0.2">
      <c r="C1700" s="5"/>
    </row>
    <row r="1701" spans="3:3" x14ac:dyDescent="0.2">
      <c r="C1701" s="5"/>
    </row>
    <row r="1702" spans="3:3" x14ac:dyDescent="0.2">
      <c r="C1702" s="5"/>
    </row>
    <row r="1703" spans="3:3" x14ac:dyDescent="0.2">
      <c r="C1703" s="5"/>
    </row>
    <row r="1704" spans="3:3" x14ac:dyDescent="0.2">
      <c r="C1704" s="5"/>
    </row>
    <row r="1705" spans="3:3" x14ac:dyDescent="0.2">
      <c r="C1705" s="5"/>
    </row>
    <row r="1706" spans="3:3" x14ac:dyDescent="0.2">
      <c r="C1706" s="5"/>
    </row>
    <row r="1707" spans="3:3" x14ac:dyDescent="0.2">
      <c r="C1707" s="5"/>
    </row>
    <row r="1708" spans="3:3" x14ac:dyDescent="0.2">
      <c r="C1708" s="5"/>
    </row>
    <row r="1709" spans="3:3" x14ac:dyDescent="0.2">
      <c r="C1709" s="5"/>
    </row>
    <row r="1710" spans="3:3" x14ac:dyDescent="0.2">
      <c r="C1710" s="5"/>
    </row>
    <row r="1711" spans="3:3" x14ac:dyDescent="0.2">
      <c r="C1711" s="5"/>
    </row>
    <row r="1712" spans="3:3" x14ac:dyDescent="0.2">
      <c r="C1712" s="5"/>
    </row>
    <row r="1713" spans="3:3" x14ac:dyDescent="0.2">
      <c r="C1713" s="5"/>
    </row>
    <row r="1714" spans="3:3" x14ac:dyDescent="0.2">
      <c r="C1714" s="5"/>
    </row>
    <row r="1715" spans="3:3" x14ac:dyDescent="0.2">
      <c r="C1715" s="5"/>
    </row>
    <row r="1716" spans="3:3" x14ac:dyDescent="0.2">
      <c r="C1716" s="5"/>
    </row>
    <row r="1717" spans="3:3" x14ac:dyDescent="0.2">
      <c r="C1717" s="5"/>
    </row>
    <row r="1718" spans="3:3" x14ac:dyDescent="0.2">
      <c r="C1718" s="5"/>
    </row>
    <row r="1719" spans="3:3" x14ac:dyDescent="0.2">
      <c r="C1719" s="5"/>
    </row>
    <row r="1720" spans="3:3" x14ac:dyDescent="0.2">
      <c r="C1720" s="5"/>
    </row>
    <row r="1721" spans="3:3" x14ac:dyDescent="0.2">
      <c r="C1721" s="5"/>
    </row>
    <row r="1722" spans="3:3" x14ac:dyDescent="0.2">
      <c r="C1722" s="5"/>
    </row>
    <row r="1723" spans="3:3" x14ac:dyDescent="0.2">
      <c r="C1723" s="5"/>
    </row>
    <row r="1724" spans="3:3" x14ac:dyDescent="0.2">
      <c r="C1724" s="5"/>
    </row>
    <row r="1725" spans="3:3" x14ac:dyDescent="0.2">
      <c r="C1725" s="5"/>
    </row>
    <row r="1726" spans="3:3" x14ac:dyDescent="0.2">
      <c r="C1726" s="5"/>
    </row>
    <row r="1727" spans="3:3" x14ac:dyDescent="0.2">
      <c r="C1727" s="5"/>
    </row>
    <row r="1728" spans="3:3" x14ac:dyDescent="0.2">
      <c r="C1728" s="5"/>
    </row>
    <row r="1729" spans="3:3" x14ac:dyDescent="0.2">
      <c r="C1729" s="5"/>
    </row>
    <row r="1730" spans="3:3" x14ac:dyDescent="0.2">
      <c r="C1730" s="5"/>
    </row>
    <row r="1731" spans="3:3" x14ac:dyDescent="0.2">
      <c r="C1731" s="5"/>
    </row>
    <row r="1732" spans="3:3" x14ac:dyDescent="0.2">
      <c r="C1732" s="5"/>
    </row>
    <row r="1733" spans="3:3" x14ac:dyDescent="0.2">
      <c r="C1733" s="5"/>
    </row>
    <row r="1734" spans="3:3" x14ac:dyDescent="0.2">
      <c r="C1734" s="5"/>
    </row>
    <row r="1735" spans="3:3" x14ac:dyDescent="0.2">
      <c r="C1735" s="5"/>
    </row>
    <row r="1736" spans="3:3" x14ac:dyDescent="0.2">
      <c r="C1736" s="5"/>
    </row>
    <row r="1737" spans="3:3" x14ac:dyDescent="0.2">
      <c r="C1737" s="5"/>
    </row>
    <row r="1738" spans="3:3" x14ac:dyDescent="0.2">
      <c r="C1738" s="5"/>
    </row>
    <row r="1739" spans="3:3" x14ac:dyDescent="0.2">
      <c r="C1739" s="5"/>
    </row>
    <row r="1740" spans="3:3" x14ac:dyDescent="0.2">
      <c r="C1740" s="5"/>
    </row>
    <row r="1741" spans="3:3" x14ac:dyDescent="0.2">
      <c r="C1741" s="5"/>
    </row>
    <row r="1742" spans="3:3" x14ac:dyDescent="0.2">
      <c r="C1742" s="5"/>
    </row>
    <row r="1743" spans="3:3" x14ac:dyDescent="0.2">
      <c r="C1743" s="5"/>
    </row>
    <row r="1744" spans="3:3" x14ac:dyDescent="0.2">
      <c r="C1744" s="5"/>
    </row>
    <row r="1745" spans="3:3" x14ac:dyDescent="0.2">
      <c r="C1745" s="5"/>
    </row>
    <row r="1746" spans="3:3" x14ac:dyDescent="0.2">
      <c r="C1746" s="5"/>
    </row>
    <row r="1747" spans="3:3" x14ac:dyDescent="0.2">
      <c r="C1747" s="5"/>
    </row>
    <row r="1748" spans="3:3" x14ac:dyDescent="0.2">
      <c r="C1748" s="5"/>
    </row>
    <row r="1749" spans="3:3" x14ac:dyDescent="0.2">
      <c r="C1749" s="5"/>
    </row>
    <row r="1750" spans="3:3" x14ac:dyDescent="0.2">
      <c r="C1750" s="5"/>
    </row>
    <row r="1751" spans="3:3" x14ac:dyDescent="0.2">
      <c r="C1751" s="5"/>
    </row>
    <row r="1752" spans="3:3" x14ac:dyDescent="0.2">
      <c r="C1752" s="5"/>
    </row>
    <row r="1753" spans="3:3" x14ac:dyDescent="0.2">
      <c r="C1753" s="5"/>
    </row>
    <row r="1754" spans="3:3" x14ac:dyDescent="0.2">
      <c r="C1754" s="5"/>
    </row>
    <row r="1755" spans="3:3" x14ac:dyDescent="0.2">
      <c r="C1755" s="5"/>
    </row>
    <row r="1756" spans="3:3" x14ac:dyDescent="0.2">
      <c r="C1756" s="5"/>
    </row>
    <row r="1757" spans="3:3" x14ac:dyDescent="0.2">
      <c r="C1757" s="5"/>
    </row>
    <row r="1758" spans="3:3" x14ac:dyDescent="0.2">
      <c r="C1758" s="5"/>
    </row>
    <row r="1759" spans="3:3" x14ac:dyDescent="0.2">
      <c r="C1759" s="5"/>
    </row>
    <row r="1760" spans="3:3" x14ac:dyDescent="0.2">
      <c r="C1760" s="5"/>
    </row>
    <row r="1761" spans="3:3" x14ac:dyDescent="0.2">
      <c r="C1761" s="5"/>
    </row>
    <row r="1762" spans="3:3" x14ac:dyDescent="0.2">
      <c r="C1762" s="5"/>
    </row>
    <row r="1763" spans="3:3" x14ac:dyDescent="0.2">
      <c r="C1763" s="5"/>
    </row>
    <row r="1764" spans="3:3" x14ac:dyDescent="0.2">
      <c r="C1764" s="5"/>
    </row>
    <row r="1765" spans="3:3" x14ac:dyDescent="0.2">
      <c r="C1765" s="5"/>
    </row>
    <row r="1766" spans="3:3" x14ac:dyDescent="0.2">
      <c r="C1766" s="5"/>
    </row>
    <row r="1767" spans="3:3" x14ac:dyDescent="0.2">
      <c r="C1767" s="5"/>
    </row>
    <row r="1768" spans="3:3" x14ac:dyDescent="0.2">
      <c r="C1768" s="5"/>
    </row>
    <row r="1769" spans="3:3" x14ac:dyDescent="0.2">
      <c r="C1769" s="5"/>
    </row>
    <row r="1770" spans="3:3" x14ac:dyDescent="0.2">
      <c r="C1770" s="5"/>
    </row>
    <row r="1771" spans="3:3" x14ac:dyDescent="0.2">
      <c r="C1771" s="5"/>
    </row>
    <row r="1772" spans="3:3" x14ac:dyDescent="0.2">
      <c r="C1772" s="5"/>
    </row>
    <row r="1773" spans="3:3" x14ac:dyDescent="0.2">
      <c r="C1773" s="5"/>
    </row>
    <row r="1774" spans="3:3" x14ac:dyDescent="0.2">
      <c r="C1774" s="5"/>
    </row>
    <row r="1775" spans="3:3" x14ac:dyDescent="0.2">
      <c r="C1775" s="5"/>
    </row>
    <row r="1776" spans="3:3" x14ac:dyDescent="0.2">
      <c r="C1776" s="5"/>
    </row>
    <row r="1777" spans="3:3" x14ac:dyDescent="0.2">
      <c r="C1777" s="5"/>
    </row>
    <row r="1778" spans="3:3" x14ac:dyDescent="0.2">
      <c r="C1778" s="5"/>
    </row>
    <row r="1779" spans="3:3" x14ac:dyDescent="0.2">
      <c r="C1779" s="5"/>
    </row>
    <row r="1780" spans="3:3" x14ac:dyDescent="0.2">
      <c r="C1780" s="5"/>
    </row>
    <row r="1781" spans="3:3" x14ac:dyDescent="0.2">
      <c r="C1781" s="5"/>
    </row>
    <row r="1782" spans="3:3" x14ac:dyDescent="0.2">
      <c r="C1782" s="5"/>
    </row>
    <row r="1783" spans="3:3" x14ac:dyDescent="0.2">
      <c r="C1783" s="5"/>
    </row>
    <row r="1784" spans="3:3" x14ac:dyDescent="0.2">
      <c r="C1784" s="5"/>
    </row>
    <row r="1785" spans="3:3" x14ac:dyDescent="0.2">
      <c r="C1785" s="5"/>
    </row>
    <row r="1786" spans="3:3" x14ac:dyDescent="0.2">
      <c r="C1786" s="5"/>
    </row>
    <row r="1787" spans="3:3" x14ac:dyDescent="0.2">
      <c r="C1787" s="5"/>
    </row>
    <row r="1788" spans="3:3" x14ac:dyDescent="0.2">
      <c r="C1788" s="5"/>
    </row>
    <row r="1789" spans="3:3" x14ac:dyDescent="0.2">
      <c r="C1789" s="5"/>
    </row>
    <row r="1790" spans="3:3" x14ac:dyDescent="0.2">
      <c r="C1790" s="5"/>
    </row>
    <row r="1791" spans="3:3" x14ac:dyDescent="0.2">
      <c r="C1791" s="5"/>
    </row>
    <row r="1792" spans="3:3" x14ac:dyDescent="0.2">
      <c r="C1792" s="5"/>
    </row>
    <row r="1793" spans="3:3" x14ac:dyDescent="0.2">
      <c r="C1793" s="5"/>
    </row>
    <row r="1794" spans="3:3" x14ac:dyDescent="0.2">
      <c r="C1794" s="5"/>
    </row>
    <row r="1795" spans="3:3" x14ac:dyDescent="0.2">
      <c r="C1795" s="5"/>
    </row>
    <row r="1796" spans="3:3" x14ac:dyDescent="0.2">
      <c r="C1796" s="5"/>
    </row>
    <row r="1797" spans="3:3" x14ac:dyDescent="0.2">
      <c r="C1797" s="5"/>
    </row>
    <row r="1798" spans="3:3" x14ac:dyDescent="0.2">
      <c r="C1798" s="5"/>
    </row>
    <row r="1799" spans="3:3" x14ac:dyDescent="0.2">
      <c r="C1799" s="5"/>
    </row>
    <row r="1800" spans="3:3" x14ac:dyDescent="0.2">
      <c r="C1800" s="5"/>
    </row>
    <row r="1801" spans="3:3" x14ac:dyDescent="0.2">
      <c r="C1801" s="5"/>
    </row>
    <row r="1802" spans="3:3" x14ac:dyDescent="0.2">
      <c r="C1802" s="5"/>
    </row>
    <row r="1803" spans="3:3" x14ac:dyDescent="0.2">
      <c r="C1803" s="5"/>
    </row>
    <row r="1804" spans="3:3" x14ac:dyDescent="0.2">
      <c r="C1804" s="5"/>
    </row>
    <row r="1805" spans="3:3" x14ac:dyDescent="0.2">
      <c r="C1805" s="5"/>
    </row>
    <row r="1806" spans="3:3" x14ac:dyDescent="0.2">
      <c r="C1806" s="5"/>
    </row>
    <row r="1807" spans="3:3" x14ac:dyDescent="0.2">
      <c r="C1807" s="5"/>
    </row>
    <row r="1808" spans="3:3" x14ac:dyDescent="0.2">
      <c r="C1808" s="5"/>
    </row>
    <row r="1809" spans="3:3" x14ac:dyDescent="0.2">
      <c r="C1809" s="5"/>
    </row>
    <row r="1810" spans="3:3" x14ac:dyDescent="0.2">
      <c r="C1810" s="5"/>
    </row>
    <row r="1811" spans="3:3" x14ac:dyDescent="0.2">
      <c r="C1811" s="5"/>
    </row>
    <row r="1812" spans="3:3" x14ac:dyDescent="0.2">
      <c r="C1812" s="5"/>
    </row>
    <row r="1813" spans="3:3" x14ac:dyDescent="0.2">
      <c r="C1813" s="5"/>
    </row>
    <row r="1814" spans="3:3" x14ac:dyDescent="0.2">
      <c r="C1814" s="5"/>
    </row>
    <row r="1815" spans="3:3" x14ac:dyDescent="0.2">
      <c r="C1815" s="5"/>
    </row>
    <row r="1816" spans="3:3" x14ac:dyDescent="0.2">
      <c r="C1816" s="5"/>
    </row>
    <row r="1817" spans="3:3" x14ac:dyDescent="0.2">
      <c r="C1817" s="5"/>
    </row>
    <row r="1818" spans="3:3" x14ac:dyDescent="0.2">
      <c r="C1818" s="5"/>
    </row>
    <row r="1819" spans="3:3" x14ac:dyDescent="0.2">
      <c r="C1819" s="5"/>
    </row>
    <row r="1820" spans="3:3" x14ac:dyDescent="0.2">
      <c r="C1820" s="5"/>
    </row>
    <row r="1821" spans="3:3" x14ac:dyDescent="0.2">
      <c r="C1821" s="5"/>
    </row>
    <row r="1822" spans="3:3" x14ac:dyDescent="0.2">
      <c r="C1822" s="5"/>
    </row>
    <row r="1823" spans="3:3" x14ac:dyDescent="0.2">
      <c r="C1823" s="5"/>
    </row>
    <row r="1824" spans="3:3" x14ac:dyDescent="0.2">
      <c r="C1824" s="5"/>
    </row>
    <row r="1825" spans="3:3" x14ac:dyDescent="0.2">
      <c r="C1825" s="5"/>
    </row>
    <row r="1826" spans="3:3" x14ac:dyDescent="0.2">
      <c r="C1826" s="5"/>
    </row>
    <row r="1827" spans="3:3" x14ac:dyDescent="0.2">
      <c r="C1827" s="5"/>
    </row>
    <row r="1828" spans="3:3" x14ac:dyDescent="0.2">
      <c r="C1828" s="5"/>
    </row>
    <row r="1829" spans="3:3" x14ac:dyDescent="0.2">
      <c r="C1829" s="5"/>
    </row>
    <row r="1830" spans="3:3" x14ac:dyDescent="0.2">
      <c r="C1830" s="5"/>
    </row>
    <row r="1831" spans="3:3" x14ac:dyDescent="0.2">
      <c r="C1831" s="5"/>
    </row>
    <row r="1832" spans="3:3" x14ac:dyDescent="0.2">
      <c r="C1832" s="5"/>
    </row>
    <row r="1833" spans="3:3" x14ac:dyDescent="0.2">
      <c r="C1833" s="5"/>
    </row>
    <row r="1834" spans="3:3" x14ac:dyDescent="0.2">
      <c r="C1834" s="5"/>
    </row>
    <row r="1835" spans="3:3" x14ac:dyDescent="0.2">
      <c r="C1835" s="5"/>
    </row>
    <row r="1836" spans="3:3" x14ac:dyDescent="0.2">
      <c r="C1836" s="5"/>
    </row>
    <row r="1837" spans="3:3" x14ac:dyDescent="0.2">
      <c r="C1837" s="5"/>
    </row>
    <row r="1838" spans="3:3" x14ac:dyDescent="0.2">
      <c r="C1838" s="5"/>
    </row>
    <row r="1839" spans="3:3" x14ac:dyDescent="0.2">
      <c r="C1839" s="5"/>
    </row>
    <row r="1840" spans="3:3" x14ac:dyDescent="0.2">
      <c r="C1840" s="5"/>
    </row>
    <row r="1841" spans="3:3" x14ac:dyDescent="0.2">
      <c r="C1841" s="5"/>
    </row>
    <row r="1842" spans="3:3" x14ac:dyDescent="0.2">
      <c r="C1842" s="5"/>
    </row>
    <row r="1843" spans="3:3" x14ac:dyDescent="0.2">
      <c r="C1843" s="5"/>
    </row>
    <row r="1844" spans="3:3" x14ac:dyDescent="0.2">
      <c r="C1844" s="5"/>
    </row>
    <row r="1845" spans="3:3" x14ac:dyDescent="0.2">
      <c r="C1845" s="5"/>
    </row>
    <row r="1846" spans="3:3" x14ac:dyDescent="0.2">
      <c r="C1846" s="5"/>
    </row>
    <row r="1847" spans="3:3" x14ac:dyDescent="0.2">
      <c r="C1847" s="5"/>
    </row>
    <row r="1848" spans="3:3" x14ac:dyDescent="0.2">
      <c r="C1848" s="5"/>
    </row>
    <row r="1849" spans="3:3" x14ac:dyDescent="0.2">
      <c r="C1849" s="5"/>
    </row>
    <row r="1850" spans="3:3" x14ac:dyDescent="0.2">
      <c r="C1850" s="5"/>
    </row>
    <row r="1851" spans="3:3" x14ac:dyDescent="0.2">
      <c r="C1851" s="5"/>
    </row>
    <row r="1852" spans="3:3" x14ac:dyDescent="0.2">
      <c r="C1852" s="5"/>
    </row>
    <row r="1853" spans="3:3" x14ac:dyDescent="0.2">
      <c r="C1853" s="5"/>
    </row>
    <row r="1854" spans="3:3" x14ac:dyDescent="0.2">
      <c r="C1854" s="5"/>
    </row>
    <row r="1855" spans="3:3" x14ac:dyDescent="0.2">
      <c r="C1855" s="5"/>
    </row>
    <row r="1856" spans="3:3" x14ac:dyDescent="0.2">
      <c r="C1856" s="5"/>
    </row>
    <row r="1857" spans="3:3" x14ac:dyDescent="0.2">
      <c r="C1857" s="5"/>
    </row>
    <row r="1858" spans="3:3" x14ac:dyDescent="0.2">
      <c r="C1858" s="5"/>
    </row>
    <row r="1859" spans="3:3" x14ac:dyDescent="0.2">
      <c r="C1859" s="5"/>
    </row>
    <row r="1860" spans="3:3" x14ac:dyDescent="0.2">
      <c r="C1860" s="5"/>
    </row>
    <row r="1861" spans="3:3" x14ac:dyDescent="0.2">
      <c r="C1861" s="5"/>
    </row>
    <row r="1862" spans="3:3" x14ac:dyDescent="0.2">
      <c r="C1862" s="5"/>
    </row>
    <row r="1863" spans="3:3" x14ac:dyDescent="0.2">
      <c r="C1863" s="5"/>
    </row>
    <row r="1864" spans="3:3" x14ac:dyDescent="0.2">
      <c r="C1864" s="5"/>
    </row>
    <row r="1865" spans="3:3" x14ac:dyDescent="0.2">
      <c r="C1865" s="5"/>
    </row>
    <row r="1866" spans="3:3" x14ac:dyDescent="0.2">
      <c r="C1866" s="5"/>
    </row>
    <row r="1867" spans="3:3" x14ac:dyDescent="0.2">
      <c r="C1867" s="5"/>
    </row>
    <row r="1868" spans="3:3" x14ac:dyDescent="0.2">
      <c r="C1868" s="5"/>
    </row>
    <row r="1869" spans="3:3" x14ac:dyDescent="0.2">
      <c r="C1869" s="5"/>
    </row>
    <row r="1870" spans="3:3" x14ac:dyDescent="0.2">
      <c r="C1870" s="5"/>
    </row>
    <row r="1871" spans="3:3" x14ac:dyDescent="0.2">
      <c r="C1871" s="5"/>
    </row>
    <row r="1872" spans="3:3" x14ac:dyDescent="0.2">
      <c r="C1872" s="5"/>
    </row>
    <row r="1873" spans="3:3" x14ac:dyDescent="0.2">
      <c r="C1873" s="5"/>
    </row>
    <row r="1874" spans="3:3" x14ac:dyDescent="0.2">
      <c r="C1874" s="5"/>
    </row>
    <row r="1875" spans="3:3" x14ac:dyDescent="0.2">
      <c r="C1875" s="5"/>
    </row>
    <row r="1876" spans="3:3" x14ac:dyDescent="0.2">
      <c r="C1876" s="5"/>
    </row>
    <row r="1877" spans="3:3" x14ac:dyDescent="0.2">
      <c r="C1877" s="5"/>
    </row>
    <row r="1878" spans="3:3" x14ac:dyDescent="0.2">
      <c r="C1878" s="5"/>
    </row>
    <row r="1879" spans="3:3" x14ac:dyDescent="0.2">
      <c r="C1879" s="5"/>
    </row>
    <row r="1880" spans="3:3" x14ac:dyDescent="0.2">
      <c r="C1880" s="5"/>
    </row>
    <row r="1881" spans="3:3" x14ac:dyDescent="0.2">
      <c r="C1881" s="5"/>
    </row>
    <row r="1882" spans="3:3" x14ac:dyDescent="0.2">
      <c r="C1882" s="5"/>
    </row>
    <row r="1883" spans="3:3" x14ac:dyDescent="0.2">
      <c r="C1883" s="5"/>
    </row>
    <row r="1884" spans="3:3" x14ac:dyDescent="0.2">
      <c r="C1884" s="5"/>
    </row>
    <row r="1885" spans="3:3" x14ac:dyDescent="0.2">
      <c r="C1885" s="5"/>
    </row>
    <row r="1886" spans="3:3" x14ac:dyDescent="0.2">
      <c r="C1886" s="5"/>
    </row>
    <row r="1887" spans="3:3" x14ac:dyDescent="0.2">
      <c r="C1887" s="5"/>
    </row>
    <row r="1888" spans="3:3" x14ac:dyDescent="0.2">
      <c r="C1888" s="5"/>
    </row>
    <row r="1889" spans="3:3" x14ac:dyDescent="0.2">
      <c r="C1889" s="5"/>
    </row>
    <row r="1890" spans="3:3" x14ac:dyDescent="0.2">
      <c r="C1890" s="5"/>
    </row>
    <row r="1891" spans="3:3" x14ac:dyDescent="0.2">
      <c r="C1891" s="5"/>
    </row>
    <row r="1892" spans="3:3" x14ac:dyDescent="0.2">
      <c r="C1892" s="5"/>
    </row>
    <row r="1893" spans="3:3" x14ac:dyDescent="0.2">
      <c r="C1893" s="5"/>
    </row>
    <row r="1894" spans="3:3" x14ac:dyDescent="0.2">
      <c r="C1894" s="5"/>
    </row>
    <row r="1895" spans="3:3" x14ac:dyDescent="0.2">
      <c r="C1895" s="5"/>
    </row>
    <row r="1896" spans="3:3" x14ac:dyDescent="0.2">
      <c r="C1896" s="5"/>
    </row>
    <row r="1897" spans="3:3" x14ac:dyDescent="0.2">
      <c r="C1897" s="5"/>
    </row>
    <row r="1898" spans="3:3" x14ac:dyDescent="0.2">
      <c r="C1898" s="5"/>
    </row>
    <row r="1899" spans="3:3" x14ac:dyDescent="0.2">
      <c r="C1899" s="5"/>
    </row>
    <row r="1900" spans="3:3" x14ac:dyDescent="0.2">
      <c r="C1900" s="5"/>
    </row>
    <row r="1901" spans="3:3" x14ac:dyDescent="0.2">
      <c r="C1901" s="5"/>
    </row>
    <row r="1902" spans="3:3" x14ac:dyDescent="0.2">
      <c r="C1902" s="5"/>
    </row>
    <row r="1903" spans="3:3" x14ac:dyDescent="0.2">
      <c r="C1903" s="5"/>
    </row>
    <row r="1904" spans="3:3" x14ac:dyDescent="0.2">
      <c r="C1904" s="5"/>
    </row>
    <row r="1905" spans="3:3" x14ac:dyDescent="0.2">
      <c r="C1905" s="5"/>
    </row>
    <row r="1906" spans="3:3" x14ac:dyDescent="0.2">
      <c r="C1906" s="5"/>
    </row>
    <row r="1907" spans="3:3" x14ac:dyDescent="0.2">
      <c r="C1907" s="5"/>
    </row>
    <row r="1908" spans="3:3" x14ac:dyDescent="0.2">
      <c r="C1908" s="5"/>
    </row>
    <row r="1909" spans="3:3" x14ac:dyDescent="0.2">
      <c r="C1909" s="5"/>
    </row>
    <row r="1910" spans="3:3" x14ac:dyDescent="0.2">
      <c r="C1910" s="5"/>
    </row>
    <row r="1911" spans="3:3" x14ac:dyDescent="0.2">
      <c r="C1911" s="5"/>
    </row>
    <row r="1912" spans="3:3" x14ac:dyDescent="0.2">
      <c r="C1912" s="5"/>
    </row>
    <row r="1913" spans="3:3" x14ac:dyDescent="0.2">
      <c r="C1913" s="5"/>
    </row>
    <row r="1914" spans="3:3" x14ac:dyDescent="0.2">
      <c r="C1914" s="5"/>
    </row>
    <row r="1915" spans="3:3" x14ac:dyDescent="0.2">
      <c r="C1915" s="5"/>
    </row>
    <row r="1916" spans="3:3" x14ac:dyDescent="0.2">
      <c r="C1916" s="5"/>
    </row>
    <row r="1917" spans="3:3" x14ac:dyDescent="0.2">
      <c r="C1917" s="5"/>
    </row>
    <row r="1918" spans="3:3" x14ac:dyDescent="0.2">
      <c r="C1918" s="5"/>
    </row>
    <row r="1919" spans="3:3" x14ac:dyDescent="0.2">
      <c r="C1919" s="5"/>
    </row>
    <row r="1920" spans="3:3" x14ac:dyDescent="0.2">
      <c r="C1920" s="5"/>
    </row>
    <row r="1921" spans="3:3" x14ac:dyDescent="0.2">
      <c r="C1921" s="5"/>
    </row>
    <row r="1922" spans="3:3" x14ac:dyDescent="0.2">
      <c r="C1922" s="5"/>
    </row>
    <row r="1923" spans="3:3" x14ac:dyDescent="0.2">
      <c r="C1923" s="5"/>
    </row>
    <row r="1924" spans="3:3" x14ac:dyDescent="0.2">
      <c r="C1924" s="5"/>
    </row>
    <row r="1925" spans="3:3" x14ac:dyDescent="0.2">
      <c r="C1925" s="5"/>
    </row>
    <row r="1926" spans="3:3" x14ac:dyDescent="0.2">
      <c r="C1926" s="5"/>
    </row>
    <row r="1927" spans="3:3" x14ac:dyDescent="0.2">
      <c r="C1927" s="5"/>
    </row>
    <row r="1928" spans="3:3" x14ac:dyDescent="0.2">
      <c r="C1928" s="5"/>
    </row>
    <row r="1929" spans="3:3" x14ac:dyDescent="0.2">
      <c r="C1929" s="5"/>
    </row>
    <row r="1930" spans="3:3" x14ac:dyDescent="0.2">
      <c r="C1930" s="5"/>
    </row>
    <row r="1931" spans="3:3" x14ac:dyDescent="0.2">
      <c r="C1931" s="5"/>
    </row>
    <row r="1932" spans="3:3" x14ac:dyDescent="0.2">
      <c r="C1932" s="5"/>
    </row>
    <row r="1933" spans="3:3" x14ac:dyDescent="0.2">
      <c r="C1933" s="5"/>
    </row>
    <row r="1934" spans="3:3" x14ac:dyDescent="0.2">
      <c r="C1934" s="5"/>
    </row>
    <row r="1935" spans="3:3" x14ac:dyDescent="0.2">
      <c r="C1935" s="5"/>
    </row>
    <row r="1936" spans="3:3" x14ac:dyDescent="0.2">
      <c r="C1936" s="5"/>
    </row>
    <row r="1937" spans="3:3" x14ac:dyDescent="0.2">
      <c r="C1937" s="5"/>
    </row>
    <row r="1938" spans="3:3" x14ac:dyDescent="0.2">
      <c r="C1938" s="5"/>
    </row>
    <row r="1939" spans="3:3" x14ac:dyDescent="0.2">
      <c r="C1939" s="5"/>
    </row>
    <row r="1940" spans="3:3" x14ac:dyDescent="0.2">
      <c r="C1940" s="5"/>
    </row>
    <row r="1941" spans="3:3" x14ac:dyDescent="0.2">
      <c r="C1941" s="5"/>
    </row>
    <row r="1942" spans="3:3" x14ac:dyDescent="0.2">
      <c r="C1942" s="5"/>
    </row>
    <row r="1943" spans="3:3" x14ac:dyDescent="0.2">
      <c r="C1943" s="5"/>
    </row>
    <row r="1944" spans="3:3" x14ac:dyDescent="0.2">
      <c r="C1944" s="5"/>
    </row>
    <row r="1945" spans="3:3" x14ac:dyDescent="0.2">
      <c r="C1945" s="5"/>
    </row>
    <row r="1946" spans="3:3" x14ac:dyDescent="0.2">
      <c r="C1946" s="5"/>
    </row>
    <row r="1947" spans="3:3" x14ac:dyDescent="0.2">
      <c r="C1947" s="5"/>
    </row>
    <row r="1948" spans="3:3" x14ac:dyDescent="0.2">
      <c r="C1948" s="5"/>
    </row>
    <row r="1949" spans="3:3" x14ac:dyDescent="0.2">
      <c r="C1949" s="5"/>
    </row>
    <row r="1950" spans="3:3" x14ac:dyDescent="0.2">
      <c r="C1950" s="5"/>
    </row>
    <row r="1951" spans="3:3" x14ac:dyDescent="0.2">
      <c r="C1951" s="5"/>
    </row>
    <row r="1952" spans="3:3" x14ac:dyDescent="0.2">
      <c r="C1952" s="5"/>
    </row>
    <row r="1953" spans="3:3" x14ac:dyDescent="0.2">
      <c r="C1953" s="5"/>
    </row>
    <row r="1954" spans="3:3" x14ac:dyDescent="0.2">
      <c r="C1954" s="5"/>
    </row>
    <row r="1955" spans="3:3" x14ac:dyDescent="0.2">
      <c r="C1955" s="5"/>
    </row>
    <row r="1956" spans="3:3" x14ac:dyDescent="0.2">
      <c r="C1956" s="5"/>
    </row>
    <row r="1957" spans="3:3" x14ac:dyDescent="0.2">
      <c r="C1957" s="5"/>
    </row>
    <row r="1958" spans="3:3" x14ac:dyDescent="0.2">
      <c r="C1958" s="5"/>
    </row>
    <row r="1959" spans="3:3" x14ac:dyDescent="0.2">
      <c r="C1959" s="5"/>
    </row>
    <row r="1960" spans="3:3" x14ac:dyDescent="0.2">
      <c r="C1960" s="5"/>
    </row>
    <row r="1961" spans="3:3" x14ac:dyDescent="0.2">
      <c r="C1961" s="5"/>
    </row>
    <row r="1962" spans="3:3" x14ac:dyDescent="0.2">
      <c r="C1962" s="5"/>
    </row>
    <row r="1963" spans="3:3" x14ac:dyDescent="0.2">
      <c r="C1963" s="5"/>
    </row>
    <row r="1964" spans="3:3" x14ac:dyDescent="0.2">
      <c r="C1964" s="5"/>
    </row>
    <row r="1965" spans="3:3" x14ac:dyDescent="0.2">
      <c r="C1965" s="5"/>
    </row>
    <row r="1966" spans="3:3" x14ac:dyDescent="0.2">
      <c r="C1966" s="5"/>
    </row>
    <row r="1967" spans="3:3" x14ac:dyDescent="0.2">
      <c r="C1967" s="5"/>
    </row>
    <row r="1968" spans="3:3" x14ac:dyDescent="0.2">
      <c r="C1968" s="5"/>
    </row>
    <row r="1969" spans="3:3" x14ac:dyDescent="0.2">
      <c r="C1969" s="5"/>
    </row>
    <row r="1970" spans="3:3" x14ac:dyDescent="0.2">
      <c r="C1970" s="5"/>
    </row>
    <row r="1971" spans="3:3" x14ac:dyDescent="0.2">
      <c r="C1971" s="5"/>
    </row>
    <row r="1972" spans="3:3" x14ac:dyDescent="0.2">
      <c r="C1972" s="5"/>
    </row>
    <row r="1973" spans="3:3" x14ac:dyDescent="0.2">
      <c r="C1973" s="5"/>
    </row>
    <row r="1974" spans="3:3" x14ac:dyDescent="0.2">
      <c r="C1974" s="5"/>
    </row>
    <row r="1975" spans="3:3" x14ac:dyDescent="0.2">
      <c r="C1975" s="5"/>
    </row>
    <row r="1976" spans="3:3" x14ac:dyDescent="0.2">
      <c r="C1976" s="5"/>
    </row>
    <row r="1977" spans="3:3" x14ac:dyDescent="0.2">
      <c r="C1977" s="5"/>
    </row>
    <row r="1978" spans="3:3" x14ac:dyDescent="0.2">
      <c r="C1978" s="5"/>
    </row>
    <row r="1979" spans="3:3" x14ac:dyDescent="0.2">
      <c r="C1979" s="5"/>
    </row>
    <row r="1980" spans="3:3" x14ac:dyDescent="0.2">
      <c r="C1980" s="5"/>
    </row>
    <row r="1981" spans="3:3" x14ac:dyDescent="0.2">
      <c r="C1981" s="5"/>
    </row>
    <row r="1982" spans="3:3" x14ac:dyDescent="0.2">
      <c r="C1982" s="5"/>
    </row>
    <row r="1983" spans="3:3" x14ac:dyDescent="0.2">
      <c r="C1983" s="5"/>
    </row>
    <row r="1984" spans="3:3" x14ac:dyDescent="0.2">
      <c r="C1984" s="5"/>
    </row>
    <row r="1985" spans="3:3" x14ac:dyDescent="0.2">
      <c r="C1985" s="5"/>
    </row>
    <row r="1986" spans="3:3" x14ac:dyDescent="0.2">
      <c r="C1986" s="5"/>
    </row>
    <row r="1987" spans="3:3" x14ac:dyDescent="0.2">
      <c r="C1987" s="5"/>
    </row>
    <row r="1988" spans="3:3" x14ac:dyDescent="0.2">
      <c r="C1988" s="5"/>
    </row>
    <row r="1989" spans="3:3" x14ac:dyDescent="0.2">
      <c r="C1989" s="5"/>
    </row>
    <row r="1990" spans="3:3" x14ac:dyDescent="0.2">
      <c r="C1990" s="5"/>
    </row>
    <row r="1991" spans="3:3" x14ac:dyDescent="0.2">
      <c r="C1991" s="5"/>
    </row>
    <row r="1992" spans="3:3" x14ac:dyDescent="0.2">
      <c r="C1992" s="5"/>
    </row>
    <row r="1993" spans="3:3" x14ac:dyDescent="0.2">
      <c r="C1993" s="5"/>
    </row>
    <row r="1994" spans="3:3" x14ac:dyDescent="0.2">
      <c r="C1994" s="5"/>
    </row>
    <row r="1995" spans="3:3" x14ac:dyDescent="0.2">
      <c r="C1995" s="5"/>
    </row>
    <row r="1996" spans="3:3" x14ac:dyDescent="0.2">
      <c r="C1996" s="5"/>
    </row>
    <row r="1997" spans="3:3" x14ac:dyDescent="0.2">
      <c r="C1997" s="5"/>
    </row>
    <row r="1998" spans="3:3" x14ac:dyDescent="0.2">
      <c r="C1998" s="5"/>
    </row>
    <row r="1999" spans="3:3" x14ac:dyDescent="0.2">
      <c r="C1999" s="5"/>
    </row>
    <row r="2000" spans="3:3" x14ac:dyDescent="0.2">
      <c r="C2000" s="5"/>
    </row>
    <row r="2001" spans="3:3" x14ac:dyDescent="0.2">
      <c r="C2001" s="5"/>
    </row>
    <row r="2002" spans="3:3" x14ac:dyDescent="0.2">
      <c r="C2002" s="5"/>
    </row>
    <row r="2003" spans="3:3" x14ac:dyDescent="0.2">
      <c r="C2003" s="5"/>
    </row>
    <row r="2004" spans="3:3" x14ac:dyDescent="0.2">
      <c r="C2004" s="5"/>
    </row>
    <row r="2005" spans="3:3" x14ac:dyDescent="0.2">
      <c r="C2005" s="5"/>
    </row>
    <row r="2006" spans="3:3" x14ac:dyDescent="0.2">
      <c r="C2006" s="5"/>
    </row>
    <row r="2007" spans="3:3" x14ac:dyDescent="0.2">
      <c r="C2007" s="5"/>
    </row>
    <row r="2008" spans="3:3" x14ac:dyDescent="0.2">
      <c r="C2008" s="5"/>
    </row>
    <row r="2009" spans="3:3" x14ac:dyDescent="0.2">
      <c r="C2009" s="5"/>
    </row>
    <row r="2010" spans="3:3" x14ac:dyDescent="0.2">
      <c r="C2010" s="5"/>
    </row>
    <row r="2011" spans="3:3" x14ac:dyDescent="0.2">
      <c r="C2011" s="5"/>
    </row>
    <row r="2012" spans="3:3" x14ac:dyDescent="0.2">
      <c r="C2012" s="5"/>
    </row>
    <row r="2013" spans="3:3" x14ac:dyDescent="0.2">
      <c r="C2013" s="5"/>
    </row>
    <row r="2014" spans="3:3" x14ac:dyDescent="0.2">
      <c r="C2014" s="5"/>
    </row>
    <row r="2015" spans="3:3" x14ac:dyDescent="0.2">
      <c r="C2015" s="5"/>
    </row>
    <row r="2016" spans="3:3" x14ac:dyDescent="0.2">
      <c r="C2016" s="5"/>
    </row>
    <row r="2017" spans="3:3" x14ac:dyDescent="0.2">
      <c r="C2017" s="5"/>
    </row>
    <row r="2018" spans="3:3" x14ac:dyDescent="0.2">
      <c r="C2018" s="5"/>
    </row>
    <row r="2019" spans="3:3" x14ac:dyDescent="0.2">
      <c r="C2019" s="5"/>
    </row>
    <row r="2020" spans="3:3" x14ac:dyDescent="0.2">
      <c r="C2020" s="5"/>
    </row>
    <row r="2021" spans="3:3" x14ac:dyDescent="0.2">
      <c r="C2021" s="5"/>
    </row>
    <row r="2022" spans="3:3" x14ac:dyDescent="0.2">
      <c r="C2022" s="5"/>
    </row>
    <row r="2023" spans="3:3" x14ac:dyDescent="0.2">
      <c r="C2023" s="5"/>
    </row>
    <row r="2024" spans="3:3" x14ac:dyDescent="0.2">
      <c r="C2024" s="5"/>
    </row>
    <row r="2025" spans="3:3" x14ac:dyDescent="0.2">
      <c r="C2025" s="5"/>
    </row>
    <row r="2026" spans="3:3" x14ac:dyDescent="0.2">
      <c r="C2026" s="5"/>
    </row>
    <row r="2027" spans="3:3" x14ac:dyDescent="0.2">
      <c r="C2027" s="5"/>
    </row>
    <row r="2028" spans="3:3" x14ac:dyDescent="0.2">
      <c r="C2028" s="5"/>
    </row>
    <row r="2029" spans="3:3" x14ac:dyDescent="0.2">
      <c r="C2029" s="5"/>
    </row>
    <row r="2030" spans="3:3" x14ac:dyDescent="0.2">
      <c r="C2030" s="5"/>
    </row>
    <row r="2031" spans="3:3" x14ac:dyDescent="0.2">
      <c r="C2031" s="5"/>
    </row>
    <row r="2032" spans="3:3" x14ac:dyDescent="0.2">
      <c r="C2032" s="5"/>
    </row>
    <row r="2033" spans="3:3" x14ac:dyDescent="0.2">
      <c r="C2033" s="5"/>
    </row>
    <row r="2034" spans="3:3" x14ac:dyDescent="0.2">
      <c r="C2034" s="5"/>
    </row>
    <row r="2035" spans="3:3" x14ac:dyDescent="0.2">
      <c r="C2035" s="5"/>
    </row>
    <row r="2036" spans="3:3" x14ac:dyDescent="0.2">
      <c r="C2036" s="5"/>
    </row>
    <row r="2037" spans="3:3" x14ac:dyDescent="0.2">
      <c r="C2037" s="5"/>
    </row>
    <row r="2038" spans="3:3" x14ac:dyDescent="0.2">
      <c r="C2038" s="5"/>
    </row>
    <row r="2039" spans="3:3" x14ac:dyDescent="0.2">
      <c r="C2039" s="5"/>
    </row>
    <row r="2040" spans="3:3" x14ac:dyDescent="0.2">
      <c r="C2040" s="5"/>
    </row>
    <row r="2041" spans="3:3" x14ac:dyDescent="0.2">
      <c r="C2041" s="5"/>
    </row>
    <row r="2042" spans="3:3" x14ac:dyDescent="0.2">
      <c r="C2042" s="5"/>
    </row>
    <row r="2043" spans="3:3" x14ac:dyDescent="0.2">
      <c r="C2043" s="5"/>
    </row>
    <row r="2044" spans="3:3" x14ac:dyDescent="0.2">
      <c r="C2044" s="5"/>
    </row>
    <row r="2045" spans="3:3" x14ac:dyDescent="0.2">
      <c r="C2045" s="5"/>
    </row>
    <row r="2046" spans="3:3" x14ac:dyDescent="0.2">
      <c r="C2046" s="5"/>
    </row>
    <row r="2047" spans="3:3" x14ac:dyDescent="0.2">
      <c r="C2047" s="5"/>
    </row>
    <row r="2048" spans="3:3" x14ac:dyDescent="0.2">
      <c r="C2048" s="5"/>
    </row>
    <row r="2049" spans="3:3" x14ac:dyDescent="0.2">
      <c r="C2049" s="5"/>
    </row>
    <row r="2050" spans="3:3" x14ac:dyDescent="0.2">
      <c r="C2050" s="5"/>
    </row>
    <row r="2051" spans="3:3" x14ac:dyDescent="0.2">
      <c r="C2051" s="5"/>
    </row>
    <row r="2052" spans="3:3" x14ac:dyDescent="0.2">
      <c r="C2052" s="5"/>
    </row>
    <row r="2053" spans="3:3" x14ac:dyDescent="0.2">
      <c r="C2053" s="5"/>
    </row>
    <row r="2054" spans="3:3" x14ac:dyDescent="0.2">
      <c r="C2054" s="5"/>
    </row>
    <row r="2055" spans="3:3" x14ac:dyDescent="0.2">
      <c r="C2055" s="5"/>
    </row>
    <row r="2056" spans="3:3" x14ac:dyDescent="0.2">
      <c r="C2056" s="5"/>
    </row>
    <row r="2057" spans="3:3" x14ac:dyDescent="0.2">
      <c r="C2057" s="5"/>
    </row>
    <row r="2058" spans="3:3" x14ac:dyDescent="0.2">
      <c r="C2058" s="5"/>
    </row>
    <row r="2059" spans="3:3" x14ac:dyDescent="0.2">
      <c r="C2059" s="5"/>
    </row>
    <row r="2060" spans="3:3" x14ac:dyDescent="0.2">
      <c r="C2060" s="5"/>
    </row>
    <row r="2061" spans="3:3" x14ac:dyDescent="0.2">
      <c r="C2061" s="5"/>
    </row>
    <row r="2062" spans="3:3" x14ac:dyDescent="0.2">
      <c r="C2062" s="5"/>
    </row>
    <row r="2063" spans="3:3" x14ac:dyDescent="0.2">
      <c r="C2063" s="5"/>
    </row>
    <row r="2064" spans="3:3" x14ac:dyDescent="0.2">
      <c r="C2064" s="5"/>
    </row>
    <row r="2065" spans="3:3" x14ac:dyDescent="0.2">
      <c r="C2065" s="5"/>
    </row>
    <row r="2066" spans="3:3" x14ac:dyDescent="0.2">
      <c r="C2066" s="5"/>
    </row>
    <row r="2067" spans="3:3" x14ac:dyDescent="0.2">
      <c r="C2067" s="5"/>
    </row>
    <row r="2068" spans="3:3" x14ac:dyDescent="0.2">
      <c r="C2068" s="5"/>
    </row>
    <row r="2069" spans="3:3" x14ac:dyDescent="0.2">
      <c r="C2069" s="5"/>
    </row>
    <row r="2070" spans="3:3" x14ac:dyDescent="0.2">
      <c r="C2070" s="5"/>
    </row>
    <row r="2071" spans="3:3" x14ac:dyDescent="0.2">
      <c r="C2071" s="5"/>
    </row>
    <row r="2072" spans="3:3" x14ac:dyDescent="0.2">
      <c r="C2072" s="5"/>
    </row>
    <row r="2073" spans="3:3" x14ac:dyDescent="0.2">
      <c r="C2073" s="5"/>
    </row>
    <row r="2074" spans="3:3" x14ac:dyDescent="0.2">
      <c r="C2074" s="5"/>
    </row>
    <row r="2075" spans="3:3" x14ac:dyDescent="0.2">
      <c r="C2075" s="5"/>
    </row>
    <row r="2076" spans="3:3" x14ac:dyDescent="0.2">
      <c r="C2076" s="5"/>
    </row>
    <row r="2077" spans="3:3" x14ac:dyDescent="0.2">
      <c r="C2077" s="5"/>
    </row>
    <row r="2078" spans="3:3" x14ac:dyDescent="0.2">
      <c r="C2078" s="5"/>
    </row>
    <row r="2079" spans="3:3" x14ac:dyDescent="0.2">
      <c r="C2079" s="5"/>
    </row>
    <row r="2080" spans="3:3" x14ac:dyDescent="0.2">
      <c r="C2080" s="5"/>
    </row>
    <row r="2081" spans="3:3" x14ac:dyDescent="0.2">
      <c r="C2081" s="5"/>
    </row>
    <row r="2082" spans="3:3" x14ac:dyDescent="0.2">
      <c r="C2082" s="5"/>
    </row>
    <row r="2083" spans="3:3" x14ac:dyDescent="0.2">
      <c r="C2083" s="5"/>
    </row>
    <row r="2084" spans="3:3" x14ac:dyDescent="0.2">
      <c r="C2084" s="5"/>
    </row>
    <row r="2085" spans="3:3" x14ac:dyDescent="0.2">
      <c r="C2085" s="5"/>
    </row>
    <row r="2086" spans="3:3" x14ac:dyDescent="0.2">
      <c r="C2086" s="5"/>
    </row>
    <row r="2087" spans="3:3" x14ac:dyDescent="0.2">
      <c r="C2087" s="5"/>
    </row>
    <row r="2088" spans="3:3" x14ac:dyDescent="0.2">
      <c r="C2088" s="5"/>
    </row>
    <row r="2089" spans="3:3" x14ac:dyDescent="0.2">
      <c r="C2089" s="5"/>
    </row>
    <row r="2090" spans="3:3" x14ac:dyDescent="0.2">
      <c r="C2090" s="5"/>
    </row>
    <row r="2091" spans="3:3" x14ac:dyDescent="0.2">
      <c r="C2091" s="5"/>
    </row>
    <row r="2092" spans="3:3" x14ac:dyDescent="0.2">
      <c r="C2092" s="5"/>
    </row>
    <row r="2093" spans="3:3" x14ac:dyDescent="0.2">
      <c r="C2093" s="5"/>
    </row>
    <row r="2094" spans="3:3" x14ac:dyDescent="0.2">
      <c r="C2094" s="5"/>
    </row>
    <row r="2095" spans="3:3" x14ac:dyDescent="0.2">
      <c r="C2095" s="5"/>
    </row>
    <row r="2096" spans="3:3" x14ac:dyDescent="0.2">
      <c r="C2096" s="5"/>
    </row>
    <row r="2097" spans="3:3" x14ac:dyDescent="0.2">
      <c r="C2097" s="5"/>
    </row>
    <row r="2098" spans="3:3" x14ac:dyDescent="0.2">
      <c r="C2098" s="5"/>
    </row>
    <row r="2099" spans="3:3" x14ac:dyDescent="0.2">
      <c r="C2099" s="5"/>
    </row>
    <row r="2100" spans="3:3" x14ac:dyDescent="0.2">
      <c r="C2100" s="5"/>
    </row>
    <row r="2101" spans="3:3" x14ac:dyDescent="0.2">
      <c r="C2101" s="5"/>
    </row>
    <row r="2102" spans="3:3" x14ac:dyDescent="0.2">
      <c r="C2102" s="5"/>
    </row>
    <row r="2103" spans="3:3" x14ac:dyDescent="0.2">
      <c r="C2103" s="5"/>
    </row>
    <row r="2104" spans="3:3" x14ac:dyDescent="0.2">
      <c r="C2104" s="5"/>
    </row>
    <row r="2105" spans="3:3" x14ac:dyDescent="0.2">
      <c r="C2105" s="5"/>
    </row>
    <row r="2106" spans="3:3" x14ac:dyDescent="0.2">
      <c r="C2106" s="5"/>
    </row>
    <row r="2107" spans="3:3" x14ac:dyDescent="0.2">
      <c r="C2107" s="5"/>
    </row>
    <row r="2108" spans="3:3" x14ac:dyDescent="0.2">
      <c r="C2108" s="5"/>
    </row>
    <row r="2109" spans="3:3" x14ac:dyDescent="0.2">
      <c r="C2109" s="5"/>
    </row>
    <row r="2110" spans="3:3" x14ac:dyDescent="0.2">
      <c r="C2110" s="5"/>
    </row>
    <row r="2111" spans="3:3" x14ac:dyDescent="0.2">
      <c r="C2111" s="5"/>
    </row>
    <row r="2112" spans="3:3" x14ac:dyDescent="0.2">
      <c r="C2112" s="5"/>
    </row>
    <row r="2113" spans="3:3" x14ac:dyDescent="0.2">
      <c r="C2113" s="5"/>
    </row>
    <row r="2114" spans="3:3" x14ac:dyDescent="0.2">
      <c r="C2114" s="5"/>
    </row>
    <row r="2115" spans="3:3" x14ac:dyDescent="0.2">
      <c r="C2115" s="5"/>
    </row>
    <row r="2116" spans="3:3" x14ac:dyDescent="0.2">
      <c r="C2116" s="5"/>
    </row>
    <row r="2117" spans="3:3" x14ac:dyDescent="0.2">
      <c r="C2117" s="5"/>
    </row>
    <row r="2118" spans="3:3" x14ac:dyDescent="0.2">
      <c r="C2118" s="5"/>
    </row>
    <row r="2119" spans="3:3" x14ac:dyDescent="0.2">
      <c r="C2119" s="5"/>
    </row>
    <row r="2120" spans="3:3" x14ac:dyDescent="0.2">
      <c r="C2120" s="5"/>
    </row>
    <row r="2121" spans="3:3" x14ac:dyDescent="0.2">
      <c r="C2121" s="5"/>
    </row>
    <row r="2122" spans="3:3" x14ac:dyDescent="0.2">
      <c r="C2122" s="5"/>
    </row>
    <row r="2123" spans="3:3" x14ac:dyDescent="0.2">
      <c r="C2123" s="5"/>
    </row>
    <row r="2124" spans="3:3" x14ac:dyDescent="0.2">
      <c r="C2124" s="5"/>
    </row>
    <row r="2125" spans="3:3" x14ac:dyDescent="0.2">
      <c r="C2125" s="5"/>
    </row>
    <row r="2126" spans="3:3" x14ac:dyDescent="0.2">
      <c r="C2126" s="5"/>
    </row>
    <row r="2127" spans="3:3" x14ac:dyDescent="0.2">
      <c r="C2127" s="5"/>
    </row>
    <row r="2128" spans="3:3" x14ac:dyDescent="0.2">
      <c r="C2128" s="5"/>
    </row>
    <row r="2129" spans="3:3" x14ac:dyDescent="0.2">
      <c r="C2129" s="5"/>
    </row>
    <row r="2130" spans="3:3" x14ac:dyDescent="0.2">
      <c r="C2130" s="5"/>
    </row>
    <row r="2131" spans="3:3" x14ac:dyDescent="0.2">
      <c r="C2131" s="5"/>
    </row>
    <row r="2132" spans="3:3" x14ac:dyDescent="0.2">
      <c r="C2132" s="5"/>
    </row>
    <row r="2133" spans="3:3" x14ac:dyDescent="0.2">
      <c r="C2133" s="5"/>
    </row>
    <row r="2134" spans="3:3" x14ac:dyDescent="0.2">
      <c r="C2134" s="5"/>
    </row>
    <row r="2135" spans="3:3" x14ac:dyDescent="0.2">
      <c r="C2135" s="5"/>
    </row>
    <row r="2136" spans="3:3" x14ac:dyDescent="0.2">
      <c r="C2136" s="5"/>
    </row>
    <row r="2137" spans="3:3" x14ac:dyDescent="0.2">
      <c r="C2137" s="5"/>
    </row>
    <row r="2138" spans="3:3" x14ac:dyDescent="0.2">
      <c r="C2138" s="5"/>
    </row>
    <row r="2139" spans="3:3" x14ac:dyDescent="0.2">
      <c r="C2139" s="5"/>
    </row>
    <row r="2140" spans="3:3" x14ac:dyDescent="0.2">
      <c r="C2140" s="5"/>
    </row>
    <row r="2141" spans="3:3" x14ac:dyDescent="0.2">
      <c r="C2141" s="5"/>
    </row>
    <row r="2142" spans="3:3" x14ac:dyDescent="0.2">
      <c r="C2142" s="5"/>
    </row>
    <row r="2143" spans="3:3" x14ac:dyDescent="0.2">
      <c r="C2143" s="5"/>
    </row>
    <row r="2144" spans="3:3" x14ac:dyDescent="0.2">
      <c r="C2144" s="5"/>
    </row>
    <row r="2145" spans="3:3" x14ac:dyDescent="0.2">
      <c r="C2145" s="5"/>
    </row>
    <row r="2146" spans="3:3" x14ac:dyDescent="0.2">
      <c r="C2146" s="5"/>
    </row>
    <row r="2147" spans="3:3" x14ac:dyDescent="0.2">
      <c r="C2147" s="5"/>
    </row>
    <row r="2148" spans="3:3" x14ac:dyDescent="0.2">
      <c r="C2148" s="5"/>
    </row>
    <row r="2149" spans="3:3" x14ac:dyDescent="0.2">
      <c r="C2149" s="5"/>
    </row>
    <row r="2150" spans="3:3" x14ac:dyDescent="0.2">
      <c r="C2150" s="5"/>
    </row>
    <row r="2151" spans="3:3" x14ac:dyDescent="0.2">
      <c r="C2151" s="5"/>
    </row>
    <row r="2152" spans="3:3" x14ac:dyDescent="0.2">
      <c r="C2152" s="5"/>
    </row>
    <row r="2153" spans="3:3" x14ac:dyDescent="0.2">
      <c r="C2153" s="5"/>
    </row>
    <row r="2154" spans="3:3" x14ac:dyDescent="0.2">
      <c r="C2154" s="5"/>
    </row>
    <row r="2155" spans="3:3" x14ac:dyDescent="0.2">
      <c r="C2155" s="5"/>
    </row>
    <row r="2156" spans="3:3" x14ac:dyDescent="0.2">
      <c r="C2156" s="5"/>
    </row>
    <row r="2157" spans="3:3" x14ac:dyDescent="0.2">
      <c r="C2157" s="5"/>
    </row>
    <row r="2158" spans="3:3" x14ac:dyDescent="0.2">
      <c r="C2158" s="5"/>
    </row>
    <row r="2159" spans="3:3" x14ac:dyDescent="0.2">
      <c r="C2159" s="5"/>
    </row>
    <row r="2160" spans="3:3" x14ac:dyDescent="0.2">
      <c r="C2160" s="5"/>
    </row>
    <row r="2161" spans="3:3" x14ac:dyDescent="0.2">
      <c r="C2161" s="5"/>
    </row>
    <row r="2162" spans="3:3" x14ac:dyDescent="0.2">
      <c r="C2162" s="5"/>
    </row>
    <row r="2163" spans="3:3" x14ac:dyDescent="0.2">
      <c r="C2163" s="5"/>
    </row>
    <row r="2164" spans="3:3" x14ac:dyDescent="0.2">
      <c r="C2164" s="5"/>
    </row>
    <row r="2165" spans="3:3" x14ac:dyDescent="0.2">
      <c r="C2165" s="5"/>
    </row>
    <row r="2166" spans="3:3" x14ac:dyDescent="0.2">
      <c r="C2166" s="5"/>
    </row>
    <row r="2167" spans="3:3" x14ac:dyDescent="0.2">
      <c r="C2167" s="5"/>
    </row>
    <row r="2168" spans="3:3" x14ac:dyDescent="0.2">
      <c r="C2168" s="5"/>
    </row>
    <row r="2169" spans="3:3" x14ac:dyDescent="0.2">
      <c r="C2169" s="5"/>
    </row>
    <row r="2170" spans="3:3" x14ac:dyDescent="0.2">
      <c r="C2170" s="5"/>
    </row>
    <row r="2171" spans="3:3" x14ac:dyDescent="0.2">
      <c r="C2171" s="5"/>
    </row>
    <row r="2172" spans="3:3" x14ac:dyDescent="0.2">
      <c r="C2172" s="5"/>
    </row>
    <row r="2173" spans="3:3" x14ac:dyDescent="0.2">
      <c r="C2173" s="5"/>
    </row>
    <row r="2174" spans="3:3" x14ac:dyDescent="0.2">
      <c r="C2174" s="5"/>
    </row>
    <row r="2175" spans="3:3" x14ac:dyDescent="0.2">
      <c r="C2175" s="5"/>
    </row>
    <row r="2176" spans="3:3" x14ac:dyDescent="0.2">
      <c r="C2176" s="5"/>
    </row>
    <row r="2177" spans="3:3" x14ac:dyDescent="0.2">
      <c r="C2177" s="5"/>
    </row>
    <row r="2178" spans="3:3" x14ac:dyDescent="0.2">
      <c r="C2178" s="5"/>
    </row>
    <row r="2179" spans="3:3" x14ac:dyDescent="0.2">
      <c r="C2179" s="5"/>
    </row>
    <row r="2180" spans="3:3" x14ac:dyDescent="0.2">
      <c r="C2180" s="5"/>
    </row>
    <row r="2181" spans="3:3" x14ac:dyDescent="0.2">
      <c r="C2181" s="5"/>
    </row>
    <row r="2182" spans="3:3" x14ac:dyDescent="0.2">
      <c r="C2182" s="5"/>
    </row>
    <row r="2183" spans="3:3" x14ac:dyDescent="0.2">
      <c r="C2183" s="5"/>
    </row>
    <row r="2184" spans="3:3" x14ac:dyDescent="0.2">
      <c r="C2184" s="5"/>
    </row>
    <row r="2185" spans="3:3" x14ac:dyDescent="0.2">
      <c r="C2185" s="5"/>
    </row>
    <row r="2186" spans="3:3" x14ac:dyDescent="0.2">
      <c r="C2186" s="5"/>
    </row>
    <row r="2187" spans="3:3" x14ac:dyDescent="0.2">
      <c r="C2187" s="5"/>
    </row>
    <row r="2188" spans="3:3" x14ac:dyDescent="0.2">
      <c r="C2188" s="5"/>
    </row>
    <row r="2189" spans="3:3" x14ac:dyDescent="0.2">
      <c r="C2189" s="5"/>
    </row>
    <row r="2190" spans="3:3" x14ac:dyDescent="0.2">
      <c r="C2190" s="5"/>
    </row>
    <row r="2191" spans="3:3" x14ac:dyDescent="0.2">
      <c r="C2191" s="5"/>
    </row>
    <row r="2192" spans="3:3" x14ac:dyDescent="0.2">
      <c r="C2192" s="5"/>
    </row>
    <row r="2193" spans="3:3" x14ac:dyDescent="0.2">
      <c r="C2193" s="5"/>
    </row>
    <row r="2194" spans="3:3" x14ac:dyDescent="0.2">
      <c r="C2194" s="5"/>
    </row>
    <row r="2195" spans="3:3" x14ac:dyDescent="0.2">
      <c r="C2195" s="5"/>
    </row>
    <row r="2196" spans="3:3" x14ac:dyDescent="0.2">
      <c r="C2196" s="5"/>
    </row>
    <row r="2197" spans="3:3" x14ac:dyDescent="0.2">
      <c r="C2197" s="5"/>
    </row>
    <row r="2198" spans="3:3" x14ac:dyDescent="0.2">
      <c r="C2198" s="5"/>
    </row>
    <row r="2199" spans="3:3" x14ac:dyDescent="0.2">
      <c r="C2199" s="5"/>
    </row>
    <row r="2200" spans="3:3" x14ac:dyDescent="0.2">
      <c r="C2200" s="5"/>
    </row>
    <row r="2201" spans="3:3" x14ac:dyDescent="0.2">
      <c r="C2201" s="5"/>
    </row>
    <row r="2202" spans="3:3" x14ac:dyDescent="0.2">
      <c r="C2202" s="5"/>
    </row>
    <row r="2203" spans="3:3" x14ac:dyDescent="0.2">
      <c r="C2203" s="5"/>
    </row>
    <row r="2204" spans="3:3" x14ac:dyDescent="0.2">
      <c r="C2204" s="5"/>
    </row>
    <row r="2205" spans="3:3" x14ac:dyDescent="0.2">
      <c r="C2205" s="5"/>
    </row>
    <row r="2206" spans="3:3" x14ac:dyDescent="0.2">
      <c r="C2206" s="5"/>
    </row>
    <row r="2207" spans="3:3" x14ac:dyDescent="0.2">
      <c r="C2207" s="5"/>
    </row>
    <row r="2208" spans="3:3" x14ac:dyDescent="0.2">
      <c r="C2208" s="5"/>
    </row>
    <row r="2209" spans="3:3" x14ac:dyDescent="0.2">
      <c r="C2209" s="5"/>
    </row>
    <row r="2210" spans="3:3" x14ac:dyDescent="0.2">
      <c r="C2210" s="5"/>
    </row>
    <row r="2211" spans="3:3" x14ac:dyDescent="0.2">
      <c r="C2211" s="5"/>
    </row>
    <row r="2212" spans="3:3" x14ac:dyDescent="0.2">
      <c r="C2212" s="5"/>
    </row>
    <row r="2213" spans="3:3" x14ac:dyDescent="0.2">
      <c r="C2213" s="5"/>
    </row>
    <row r="2214" spans="3:3" x14ac:dyDescent="0.2">
      <c r="C2214" s="5"/>
    </row>
    <row r="2215" spans="3:3" x14ac:dyDescent="0.2">
      <c r="C2215" s="5"/>
    </row>
    <row r="2216" spans="3:3" x14ac:dyDescent="0.2">
      <c r="C2216" s="5"/>
    </row>
    <row r="2217" spans="3:3" x14ac:dyDescent="0.2">
      <c r="C2217" s="5"/>
    </row>
    <row r="2218" spans="3:3" x14ac:dyDescent="0.2">
      <c r="C2218" s="5"/>
    </row>
    <row r="2219" spans="3:3" x14ac:dyDescent="0.2">
      <c r="C2219" s="5"/>
    </row>
    <row r="2220" spans="3:3" x14ac:dyDescent="0.2">
      <c r="C2220" s="5"/>
    </row>
    <row r="2221" spans="3:3" x14ac:dyDescent="0.2">
      <c r="C2221" s="5"/>
    </row>
    <row r="2222" spans="3:3" x14ac:dyDescent="0.2">
      <c r="C2222" s="5"/>
    </row>
    <row r="2223" spans="3:3" x14ac:dyDescent="0.2">
      <c r="C2223" s="5"/>
    </row>
    <row r="2224" spans="3:3" x14ac:dyDescent="0.2">
      <c r="C2224" s="5"/>
    </row>
    <row r="2225" spans="3:3" x14ac:dyDescent="0.2">
      <c r="C2225" s="5"/>
    </row>
    <row r="2226" spans="3:3" x14ac:dyDescent="0.2">
      <c r="C2226" s="5"/>
    </row>
    <row r="2227" spans="3:3" x14ac:dyDescent="0.2">
      <c r="C2227" s="5"/>
    </row>
    <row r="2228" spans="3:3" x14ac:dyDescent="0.2">
      <c r="C2228" s="5"/>
    </row>
    <row r="2229" spans="3:3" x14ac:dyDescent="0.2">
      <c r="C2229" s="5"/>
    </row>
    <row r="2230" spans="3:3" x14ac:dyDescent="0.2">
      <c r="C2230" s="5"/>
    </row>
    <row r="2231" spans="3:3" x14ac:dyDescent="0.2">
      <c r="C2231" s="5"/>
    </row>
    <row r="2232" spans="3:3" x14ac:dyDescent="0.2">
      <c r="C2232" s="5"/>
    </row>
    <row r="2233" spans="3:3" x14ac:dyDescent="0.2">
      <c r="C2233" s="5"/>
    </row>
    <row r="2234" spans="3:3" x14ac:dyDescent="0.2">
      <c r="C2234" s="5"/>
    </row>
    <row r="2235" spans="3:3" x14ac:dyDescent="0.2">
      <c r="C2235" s="5"/>
    </row>
    <row r="2236" spans="3:3" x14ac:dyDescent="0.2">
      <c r="C2236" s="5"/>
    </row>
    <row r="2237" spans="3:3" x14ac:dyDescent="0.2">
      <c r="C2237" s="5"/>
    </row>
    <row r="2238" spans="3:3" x14ac:dyDescent="0.2">
      <c r="C2238" s="5"/>
    </row>
    <row r="2239" spans="3:3" x14ac:dyDescent="0.2">
      <c r="C2239" s="5"/>
    </row>
    <row r="2240" spans="3:3" x14ac:dyDescent="0.2">
      <c r="C2240" s="5"/>
    </row>
    <row r="2241" spans="3:3" x14ac:dyDescent="0.2">
      <c r="C2241" s="5"/>
    </row>
    <row r="2242" spans="3:3" x14ac:dyDescent="0.2">
      <c r="C2242" s="5"/>
    </row>
    <row r="2243" spans="3:3" x14ac:dyDescent="0.2">
      <c r="C2243" s="5"/>
    </row>
    <row r="2244" spans="3:3" x14ac:dyDescent="0.2">
      <c r="C2244" s="5"/>
    </row>
    <row r="2245" spans="3:3" x14ac:dyDescent="0.2">
      <c r="C2245" s="5"/>
    </row>
    <row r="2246" spans="3:3" x14ac:dyDescent="0.2">
      <c r="C2246" s="5"/>
    </row>
    <row r="2247" spans="3:3" x14ac:dyDescent="0.2">
      <c r="C2247" s="5"/>
    </row>
    <row r="2248" spans="3:3" x14ac:dyDescent="0.2">
      <c r="C2248" s="5"/>
    </row>
    <row r="2249" spans="3:3" x14ac:dyDescent="0.2">
      <c r="C2249" s="5"/>
    </row>
    <row r="2250" spans="3:3" x14ac:dyDescent="0.2">
      <c r="C2250" s="5"/>
    </row>
    <row r="2251" spans="3:3" x14ac:dyDescent="0.2">
      <c r="C2251" s="5"/>
    </row>
    <row r="2252" spans="3:3" x14ac:dyDescent="0.2">
      <c r="C2252" s="5"/>
    </row>
    <row r="2253" spans="3:3" x14ac:dyDescent="0.2">
      <c r="C2253" s="5"/>
    </row>
    <row r="2254" spans="3:3" x14ac:dyDescent="0.2">
      <c r="C2254" s="5"/>
    </row>
    <row r="2255" spans="3:3" x14ac:dyDescent="0.2">
      <c r="C2255" s="5"/>
    </row>
    <row r="2256" spans="3:3" x14ac:dyDescent="0.2">
      <c r="C2256" s="5"/>
    </row>
    <row r="2257" spans="3:3" x14ac:dyDescent="0.2">
      <c r="C2257" s="5"/>
    </row>
    <row r="2258" spans="3:3" x14ac:dyDescent="0.2">
      <c r="C2258" s="5"/>
    </row>
    <row r="2259" spans="3:3" x14ac:dyDescent="0.2">
      <c r="C2259" s="5"/>
    </row>
    <row r="2260" spans="3:3" x14ac:dyDescent="0.2">
      <c r="C2260" s="5"/>
    </row>
    <row r="2261" spans="3:3" x14ac:dyDescent="0.2">
      <c r="C2261" s="5"/>
    </row>
    <row r="2262" spans="3:3" x14ac:dyDescent="0.2">
      <c r="C2262" s="5"/>
    </row>
    <row r="2263" spans="3:3" x14ac:dyDescent="0.2">
      <c r="C2263" s="5"/>
    </row>
    <row r="2264" spans="3:3" x14ac:dyDescent="0.2">
      <c r="C2264" s="5"/>
    </row>
    <row r="2265" spans="3:3" x14ac:dyDescent="0.2">
      <c r="C2265" s="5"/>
    </row>
    <row r="2266" spans="3:3" x14ac:dyDescent="0.2">
      <c r="C2266" s="5"/>
    </row>
    <row r="2267" spans="3:3" x14ac:dyDescent="0.2">
      <c r="C2267" s="5"/>
    </row>
    <row r="2268" spans="3:3" x14ac:dyDescent="0.2">
      <c r="C2268" s="5"/>
    </row>
    <row r="2269" spans="3:3" x14ac:dyDescent="0.2">
      <c r="C2269" s="5"/>
    </row>
    <row r="2270" spans="3:3" x14ac:dyDescent="0.2">
      <c r="C2270" s="5"/>
    </row>
    <row r="2271" spans="3:3" x14ac:dyDescent="0.2">
      <c r="C2271" s="5"/>
    </row>
    <row r="2272" spans="3:3" x14ac:dyDescent="0.2">
      <c r="C2272" s="5"/>
    </row>
    <row r="2273" spans="3:3" x14ac:dyDescent="0.2">
      <c r="C2273" s="5"/>
    </row>
    <row r="2274" spans="3:3" x14ac:dyDescent="0.2">
      <c r="C2274" s="5"/>
    </row>
    <row r="2275" spans="3:3" x14ac:dyDescent="0.2">
      <c r="C2275" s="5"/>
    </row>
    <row r="2276" spans="3:3" x14ac:dyDescent="0.2">
      <c r="C2276" s="5"/>
    </row>
    <row r="2277" spans="3:3" x14ac:dyDescent="0.2">
      <c r="C2277" s="5"/>
    </row>
    <row r="2278" spans="3:3" x14ac:dyDescent="0.2">
      <c r="C2278" s="5"/>
    </row>
    <row r="2279" spans="3:3" x14ac:dyDescent="0.2">
      <c r="C2279" s="5"/>
    </row>
    <row r="2280" spans="3:3" x14ac:dyDescent="0.2">
      <c r="C2280" s="5"/>
    </row>
    <row r="2281" spans="3:3" x14ac:dyDescent="0.2">
      <c r="C2281" s="5"/>
    </row>
    <row r="2282" spans="3:3" x14ac:dyDescent="0.2">
      <c r="C2282" s="5"/>
    </row>
    <row r="2283" spans="3:3" x14ac:dyDescent="0.2">
      <c r="C2283" s="5"/>
    </row>
    <row r="2284" spans="3:3" x14ac:dyDescent="0.2">
      <c r="C2284" s="5"/>
    </row>
    <row r="2285" spans="3:3" x14ac:dyDescent="0.2">
      <c r="C2285" s="5"/>
    </row>
    <row r="2286" spans="3:3" x14ac:dyDescent="0.2">
      <c r="C2286" s="5"/>
    </row>
    <row r="2287" spans="3:3" x14ac:dyDescent="0.2">
      <c r="C2287" s="5"/>
    </row>
    <row r="2288" spans="3:3" x14ac:dyDescent="0.2">
      <c r="C2288" s="5"/>
    </row>
    <row r="2289" spans="3:3" x14ac:dyDescent="0.2">
      <c r="C2289" s="5"/>
    </row>
    <row r="2290" spans="3:3" x14ac:dyDescent="0.2">
      <c r="C2290" s="5"/>
    </row>
    <row r="2291" spans="3:3" x14ac:dyDescent="0.2">
      <c r="C2291" s="5"/>
    </row>
    <row r="2292" spans="3:3" x14ac:dyDescent="0.2">
      <c r="C2292" s="5"/>
    </row>
    <row r="2293" spans="3:3" x14ac:dyDescent="0.2">
      <c r="C2293" s="5"/>
    </row>
    <row r="2294" spans="3:3" x14ac:dyDescent="0.2">
      <c r="C2294" s="5"/>
    </row>
    <row r="2295" spans="3:3" x14ac:dyDescent="0.2">
      <c r="C2295" s="5"/>
    </row>
    <row r="2296" spans="3:3" x14ac:dyDescent="0.2">
      <c r="C2296" s="5"/>
    </row>
    <row r="2297" spans="3:3" x14ac:dyDescent="0.2">
      <c r="C2297" s="5"/>
    </row>
    <row r="2298" spans="3:3" x14ac:dyDescent="0.2">
      <c r="C2298" s="5"/>
    </row>
    <row r="2299" spans="3:3" x14ac:dyDescent="0.2">
      <c r="C2299" s="5"/>
    </row>
    <row r="2300" spans="3:3" x14ac:dyDescent="0.2">
      <c r="C2300" s="5"/>
    </row>
    <row r="2301" spans="3:3" x14ac:dyDescent="0.2">
      <c r="C2301" s="5"/>
    </row>
    <row r="2302" spans="3:3" x14ac:dyDescent="0.2">
      <c r="C2302" s="5"/>
    </row>
    <row r="2303" spans="3:3" x14ac:dyDescent="0.2">
      <c r="C2303" s="5"/>
    </row>
    <row r="2304" spans="3:3" x14ac:dyDescent="0.2">
      <c r="C2304" s="5"/>
    </row>
    <row r="2305" spans="3:3" x14ac:dyDescent="0.2">
      <c r="C2305" s="5"/>
    </row>
    <row r="2306" spans="3:3" x14ac:dyDescent="0.2">
      <c r="C2306" s="5"/>
    </row>
    <row r="2307" spans="3:3" x14ac:dyDescent="0.2">
      <c r="C2307" s="5"/>
    </row>
    <row r="2308" spans="3:3" x14ac:dyDescent="0.2">
      <c r="C2308" s="5"/>
    </row>
    <row r="2309" spans="3:3" x14ac:dyDescent="0.2">
      <c r="C2309" s="5"/>
    </row>
    <row r="2310" spans="3:3" x14ac:dyDescent="0.2">
      <c r="C2310" s="5"/>
    </row>
    <row r="2311" spans="3:3" x14ac:dyDescent="0.2">
      <c r="C2311" s="5"/>
    </row>
    <row r="2312" spans="3:3" x14ac:dyDescent="0.2">
      <c r="C2312" s="5"/>
    </row>
    <row r="2313" spans="3:3" x14ac:dyDescent="0.2">
      <c r="C2313" s="5"/>
    </row>
    <row r="2314" spans="3:3" x14ac:dyDescent="0.2">
      <c r="C2314" s="5"/>
    </row>
    <row r="2315" spans="3:3" x14ac:dyDescent="0.2">
      <c r="C2315" s="5"/>
    </row>
    <row r="2316" spans="3:3" x14ac:dyDescent="0.2">
      <c r="C2316" s="5"/>
    </row>
    <row r="2317" spans="3:3" x14ac:dyDescent="0.2">
      <c r="C2317" s="5"/>
    </row>
    <row r="2318" spans="3:3" x14ac:dyDescent="0.2">
      <c r="C2318" s="5"/>
    </row>
    <row r="2319" spans="3:3" x14ac:dyDescent="0.2">
      <c r="C2319" s="5"/>
    </row>
    <row r="2320" spans="3:3" x14ac:dyDescent="0.2">
      <c r="C2320" s="5"/>
    </row>
    <row r="2321" spans="3:3" x14ac:dyDescent="0.2">
      <c r="C2321" s="5"/>
    </row>
    <row r="2322" spans="3:3" x14ac:dyDescent="0.2">
      <c r="C2322" s="5"/>
    </row>
    <row r="2323" spans="3:3" x14ac:dyDescent="0.2">
      <c r="C2323" s="5"/>
    </row>
    <row r="2324" spans="3:3" x14ac:dyDescent="0.2">
      <c r="C2324" s="5"/>
    </row>
    <row r="2325" spans="3:3" x14ac:dyDescent="0.2">
      <c r="C2325" s="5"/>
    </row>
    <row r="2326" spans="3:3" x14ac:dyDescent="0.2">
      <c r="C2326" s="5"/>
    </row>
    <row r="2327" spans="3:3" x14ac:dyDescent="0.2">
      <c r="C2327" s="5"/>
    </row>
    <row r="2328" spans="3:3" x14ac:dyDescent="0.2">
      <c r="C2328" s="5"/>
    </row>
    <row r="2329" spans="3:3" x14ac:dyDescent="0.2">
      <c r="C2329" s="5"/>
    </row>
    <row r="2330" spans="3:3" x14ac:dyDescent="0.2">
      <c r="C2330" s="5"/>
    </row>
    <row r="2331" spans="3:3" x14ac:dyDescent="0.2">
      <c r="C2331" s="5"/>
    </row>
    <row r="2332" spans="3:3" x14ac:dyDescent="0.2">
      <c r="C2332" s="5"/>
    </row>
    <row r="2333" spans="3:3" x14ac:dyDescent="0.2">
      <c r="C2333" s="5"/>
    </row>
    <row r="2334" spans="3:3" x14ac:dyDescent="0.2">
      <c r="C2334" s="5"/>
    </row>
    <row r="2335" spans="3:3" x14ac:dyDescent="0.2">
      <c r="C2335" s="5"/>
    </row>
    <row r="2336" spans="3:3" x14ac:dyDescent="0.2">
      <c r="C2336" s="5"/>
    </row>
    <row r="2337" spans="3:3" x14ac:dyDescent="0.2">
      <c r="C2337" s="5"/>
    </row>
    <row r="2338" spans="3:3" x14ac:dyDescent="0.2">
      <c r="C2338" s="5"/>
    </row>
    <row r="2339" spans="3:3" x14ac:dyDescent="0.2">
      <c r="C2339" s="5"/>
    </row>
    <row r="2340" spans="3:3" x14ac:dyDescent="0.2">
      <c r="C2340" s="5"/>
    </row>
    <row r="2341" spans="3:3" x14ac:dyDescent="0.2">
      <c r="C2341" s="5"/>
    </row>
    <row r="2342" spans="3:3" x14ac:dyDescent="0.2">
      <c r="C2342" s="5"/>
    </row>
    <row r="2343" spans="3:3" x14ac:dyDescent="0.2">
      <c r="C2343" s="5"/>
    </row>
    <row r="2344" spans="3:3" x14ac:dyDescent="0.2">
      <c r="C2344" s="5"/>
    </row>
    <row r="2345" spans="3:3" x14ac:dyDescent="0.2">
      <c r="C2345" s="5"/>
    </row>
    <row r="2346" spans="3:3" x14ac:dyDescent="0.2">
      <c r="C2346" s="5"/>
    </row>
    <row r="2347" spans="3:3" x14ac:dyDescent="0.2">
      <c r="C2347" s="5"/>
    </row>
    <row r="2348" spans="3:3" x14ac:dyDescent="0.2">
      <c r="C2348" s="5"/>
    </row>
    <row r="2349" spans="3:3" x14ac:dyDescent="0.2">
      <c r="C2349" s="5"/>
    </row>
    <row r="2350" spans="3:3" x14ac:dyDescent="0.2">
      <c r="C2350" s="5"/>
    </row>
    <row r="2351" spans="3:3" x14ac:dyDescent="0.2">
      <c r="C2351" s="5"/>
    </row>
    <row r="2352" spans="3:3" x14ac:dyDescent="0.2">
      <c r="C2352" s="5"/>
    </row>
    <row r="2353" spans="3:3" x14ac:dyDescent="0.2">
      <c r="C2353" s="5"/>
    </row>
    <row r="2354" spans="3:3" x14ac:dyDescent="0.2">
      <c r="C2354" s="5"/>
    </row>
    <row r="2355" spans="3:3" x14ac:dyDescent="0.2">
      <c r="C2355" s="5"/>
    </row>
    <row r="2356" spans="3:3" x14ac:dyDescent="0.2">
      <c r="C2356" s="5"/>
    </row>
    <row r="2357" spans="3:3" x14ac:dyDescent="0.2">
      <c r="C2357" s="5"/>
    </row>
    <row r="2358" spans="3:3" x14ac:dyDescent="0.2">
      <c r="C2358" s="5"/>
    </row>
    <row r="2359" spans="3:3" x14ac:dyDescent="0.2">
      <c r="C2359" s="5"/>
    </row>
    <row r="2360" spans="3:3" x14ac:dyDescent="0.2">
      <c r="C2360" s="5"/>
    </row>
    <row r="2361" spans="3:3" x14ac:dyDescent="0.2">
      <c r="C2361" s="5"/>
    </row>
    <row r="2362" spans="3:3" x14ac:dyDescent="0.2">
      <c r="C2362" s="5"/>
    </row>
    <row r="2363" spans="3:3" x14ac:dyDescent="0.2">
      <c r="C2363" s="5"/>
    </row>
    <row r="2364" spans="3:3" x14ac:dyDescent="0.2">
      <c r="C2364" s="5"/>
    </row>
    <row r="2365" spans="3:3" x14ac:dyDescent="0.2">
      <c r="C2365" s="5"/>
    </row>
    <row r="2366" spans="3:3" x14ac:dyDescent="0.2">
      <c r="C2366" s="5"/>
    </row>
    <row r="2367" spans="3:3" x14ac:dyDescent="0.2">
      <c r="C2367" s="5"/>
    </row>
    <row r="2368" spans="3:3" x14ac:dyDescent="0.2">
      <c r="C2368" s="5"/>
    </row>
    <row r="2369" spans="3:3" x14ac:dyDescent="0.2">
      <c r="C2369" s="5"/>
    </row>
    <row r="2370" spans="3:3" x14ac:dyDescent="0.2">
      <c r="C2370" s="5"/>
    </row>
    <row r="2371" spans="3:3" x14ac:dyDescent="0.2">
      <c r="C2371" s="5"/>
    </row>
    <row r="2372" spans="3:3" x14ac:dyDescent="0.2">
      <c r="C2372" s="5"/>
    </row>
    <row r="2373" spans="3:3" x14ac:dyDescent="0.2">
      <c r="C2373" s="5"/>
    </row>
    <row r="2374" spans="3:3" x14ac:dyDescent="0.2">
      <c r="C2374" s="5"/>
    </row>
    <row r="2375" spans="3:3" x14ac:dyDescent="0.2">
      <c r="C2375" s="5"/>
    </row>
    <row r="2376" spans="3:3" x14ac:dyDescent="0.2">
      <c r="C2376" s="5"/>
    </row>
    <row r="2377" spans="3:3" x14ac:dyDescent="0.2">
      <c r="C2377" s="5"/>
    </row>
    <row r="2378" spans="3:3" x14ac:dyDescent="0.2">
      <c r="C2378" s="5"/>
    </row>
    <row r="2379" spans="3:3" x14ac:dyDescent="0.2">
      <c r="C2379" s="5"/>
    </row>
    <row r="2380" spans="3:3" x14ac:dyDescent="0.2">
      <c r="C2380" s="5"/>
    </row>
    <row r="2381" spans="3:3" x14ac:dyDescent="0.2">
      <c r="C2381" s="5"/>
    </row>
    <row r="2382" spans="3:3" x14ac:dyDescent="0.2">
      <c r="C2382" s="5"/>
    </row>
    <row r="2383" spans="3:3" x14ac:dyDescent="0.2">
      <c r="C2383" s="5"/>
    </row>
    <row r="2384" spans="3:3" x14ac:dyDescent="0.2">
      <c r="C2384" s="5"/>
    </row>
    <row r="2385" spans="3:3" x14ac:dyDescent="0.2">
      <c r="C2385" s="5"/>
    </row>
    <row r="2386" spans="3:3" x14ac:dyDescent="0.2">
      <c r="C2386" s="5"/>
    </row>
    <row r="2387" spans="3:3" x14ac:dyDescent="0.2">
      <c r="C2387" s="5"/>
    </row>
    <row r="2388" spans="3:3" x14ac:dyDescent="0.2">
      <c r="C2388" s="5"/>
    </row>
    <row r="2389" spans="3:3" x14ac:dyDescent="0.2">
      <c r="C2389" s="5"/>
    </row>
    <row r="2390" spans="3:3" x14ac:dyDescent="0.2">
      <c r="C2390" s="5"/>
    </row>
    <row r="2391" spans="3:3" x14ac:dyDescent="0.2">
      <c r="C2391" s="5"/>
    </row>
    <row r="2392" spans="3:3" x14ac:dyDescent="0.2">
      <c r="C2392" s="5"/>
    </row>
    <row r="2393" spans="3:3" x14ac:dyDescent="0.2">
      <c r="C2393" s="5"/>
    </row>
    <row r="2394" spans="3:3" x14ac:dyDescent="0.2">
      <c r="C2394" s="5"/>
    </row>
    <row r="2395" spans="3:3" x14ac:dyDescent="0.2">
      <c r="C2395" s="5"/>
    </row>
    <row r="2396" spans="3:3" x14ac:dyDescent="0.2">
      <c r="C2396" s="5"/>
    </row>
    <row r="2397" spans="3:3" x14ac:dyDescent="0.2">
      <c r="C2397" s="5"/>
    </row>
    <row r="2398" spans="3:3" x14ac:dyDescent="0.2">
      <c r="C2398" s="5"/>
    </row>
    <row r="2399" spans="3:3" x14ac:dyDescent="0.2">
      <c r="C2399" s="5"/>
    </row>
    <row r="2400" spans="3:3" x14ac:dyDescent="0.2">
      <c r="C2400" s="5"/>
    </row>
    <row r="2401" spans="3:3" x14ac:dyDescent="0.2">
      <c r="C2401" s="5"/>
    </row>
    <row r="2402" spans="3:3" x14ac:dyDescent="0.2">
      <c r="C2402" s="5"/>
    </row>
    <row r="2403" spans="3:3" x14ac:dyDescent="0.2">
      <c r="C2403" s="5"/>
    </row>
    <row r="2404" spans="3:3" x14ac:dyDescent="0.2">
      <c r="C2404" s="5"/>
    </row>
    <row r="2405" spans="3:3" x14ac:dyDescent="0.2">
      <c r="C2405" s="5"/>
    </row>
    <row r="2406" spans="3:3" x14ac:dyDescent="0.2">
      <c r="C2406" s="5"/>
    </row>
    <row r="2407" spans="3:3" x14ac:dyDescent="0.2">
      <c r="C2407" s="5"/>
    </row>
    <row r="2408" spans="3:3" x14ac:dyDescent="0.2">
      <c r="C2408" s="5"/>
    </row>
    <row r="2409" spans="3:3" x14ac:dyDescent="0.2">
      <c r="C2409" s="5"/>
    </row>
    <row r="2410" spans="3:3" x14ac:dyDescent="0.2">
      <c r="C2410" s="5"/>
    </row>
    <row r="2411" spans="3:3" x14ac:dyDescent="0.2">
      <c r="C2411" s="5"/>
    </row>
    <row r="2412" spans="3:3" x14ac:dyDescent="0.2">
      <c r="C2412" s="5"/>
    </row>
    <row r="2413" spans="3:3" x14ac:dyDescent="0.2">
      <c r="C2413" s="5"/>
    </row>
    <row r="2414" spans="3:3" x14ac:dyDescent="0.2">
      <c r="C2414" s="5"/>
    </row>
    <row r="2415" spans="3:3" x14ac:dyDescent="0.2">
      <c r="C2415" s="5"/>
    </row>
    <row r="2416" spans="3:3" x14ac:dyDescent="0.2">
      <c r="C2416" s="5"/>
    </row>
    <row r="2417" spans="3:3" x14ac:dyDescent="0.2">
      <c r="C2417" s="5"/>
    </row>
    <row r="2418" spans="3:3" x14ac:dyDescent="0.2">
      <c r="C2418" s="5"/>
    </row>
    <row r="2419" spans="3:3" x14ac:dyDescent="0.2">
      <c r="C2419" s="5"/>
    </row>
    <row r="2420" spans="3:3" x14ac:dyDescent="0.2">
      <c r="C2420" s="5"/>
    </row>
    <row r="2421" spans="3:3" x14ac:dyDescent="0.2">
      <c r="C2421" s="5"/>
    </row>
    <row r="2422" spans="3:3" x14ac:dyDescent="0.2">
      <c r="C2422" s="5"/>
    </row>
    <row r="2423" spans="3:3" x14ac:dyDescent="0.2">
      <c r="C2423" s="5"/>
    </row>
    <row r="2424" spans="3:3" x14ac:dyDescent="0.2">
      <c r="C2424" s="5"/>
    </row>
    <row r="2425" spans="3:3" x14ac:dyDescent="0.2">
      <c r="C2425" s="5"/>
    </row>
    <row r="2426" spans="3:3" x14ac:dyDescent="0.2">
      <c r="C2426" s="5"/>
    </row>
    <row r="2427" spans="3:3" x14ac:dyDescent="0.2">
      <c r="C2427" s="5"/>
    </row>
    <row r="2428" spans="3:3" x14ac:dyDescent="0.2">
      <c r="C2428" s="5"/>
    </row>
    <row r="2429" spans="3:3" x14ac:dyDescent="0.2">
      <c r="C2429" s="5"/>
    </row>
    <row r="2430" spans="3:3" x14ac:dyDescent="0.2">
      <c r="C2430" s="5"/>
    </row>
    <row r="2431" spans="3:3" x14ac:dyDescent="0.2">
      <c r="C2431" s="5"/>
    </row>
    <row r="2432" spans="3:3" x14ac:dyDescent="0.2">
      <c r="C2432" s="5"/>
    </row>
    <row r="2433" spans="3:3" x14ac:dyDescent="0.2">
      <c r="C2433" s="5"/>
    </row>
    <row r="2434" spans="3:3" x14ac:dyDescent="0.2">
      <c r="C2434" s="5"/>
    </row>
    <row r="2435" spans="3:3" x14ac:dyDescent="0.2">
      <c r="C2435" s="5"/>
    </row>
    <row r="2436" spans="3:3" x14ac:dyDescent="0.2">
      <c r="C2436" s="5"/>
    </row>
    <row r="2437" spans="3:3" x14ac:dyDescent="0.2">
      <c r="C2437" s="5"/>
    </row>
    <row r="2438" spans="3:3" x14ac:dyDescent="0.2">
      <c r="C2438" s="5"/>
    </row>
    <row r="2439" spans="3:3" x14ac:dyDescent="0.2">
      <c r="C2439" s="5"/>
    </row>
    <row r="2440" spans="3:3" x14ac:dyDescent="0.2">
      <c r="C2440" s="5"/>
    </row>
    <row r="2441" spans="3:3" x14ac:dyDescent="0.2">
      <c r="C2441" s="5"/>
    </row>
    <row r="2442" spans="3:3" x14ac:dyDescent="0.2">
      <c r="C2442" s="5"/>
    </row>
    <row r="2443" spans="3:3" x14ac:dyDescent="0.2">
      <c r="C2443" s="5"/>
    </row>
    <row r="2444" spans="3:3" x14ac:dyDescent="0.2">
      <c r="C2444" s="5"/>
    </row>
    <row r="2445" spans="3:3" x14ac:dyDescent="0.2">
      <c r="C2445" s="5"/>
    </row>
    <row r="2446" spans="3:3" x14ac:dyDescent="0.2">
      <c r="C2446" s="5"/>
    </row>
    <row r="2447" spans="3:3" x14ac:dyDescent="0.2">
      <c r="C2447" s="5"/>
    </row>
    <row r="2448" spans="3:3" x14ac:dyDescent="0.2">
      <c r="C2448" s="5"/>
    </row>
    <row r="2449" spans="3:3" x14ac:dyDescent="0.2">
      <c r="C2449" s="5"/>
    </row>
    <row r="2450" spans="3:3" x14ac:dyDescent="0.2">
      <c r="C2450" s="5"/>
    </row>
    <row r="2451" spans="3:3" x14ac:dyDescent="0.2">
      <c r="C2451" s="5"/>
    </row>
    <row r="2452" spans="3:3" x14ac:dyDescent="0.2">
      <c r="C2452" s="5"/>
    </row>
    <row r="2453" spans="3:3" x14ac:dyDescent="0.2">
      <c r="C2453" s="5"/>
    </row>
    <row r="2454" spans="3:3" x14ac:dyDescent="0.2">
      <c r="C2454" s="5"/>
    </row>
    <row r="2455" spans="3:3" x14ac:dyDescent="0.2">
      <c r="C2455" s="5"/>
    </row>
    <row r="2456" spans="3:3" x14ac:dyDescent="0.2">
      <c r="C2456" s="5"/>
    </row>
    <row r="2457" spans="3:3" x14ac:dyDescent="0.2">
      <c r="C2457" s="5"/>
    </row>
    <row r="2458" spans="3:3" x14ac:dyDescent="0.2">
      <c r="C2458" s="5"/>
    </row>
    <row r="2459" spans="3:3" x14ac:dyDescent="0.2">
      <c r="C2459" s="5"/>
    </row>
    <row r="2460" spans="3:3" x14ac:dyDescent="0.2">
      <c r="C2460" s="5"/>
    </row>
    <row r="2461" spans="3:3" x14ac:dyDescent="0.2">
      <c r="C2461" s="5"/>
    </row>
    <row r="2462" spans="3:3" x14ac:dyDescent="0.2">
      <c r="C2462" s="5"/>
    </row>
    <row r="2463" spans="3:3" x14ac:dyDescent="0.2">
      <c r="C2463" s="5"/>
    </row>
    <row r="2464" spans="3:3" x14ac:dyDescent="0.2">
      <c r="C2464" s="5"/>
    </row>
    <row r="2465" spans="3:3" x14ac:dyDescent="0.2">
      <c r="C2465" s="5"/>
    </row>
    <row r="2466" spans="3:3" x14ac:dyDescent="0.2">
      <c r="C2466" s="5"/>
    </row>
    <row r="2467" spans="3:3" x14ac:dyDescent="0.2">
      <c r="C2467" s="5"/>
    </row>
    <row r="2468" spans="3:3" x14ac:dyDescent="0.2">
      <c r="C2468" s="5"/>
    </row>
    <row r="2469" spans="3:3" x14ac:dyDescent="0.2">
      <c r="C2469" s="5"/>
    </row>
    <row r="2470" spans="3:3" x14ac:dyDescent="0.2">
      <c r="C2470" s="5"/>
    </row>
    <row r="2471" spans="3:3" x14ac:dyDescent="0.2">
      <c r="C2471" s="5"/>
    </row>
    <row r="2472" spans="3:3" x14ac:dyDescent="0.2">
      <c r="C2472" s="5"/>
    </row>
    <row r="2473" spans="3:3" x14ac:dyDescent="0.2">
      <c r="C2473" s="5"/>
    </row>
    <row r="2474" spans="3:3" x14ac:dyDescent="0.2">
      <c r="C2474" s="5"/>
    </row>
    <row r="2475" spans="3:3" x14ac:dyDescent="0.2">
      <c r="C2475" s="5"/>
    </row>
    <row r="2476" spans="3:3" x14ac:dyDescent="0.2">
      <c r="C2476" s="5"/>
    </row>
    <row r="2477" spans="3:3" x14ac:dyDescent="0.2">
      <c r="C2477" s="5"/>
    </row>
    <row r="2478" spans="3:3" x14ac:dyDescent="0.2">
      <c r="C2478" s="5"/>
    </row>
    <row r="2479" spans="3:3" x14ac:dyDescent="0.2">
      <c r="C2479" s="5"/>
    </row>
    <row r="2480" spans="3:3" x14ac:dyDescent="0.2">
      <c r="C2480" s="5"/>
    </row>
    <row r="2481" spans="3:3" x14ac:dyDescent="0.2">
      <c r="C2481" s="5"/>
    </row>
    <row r="2482" spans="3:3" x14ac:dyDescent="0.2">
      <c r="C2482" s="5"/>
    </row>
    <row r="2483" spans="3:3" x14ac:dyDescent="0.2">
      <c r="C2483" s="5"/>
    </row>
    <row r="2484" spans="3:3" x14ac:dyDescent="0.2">
      <c r="C2484" s="5"/>
    </row>
    <row r="2485" spans="3:3" x14ac:dyDescent="0.2">
      <c r="C2485" s="5"/>
    </row>
    <row r="2486" spans="3:3" x14ac:dyDescent="0.2">
      <c r="C2486" s="5"/>
    </row>
    <row r="2487" spans="3:3" x14ac:dyDescent="0.2">
      <c r="C2487" s="5"/>
    </row>
    <row r="2488" spans="3:3" x14ac:dyDescent="0.2">
      <c r="C2488" s="5"/>
    </row>
    <row r="2489" spans="3:3" x14ac:dyDescent="0.2">
      <c r="C2489" s="5"/>
    </row>
    <row r="2490" spans="3:3" x14ac:dyDescent="0.2">
      <c r="C2490" s="5"/>
    </row>
    <row r="2491" spans="3:3" x14ac:dyDescent="0.2">
      <c r="C2491" s="5"/>
    </row>
    <row r="2492" spans="3:3" x14ac:dyDescent="0.2">
      <c r="C2492" s="5"/>
    </row>
    <row r="2493" spans="3:3" x14ac:dyDescent="0.2">
      <c r="C2493" s="5"/>
    </row>
    <row r="2494" spans="3:3" x14ac:dyDescent="0.2">
      <c r="C2494" s="5"/>
    </row>
    <row r="2495" spans="3:3" x14ac:dyDescent="0.2">
      <c r="C2495" s="5"/>
    </row>
    <row r="2496" spans="3:3" x14ac:dyDescent="0.2">
      <c r="C2496" s="5"/>
    </row>
    <row r="2497" spans="3:3" x14ac:dyDescent="0.2">
      <c r="C2497" s="5"/>
    </row>
    <row r="2498" spans="3:3" x14ac:dyDescent="0.2">
      <c r="C2498" s="5"/>
    </row>
    <row r="2499" spans="3:3" x14ac:dyDescent="0.2">
      <c r="C2499" s="5"/>
    </row>
    <row r="2500" spans="3:3" x14ac:dyDescent="0.2">
      <c r="C2500" s="5"/>
    </row>
    <row r="2501" spans="3:3" x14ac:dyDescent="0.2">
      <c r="C2501" s="5"/>
    </row>
    <row r="2502" spans="3:3" x14ac:dyDescent="0.2">
      <c r="C2502" s="5"/>
    </row>
    <row r="2503" spans="3:3" x14ac:dyDescent="0.2">
      <c r="C2503" s="5"/>
    </row>
    <row r="2504" spans="3:3" x14ac:dyDescent="0.2">
      <c r="C2504" s="5"/>
    </row>
    <row r="2505" spans="3:3" x14ac:dyDescent="0.2">
      <c r="C2505" s="5"/>
    </row>
    <row r="2506" spans="3:3" x14ac:dyDescent="0.2">
      <c r="C2506" s="5"/>
    </row>
    <row r="2507" spans="3:3" x14ac:dyDescent="0.2">
      <c r="C2507" s="5"/>
    </row>
    <row r="2508" spans="3:3" x14ac:dyDescent="0.2">
      <c r="C2508" s="5"/>
    </row>
    <row r="2509" spans="3:3" x14ac:dyDescent="0.2">
      <c r="C2509" s="5"/>
    </row>
    <row r="2510" spans="3:3" x14ac:dyDescent="0.2">
      <c r="C2510" s="5"/>
    </row>
    <row r="2511" spans="3:3" x14ac:dyDescent="0.2">
      <c r="C2511" s="5"/>
    </row>
    <row r="2512" spans="3:3" x14ac:dyDescent="0.2">
      <c r="C2512" s="5"/>
    </row>
    <row r="2513" spans="3:3" x14ac:dyDescent="0.2">
      <c r="C2513" s="5"/>
    </row>
    <row r="2514" spans="3:3" x14ac:dyDescent="0.2">
      <c r="C2514" s="5"/>
    </row>
    <row r="2515" spans="3:3" x14ac:dyDescent="0.2">
      <c r="C2515" s="5"/>
    </row>
    <row r="2516" spans="3:3" x14ac:dyDescent="0.2">
      <c r="C2516" s="5"/>
    </row>
    <row r="2517" spans="3:3" x14ac:dyDescent="0.2">
      <c r="C2517" s="5"/>
    </row>
    <row r="2518" spans="3:3" x14ac:dyDescent="0.2">
      <c r="C2518" s="5"/>
    </row>
    <row r="2519" spans="3:3" x14ac:dyDescent="0.2">
      <c r="C2519" s="5"/>
    </row>
    <row r="2520" spans="3:3" x14ac:dyDescent="0.2">
      <c r="C2520" s="5"/>
    </row>
    <row r="2521" spans="3:3" x14ac:dyDescent="0.2">
      <c r="C2521" s="5"/>
    </row>
    <row r="2522" spans="3:3" x14ac:dyDescent="0.2">
      <c r="C2522" s="5"/>
    </row>
    <row r="2523" spans="3:3" x14ac:dyDescent="0.2">
      <c r="C2523" s="5"/>
    </row>
    <row r="2524" spans="3:3" x14ac:dyDescent="0.2">
      <c r="C2524" s="5"/>
    </row>
    <row r="2525" spans="3:3" x14ac:dyDescent="0.2">
      <c r="C2525" s="5"/>
    </row>
    <row r="2526" spans="3:3" x14ac:dyDescent="0.2">
      <c r="C2526" s="5"/>
    </row>
    <row r="2527" spans="3:3" x14ac:dyDescent="0.2">
      <c r="C2527" s="5"/>
    </row>
    <row r="2528" spans="3:3" x14ac:dyDescent="0.2">
      <c r="C2528" s="5"/>
    </row>
    <row r="2529" spans="3:3" x14ac:dyDescent="0.2">
      <c r="C2529" s="5"/>
    </row>
    <row r="2530" spans="3:3" x14ac:dyDescent="0.2">
      <c r="C2530" s="5"/>
    </row>
    <row r="2531" spans="3:3" x14ac:dyDescent="0.2">
      <c r="C2531" s="5"/>
    </row>
    <row r="2532" spans="3:3" x14ac:dyDescent="0.2">
      <c r="C2532" s="5"/>
    </row>
    <row r="2533" spans="3:3" x14ac:dyDescent="0.2">
      <c r="C2533" s="5"/>
    </row>
    <row r="2534" spans="3:3" x14ac:dyDescent="0.2">
      <c r="C2534" s="5"/>
    </row>
    <row r="2535" spans="3:3" x14ac:dyDescent="0.2">
      <c r="C2535" s="5"/>
    </row>
    <row r="2536" spans="3:3" x14ac:dyDescent="0.2">
      <c r="C2536" s="5"/>
    </row>
    <row r="2537" spans="3:3" x14ac:dyDescent="0.2">
      <c r="C2537" s="5"/>
    </row>
    <row r="2538" spans="3:3" x14ac:dyDescent="0.2">
      <c r="C2538" s="5"/>
    </row>
    <row r="2539" spans="3:3" x14ac:dyDescent="0.2">
      <c r="C2539" s="5"/>
    </row>
    <row r="2540" spans="3:3" x14ac:dyDescent="0.2">
      <c r="C2540" s="5"/>
    </row>
    <row r="2541" spans="3:3" x14ac:dyDescent="0.2">
      <c r="C2541" s="5"/>
    </row>
    <row r="2542" spans="3:3" x14ac:dyDescent="0.2">
      <c r="C2542" s="5"/>
    </row>
    <row r="2543" spans="3:3" x14ac:dyDescent="0.2">
      <c r="C2543" s="5"/>
    </row>
    <row r="2544" spans="3:3" x14ac:dyDescent="0.2">
      <c r="C2544" s="5"/>
    </row>
    <row r="2545" spans="3:3" x14ac:dyDescent="0.2">
      <c r="C2545" s="5"/>
    </row>
    <row r="2546" spans="3:3" x14ac:dyDescent="0.2">
      <c r="C2546" s="5"/>
    </row>
    <row r="2547" spans="3:3" x14ac:dyDescent="0.2">
      <c r="C2547" s="5"/>
    </row>
    <row r="2548" spans="3:3" x14ac:dyDescent="0.2">
      <c r="C2548" s="5"/>
    </row>
    <row r="2549" spans="3:3" x14ac:dyDescent="0.2">
      <c r="C2549" s="5"/>
    </row>
    <row r="2550" spans="3:3" x14ac:dyDescent="0.2">
      <c r="C2550" s="5"/>
    </row>
    <row r="2551" spans="3:3" x14ac:dyDescent="0.2">
      <c r="C2551" s="5"/>
    </row>
    <row r="2552" spans="3:3" x14ac:dyDescent="0.2">
      <c r="C2552" s="5"/>
    </row>
    <row r="2553" spans="3:3" x14ac:dyDescent="0.2">
      <c r="C2553" s="5"/>
    </row>
    <row r="2554" spans="3:3" x14ac:dyDescent="0.2">
      <c r="C2554" s="5"/>
    </row>
    <row r="2555" spans="3:3" x14ac:dyDescent="0.2">
      <c r="C2555" s="5"/>
    </row>
    <row r="2556" spans="3:3" x14ac:dyDescent="0.2">
      <c r="C2556" s="5"/>
    </row>
    <row r="2557" spans="3:3" x14ac:dyDescent="0.2">
      <c r="C2557" s="5"/>
    </row>
    <row r="2558" spans="3:3" x14ac:dyDescent="0.2">
      <c r="C2558" s="5"/>
    </row>
    <row r="2559" spans="3:3" x14ac:dyDescent="0.2">
      <c r="C2559" s="5"/>
    </row>
    <row r="2560" spans="3:3" x14ac:dyDescent="0.2">
      <c r="C2560" s="5"/>
    </row>
    <row r="2561" spans="3:3" x14ac:dyDescent="0.2">
      <c r="C2561" s="5"/>
    </row>
    <row r="2562" spans="3:3" x14ac:dyDescent="0.2">
      <c r="C2562" s="5"/>
    </row>
    <row r="2563" spans="3:3" x14ac:dyDescent="0.2">
      <c r="C2563" s="5"/>
    </row>
    <row r="2564" spans="3:3" x14ac:dyDescent="0.2">
      <c r="C2564" s="5"/>
    </row>
    <row r="2565" spans="3:3" x14ac:dyDescent="0.2">
      <c r="C2565" s="5"/>
    </row>
    <row r="2566" spans="3:3" x14ac:dyDescent="0.2">
      <c r="C2566" s="5"/>
    </row>
    <row r="2567" spans="3:3" x14ac:dyDescent="0.2">
      <c r="C2567" s="5"/>
    </row>
    <row r="2568" spans="3:3" x14ac:dyDescent="0.2">
      <c r="C2568" s="5"/>
    </row>
    <row r="2569" spans="3:3" x14ac:dyDescent="0.2">
      <c r="C2569" s="5"/>
    </row>
    <row r="2570" spans="3:3" x14ac:dyDescent="0.2">
      <c r="C2570" s="5"/>
    </row>
    <row r="2571" spans="3:3" x14ac:dyDescent="0.2">
      <c r="C2571" s="5"/>
    </row>
    <row r="2572" spans="3:3" x14ac:dyDescent="0.2">
      <c r="C2572" s="5"/>
    </row>
    <row r="2573" spans="3:3" x14ac:dyDescent="0.2">
      <c r="C2573" s="5"/>
    </row>
    <row r="2574" spans="3:3" x14ac:dyDescent="0.2">
      <c r="C2574" s="5"/>
    </row>
    <row r="2575" spans="3:3" x14ac:dyDescent="0.2">
      <c r="C2575" s="5"/>
    </row>
    <row r="2576" spans="3:3" x14ac:dyDescent="0.2">
      <c r="C2576" s="5"/>
    </row>
    <row r="2577" spans="3:3" x14ac:dyDescent="0.2">
      <c r="C2577" s="5"/>
    </row>
    <row r="2578" spans="3:3" x14ac:dyDescent="0.2">
      <c r="C2578" s="5"/>
    </row>
    <row r="2579" spans="3:3" x14ac:dyDescent="0.2">
      <c r="C2579" s="5"/>
    </row>
    <row r="2580" spans="3:3" x14ac:dyDescent="0.2">
      <c r="C2580" s="5"/>
    </row>
    <row r="2581" spans="3:3" x14ac:dyDescent="0.2">
      <c r="C2581" s="5"/>
    </row>
    <row r="2582" spans="3:3" x14ac:dyDescent="0.2">
      <c r="C2582" s="5"/>
    </row>
    <row r="2583" spans="3:3" x14ac:dyDescent="0.2">
      <c r="C2583" s="5"/>
    </row>
    <row r="2584" spans="3:3" x14ac:dyDescent="0.2">
      <c r="C2584" s="5"/>
    </row>
    <row r="2585" spans="3:3" x14ac:dyDescent="0.2">
      <c r="C2585" s="5"/>
    </row>
    <row r="2586" spans="3:3" x14ac:dyDescent="0.2">
      <c r="C2586" s="5"/>
    </row>
    <row r="2587" spans="3:3" x14ac:dyDescent="0.2">
      <c r="C2587" s="5"/>
    </row>
    <row r="2588" spans="3:3" x14ac:dyDescent="0.2">
      <c r="C2588" s="5"/>
    </row>
    <row r="2589" spans="3:3" x14ac:dyDescent="0.2">
      <c r="C2589" s="5"/>
    </row>
    <row r="2590" spans="3:3" x14ac:dyDescent="0.2">
      <c r="C2590" s="5"/>
    </row>
    <row r="2591" spans="3:3" x14ac:dyDescent="0.2">
      <c r="C2591" s="5"/>
    </row>
    <row r="2592" spans="3:3" x14ac:dyDescent="0.2">
      <c r="C2592" s="5"/>
    </row>
    <row r="2593" spans="3:3" x14ac:dyDescent="0.2">
      <c r="C2593" s="5"/>
    </row>
    <row r="2594" spans="3:3" x14ac:dyDescent="0.2">
      <c r="C2594" s="5"/>
    </row>
    <row r="2595" spans="3:3" x14ac:dyDescent="0.2">
      <c r="C2595" s="5"/>
    </row>
    <row r="2596" spans="3:3" x14ac:dyDescent="0.2">
      <c r="C2596" s="5"/>
    </row>
    <row r="2597" spans="3:3" x14ac:dyDescent="0.2">
      <c r="C2597" s="5"/>
    </row>
    <row r="2598" spans="3:3" x14ac:dyDescent="0.2">
      <c r="C2598" s="5"/>
    </row>
    <row r="2599" spans="3:3" x14ac:dyDescent="0.2">
      <c r="C2599" s="5"/>
    </row>
    <row r="2600" spans="3:3" x14ac:dyDescent="0.2">
      <c r="C2600" s="5"/>
    </row>
    <row r="2601" spans="3:3" x14ac:dyDescent="0.2">
      <c r="C2601" s="5"/>
    </row>
    <row r="2602" spans="3:3" x14ac:dyDescent="0.2">
      <c r="C2602" s="5"/>
    </row>
    <row r="2603" spans="3:3" x14ac:dyDescent="0.2">
      <c r="C2603" s="5"/>
    </row>
    <row r="2604" spans="3:3" x14ac:dyDescent="0.2">
      <c r="C2604" s="5"/>
    </row>
    <row r="2605" spans="3:3" x14ac:dyDescent="0.2">
      <c r="C2605" s="5"/>
    </row>
    <row r="2606" spans="3:3" x14ac:dyDescent="0.2">
      <c r="C2606" s="5"/>
    </row>
    <row r="2607" spans="3:3" x14ac:dyDescent="0.2">
      <c r="C2607" s="5"/>
    </row>
    <row r="2608" spans="3:3" x14ac:dyDescent="0.2">
      <c r="C2608" s="5"/>
    </row>
    <row r="2609" spans="3:3" x14ac:dyDescent="0.2">
      <c r="C2609" s="5"/>
    </row>
    <row r="2610" spans="3:3" x14ac:dyDescent="0.2">
      <c r="C2610" s="5"/>
    </row>
    <row r="2611" spans="3:3" x14ac:dyDescent="0.2">
      <c r="C2611" s="5"/>
    </row>
    <row r="2612" spans="3:3" x14ac:dyDescent="0.2">
      <c r="C2612" s="5"/>
    </row>
    <row r="2613" spans="3:3" x14ac:dyDescent="0.2">
      <c r="C2613" s="5"/>
    </row>
    <row r="2614" spans="3:3" x14ac:dyDescent="0.2">
      <c r="C2614" s="5"/>
    </row>
    <row r="2615" spans="3:3" x14ac:dyDescent="0.2">
      <c r="C2615" s="5"/>
    </row>
    <row r="2616" spans="3:3" x14ac:dyDescent="0.2">
      <c r="C2616" s="5"/>
    </row>
    <row r="2617" spans="3:3" x14ac:dyDescent="0.2">
      <c r="C2617" s="5"/>
    </row>
    <row r="2618" spans="3:3" x14ac:dyDescent="0.2">
      <c r="C2618" s="5"/>
    </row>
    <row r="2619" spans="3:3" x14ac:dyDescent="0.2">
      <c r="C2619" s="5"/>
    </row>
    <row r="2620" spans="3:3" x14ac:dyDescent="0.2">
      <c r="C2620" s="5"/>
    </row>
    <row r="2621" spans="3:3" x14ac:dyDescent="0.2">
      <c r="C2621" s="5"/>
    </row>
    <row r="2622" spans="3:3" x14ac:dyDescent="0.2">
      <c r="C2622" s="5"/>
    </row>
    <row r="2623" spans="3:3" x14ac:dyDescent="0.2">
      <c r="C2623" s="5"/>
    </row>
    <row r="2624" spans="3:3" x14ac:dyDescent="0.2">
      <c r="C2624" s="5"/>
    </row>
    <row r="2625" spans="3:3" x14ac:dyDescent="0.2">
      <c r="C2625" s="5"/>
    </row>
    <row r="2626" spans="3:3" x14ac:dyDescent="0.2">
      <c r="C2626" s="5"/>
    </row>
    <row r="2627" spans="3:3" x14ac:dyDescent="0.2">
      <c r="C2627" s="5"/>
    </row>
    <row r="2628" spans="3:3" x14ac:dyDescent="0.2">
      <c r="C2628" s="5"/>
    </row>
    <row r="2629" spans="3:3" x14ac:dyDescent="0.2">
      <c r="C2629" s="5"/>
    </row>
    <row r="2630" spans="3:3" x14ac:dyDescent="0.2">
      <c r="C2630" s="5"/>
    </row>
    <row r="2631" spans="3:3" x14ac:dyDescent="0.2">
      <c r="C2631" s="5"/>
    </row>
    <row r="2632" spans="3:3" x14ac:dyDescent="0.2">
      <c r="C2632" s="5"/>
    </row>
    <row r="2633" spans="3:3" x14ac:dyDescent="0.2">
      <c r="C2633" s="5"/>
    </row>
    <row r="2634" spans="3:3" x14ac:dyDescent="0.2">
      <c r="C2634" s="5"/>
    </row>
    <row r="2635" spans="3:3" x14ac:dyDescent="0.2">
      <c r="C2635" s="5"/>
    </row>
    <row r="2636" spans="3:3" x14ac:dyDescent="0.2">
      <c r="C2636" s="5"/>
    </row>
    <row r="2637" spans="3:3" x14ac:dyDescent="0.2">
      <c r="C2637" s="5"/>
    </row>
    <row r="2638" spans="3:3" x14ac:dyDescent="0.2">
      <c r="C2638" s="5"/>
    </row>
    <row r="2639" spans="3:3" x14ac:dyDescent="0.2">
      <c r="C2639" s="5"/>
    </row>
    <row r="2640" spans="3:3" x14ac:dyDescent="0.2">
      <c r="C2640" s="5"/>
    </row>
    <row r="2641" spans="3:3" x14ac:dyDescent="0.2">
      <c r="C2641" s="5"/>
    </row>
    <row r="2642" spans="3:3" x14ac:dyDescent="0.2">
      <c r="C2642" s="5"/>
    </row>
    <row r="2643" spans="3:3" x14ac:dyDescent="0.2">
      <c r="C2643" s="5"/>
    </row>
    <row r="2644" spans="3:3" x14ac:dyDescent="0.2">
      <c r="C2644" s="5"/>
    </row>
    <row r="2645" spans="3:3" x14ac:dyDescent="0.2">
      <c r="C2645" s="5"/>
    </row>
    <row r="2646" spans="3:3" x14ac:dyDescent="0.2">
      <c r="C2646" s="5"/>
    </row>
    <row r="2647" spans="3:3" x14ac:dyDescent="0.2">
      <c r="C2647" s="5"/>
    </row>
    <row r="2648" spans="3:3" x14ac:dyDescent="0.2">
      <c r="C2648" s="5"/>
    </row>
    <row r="2649" spans="3:3" x14ac:dyDescent="0.2">
      <c r="C2649" s="5"/>
    </row>
    <row r="2650" spans="3:3" x14ac:dyDescent="0.2">
      <c r="C2650" s="5"/>
    </row>
    <row r="2651" spans="3:3" x14ac:dyDescent="0.2">
      <c r="C2651" s="5"/>
    </row>
    <row r="2652" spans="3:3" x14ac:dyDescent="0.2">
      <c r="C2652" s="5"/>
    </row>
    <row r="2653" spans="3:3" x14ac:dyDescent="0.2">
      <c r="C2653" s="5"/>
    </row>
    <row r="2654" spans="3:3" x14ac:dyDescent="0.2">
      <c r="C2654" s="5"/>
    </row>
    <row r="2655" spans="3:3" x14ac:dyDescent="0.2">
      <c r="C2655" s="5"/>
    </row>
    <row r="2656" spans="3:3" x14ac:dyDescent="0.2">
      <c r="C2656" s="5"/>
    </row>
    <row r="2657" spans="3:3" x14ac:dyDescent="0.2">
      <c r="C2657" s="5"/>
    </row>
    <row r="2658" spans="3:3" x14ac:dyDescent="0.2">
      <c r="C2658" s="5"/>
    </row>
    <row r="2659" spans="3:3" x14ac:dyDescent="0.2">
      <c r="C2659" s="5"/>
    </row>
    <row r="2660" spans="3:3" x14ac:dyDescent="0.2">
      <c r="C2660" s="5"/>
    </row>
    <row r="2661" spans="3:3" x14ac:dyDescent="0.2">
      <c r="C2661" s="5"/>
    </row>
    <row r="2662" spans="3:3" x14ac:dyDescent="0.2">
      <c r="C2662" s="5"/>
    </row>
    <row r="2663" spans="3:3" x14ac:dyDescent="0.2">
      <c r="C2663" s="5"/>
    </row>
    <row r="2664" spans="3:3" x14ac:dyDescent="0.2">
      <c r="C2664" s="5"/>
    </row>
    <row r="2665" spans="3:3" x14ac:dyDescent="0.2">
      <c r="C2665" s="5"/>
    </row>
    <row r="2666" spans="3:3" x14ac:dyDescent="0.2">
      <c r="C2666" s="5"/>
    </row>
    <row r="2667" spans="3:3" x14ac:dyDescent="0.2">
      <c r="C2667" s="5"/>
    </row>
    <row r="2668" spans="3:3" x14ac:dyDescent="0.2">
      <c r="C2668" s="5"/>
    </row>
    <row r="2669" spans="3:3" x14ac:dyDescent="0.2">
      <c r="C2669" s="5"/>
    </row>
    <row r="2670" spans="3:3" x14ac:dyDescent="0.2">
      <c r="C2670" s="5"/>
    </row>
    <row r="2671" spans="3:3" x14ac:dyDescent="0.2">
      <c r="C2671" s="5"/>
    </row>
    <row r="2672" spans="3:3" x14ac:dyDescent="0.2">
      <c r="C2672" s="5"/>
    </row>
    <row r="2673" spans="3:3" x14ac:dyDescent="0.2">
      <c r="C2673" s="5"/>
    </row>
    <row r="2674" spans="3:3" x14ac:dyDescent="0.2">
      <c r="C2674" s="5"/>
    </row>
    <row r="2675" spans="3:3" x14ac:dyDescent="0.2">
      <c r="C2675" s="5"/>
    </row>
    <row r="2676" spans="3:3" x14ac:dyDescent="0.2">
      <c r="C2676" s="5"/>
    </row>
    <row r="2677" spans="3:3" x14ac:dyDescent="0.2">
      <c r="C2677" s="5"/>
    </row>
    <row r="2678" spans="3:3" x14ac:dyDescent="0.2">
      <c r="C2678" s="5"/>
    </row>
    <row r="2679" spans="3:3" x14ac:dyDescent="0.2">
      <c r="C2679" s="5"/>
    </row>
    <row r="2680" spans="3:3" x14ac:dyDescent="0.2">
      <c r="C2680" s="5"/>
    </row>
    <row r="2681" spans="3:3" x14ac:dyDescent="0.2">
      <c r="C2681" s="5"/>
    </row>
    <row r="2682" spans="3:3" x14ac:dyDescent="0.2">
      <c r="C2682" s="5"/>
    </row>
    <row r="2683" spans="3:3" x14ac:dyDescent="0.2">
      <c r="C2683" s="5"/>
    </row>
    <row r="2684" spans="3:3" x14ac:dyDescent="0.2">
      <c r="C2684" s="5"/>
    </row>
    <row r="2685" spans="3:3" x14ac:dyDescent="0.2">
      <c r="C2685" s="5"/>
    </row>
    <row r="2686" spans="3:3" x14ac:dyDescent="0.2">
      <c r="C2686" s="5"/>
    </row>
    <row r="2687" spans="3:3" x14ac:dyDescent="0.2">
      <c r="C2687" s="5"/>
    </row>
    <row r="2688" spans="3:3" x14ac:dyDescent="0.2">
      <c r="C2688" s="5"/>
    </row>
    <row r="2689" spans="3:3" x14ac:dyDescent="0.2">
      <c r="C2689" s="5"/>
    </row>
    <row r="2690" spans="3:3" x14ac:dyDescent="0.2">
      <c r="C2690" s="5"/>
    </row>
    <row r="2691" spans="3:3" x14ac:dyDescent="0.2">
      <c r="C2691" s="5"/>
    </row>
    <row r="2692" spans="3:3" x14ac:dyDescent="0.2">
      <c r="C2692" s="5"/>
    </row>
    <row r="2693" spans="3:3" x14ac:dyDescent="0.2">
      <c r="C2693" s="5"/>
    </row>
    <row r="2694" spans="3:3" x14ac:dyDescent="0.2">
      <c r="C2694" s="5"/>
    </row>
    <row r="2695" spans="3:3" x14ac:dyDescent="0.2">
      <c r="C2695" s="5"/>
    </row>
    <row r="2696" spans="3:3" x14ac:dyDescent="0.2">
      <c r="C2696" s="5"/>
    </row>
    <row r="2697" spans="3:3" x14ac:dyDescent="0.2">
      <c r="C2697" s="5"/>
    </row>
    <row r="2698" spans="3:3" x14ac:dyDescent="0.2">
      <c r="C2698" s="5"/>
    </row>
    <row r="2699" spans="3:3" x14ac:dyDescent="0.2">
      <c r="C2699" s="5"/>
    </row>
    <row r="2700" spans="3:3" x14ac:dyDescent="0.2">
      <c r="C2700" s="5"/>
    </row>
    <row r="2701" spans="3:3" x14ac:dyDescent="0.2">
      <c r="C2701" s="5"/>
    </row>
    <row r="2702" spans="3:3" x14ac:dyDescent="0.2">
      <c r="C2702" s="5"/>
    </row>
    <row r="2703" spans="3:3" x14ac:dyDescent="0.2">
      <c r="C2703" s="5"/>
    </row>
    <row r="2704" spans="3:3" x14ac:dyDescent="0.2">
      <c r="C2704" s="5"/>
    </row>
    <row r="2705" spans="3:3" x14ac:dyDescent="0.2">
      <c r="C2705" s="5"/>
    </row>
    <row r="2706" spans="3:3" x14ac:dyDescent="0.2">
      <c r="C2706" s="5"/>
    </row>
    <row r="2707" spans="3:3" x14ac:dyDescent="0.2">
      <c r="C2707" s="5"/>
    </row>
    <row r="2708" spans="3:3" x14ac:dyDescent="0.2">
      <c r="C2708" s="5"/>
    </row>
    <row r="2709" spans="3:3" x14ac:dyDescent="0.2">
      <c r="C2709" s="5"/>
    </row>
    <row r="2710" spans="3:3" x14ac:dyDescent="0.2">
      <c r="C2710" s="5"/>
    </row>
    <row r="2711" spans="3:3" x14ac:dyDescent="0.2">
      <c r="C2711" s="5"/>
    </row>
    <row r="2712" spans="3:3" x14ac:dyDescent="0.2">
      <c r="C2712" s="5"/>
    </row>
    <row r="2713" spans="3:3" x14ac:dyDescent="0.2">
      <c r="C2713" s="5"/>
    </row>
    <row r="2714" spans="3:3" x14ac:dyDescent="0.2">
      <c r="C2714" s="5"/>
    </row>
    <row r="2715" spans="3:3" x14ac:dyDescent="0.2">
      <c r="C2715" s="5"/>
    </row>
    <row r="2716" spans="3:3" x14ac:dyDescent="0.2">
      <c r="C2716" s="5"/>
    </row>
    <row r="2717" spans="3:3" x14ac:dyDescent="0.2">
      <c r="C2717" s="5"/>
    </row>
    <row r="2718" spans="3:3" x14ac:dyDescent="0.2">
      <c r="C2718" s="5"/>
    </row>
    <row r="2719" spans="3:3" x14ac:dyDescent="0.2">
      <c r="C2719" s="5"/>
    </row>
    <row r="2720" spans="3:3" x14ac:dyDescent="0.2">
      <c r="C2720" s="5"/>
    </row>
    <row r="2721" spans="3:3" x14ac:dyDescent="0.2">
      <c r="C2721" s="5"/>
    </row>
    <row r="2722" spans="3:3" x14ac:dyDescent="0.2">
      <c r="C2722" s="5"/>
    </row>
    <row r="2723" spans="3:3" x14ac:dyDescent="0.2">
      <c r="C2723" s="5"/>
    </row>
    <row r="2724" spans="3:3" x14ac:dyDescent="0.2">
      <c r="C2724" s="5"/>
    </row>
    <row r="2725" spans="3:3" x14ac:dyDescent="0.2">
      <c r="C2725" s="5"/>
    </row>
    <row r="2726" spans="3:3" x14ac:dyDescent="0.2">
      <c r="C2726" s="5"/>
    </row>
    <row r="2727" spans="3:3" x14ac:dyDescent="0.2">
      <c r="C2727" s="5"/>
    </row>
    <row r="2728" spans="3:3" x14ac:dyDescent="0.2">
      <c r="C2728" s="5"/>
    </row>
    <row r="2729" spans="3:3" x14ac:dyDescent="0.2">
      <c r="C2729" s="5"/>
    </row>
    <row r="2730" spans="3:3" x14ac:dyDescent="0.2">
      <c r="C2730" s="5"/>
    </row>
    <row r="2731" spans="3:3" x14ac:dyDescent="0.2">
      <c r="C2731" s="5"/>
    </row>
    <row r="2732" spans="3:3" x14ac:dyDescent="0.2">
      <c r="C2732" s="5"/>
    </row>
    <row r="2733" spans="3:3" x14ac:dyDescent="0.2">
      <c r="C2733" s="5"/>
    </row>
    <row r="2734" spans="3:3" x14ac:dyDescent="0.2">
      <c r="C2734" s="5"/>
    </row>
    <row r="2735" spans="3:3" x14ac:dyDescent="0.2">
      <c r="C2735" s="5"/>
    </row>
    <row r="2736" spans="3:3" x14ac:dyDescent="0.2">
      <c r="C2736" s="5"/>
    </row>
    <row r="2737" spans="3:3" x14ac:dyDescent="0.2">
      <c r="C2737" s="5"/>
    </row>
    <row r="2738" spans="3:3" x14ac:dyDescent="0.2">
      <c r="C2738" s="5"/>
    </row>
    <row r="2739" spans="3:3" x14ac:dyDescent="0.2">
      <c r="C2739" s="5"/>
    </row>
    <row r="2740" spans="3:3" x14ac:dyDescent="0.2">
      <c r="C2740" s="5"/>
    </row>
    <row r="2741" spans="3:3" x14ac:dyDescent="0.2">
      <c r="C2741" s="5"/>
    </row>
    <row r="2742" spans="3:3" x14ac:dyDescent="0.2">
      <c r="C2742" s="5"/>
    </row>
    <row r="2743" spans="3:3" x14ac:dyDescent="0.2">
      <c r="C2743" s="5"/>
    </row>
    <row r="2744" spans="3:3" x14ac:dyDescent="0.2">
      <c r="C2744" s="5"/>
    </row>
    <row r="2745" spans="3:3" x14ac:dyDescent="0.2">
      <c r="C2745" s="5"/>
    </row>
    <row r="2746" spans="3:3" x14ac:dyDescent="0.2">
      <c r="C2746" s="5"/>
    </row>
    <row r="2747" spans="3:3" x14ac:dyDescent="0.2">
      <c r="C2747" s="5"/>
    </row>
    <row r="2748" spans="3:3" x14ac:dyDescent="0.2">
      <c r="C2748" s="5"/>
    </row>
    <row r="2749" spans="3:3" x14ac:dyDescent="0.2">
      <c r="C2749" s="5"/>
    </row>
    <row r="2750" spans="3:3" x14ac:dyDescent="0.2">
      <c r="C2750" s="5"/>
    </row>
    <row r="2751" spans="3:3" x14ac:dyDescent="0.2">
      <c r="C2751" s="5"/>
    </row>
    <row r="2752" spans="3:3" x14ac:dyDescent="0.2">
      <c r="C2752" s="5"/>
    </row>
    <row r="2753" spans="3:3" x14ac:dyDescent="0.2">
      <c r="C2753" s="5"/>
    </row>
    <row r="2754" spans="3:3" x14ac:dyDescent="0.2">
      <c r="C2754" s="5"/>
    </row>
    <row r="2755" spans="3:3" x14ac:dyDescent="0.2">
      <c r="C2755" s="5"/>
    </row>
    <row r="2756" spans="3:3" x14ac:dyDescent="0.2">
      <c r="C2756" s="5"/>
    </row>
    <row r="2757" spans="3:3" x14ac:dyDescent="0.2">
      <c r="C2757" s="5"/>
    </row>
    <row r="2758" spans="3:3" x14ac:dyDescent="0.2">
      <c r="C2758" s="5"/>
    </row>
    <row r="2759" spans="3:3" x14ac:dyDescent="0.2">
      <c r="C2759" s="5"/>
    </row>
    <row r="2760" spans="3:3" x14ac:dyDescent="0.2">
      <c r="C2760" s="5"/>
    </row>
    <row r="2761" spans="3:3" x14ac:dyDescent="0.2">
      <c r="C2761" s="5"/>
    </row>
    <row r="2762" spans="3:3" x14ac:dyDescent="0.2">
      <c r="C2762" s="5"/>
    </row>
    <row r="2763" spans="3:3" x14ac:dyDescent="0.2">
      <c r="C2763" s="5"/>
    </row>
    <row r="2764" spans="3:3" x14ac:dyDescent="0.2">
      <c r="C2764" s="5"/>
    </row>
    <row r="2765" spans="3:3" x14ac:dyDescent="0.2">
      <c r="C2765" s="5"/>
    </row>
    <row r="2766" spans="3:3" x14ac:dyDescent="0.2">
      <c r="C2766" s="5"/>
    </row>
    <row r="2767" spans="3:3" x14ac:dyDescent="0.2">
      <c r="C2767" s="5"/>
    </row>
    <row r="2768" spans="3:3" x14ac:dyDescent="0.2">
      <c r="C2768" s="5"/>
    </row>
    <row r="2769" spans="3:3" x14ac:dyDescent="0.2">
      <c r="C2769" s="5"/>
    </row>
    <row r="2770" spans="3:3" x14ac:dyDescent="0.2">
      <c r="C2770" s="5"/>
    </row>
    <row r="2771" spans="3:3" x14ac:dyDescent="0.2">
      <c r="C2771" s="5"/>
    </row>
    <row r="2772" spans="3:3" x14ac:dyDescent="0.2">
      <c r="C2772" s="5"/>
    </row>
    <row r="2773" spans="3:3" x14ac:dyDescent="0.2">
      <c r="C2773" s="5"/>
    </row>
    <row r="2774" spans="3:3" x14ac:dyDescent="0.2">
      <c r="C2774" s="5"/>
    </row>
    <row r="2775" spans="3:3" x14ac:dyDescent="0.2">
      <c r="C2775" s="5"/>
    </row>
    <row r="2776" spans="3:3" x14ac:dyDescent="0.2">
      <c r="C2776" s="5"/>
    </row>
    <row r="2777" spans="3:3" x14ac:dyDescent="0.2">
      <c r="C2777" s="5"/>
    </row>
    <row r="2778" spans="3:3" x14ac:dyDescent="0.2">
      <c r="C2778" s="5"/>
    </row>
    <row r="2779" spans="3:3" x14ac:dyDescent="0.2">
      <c r="C2779" s="5"/>
    </row>
    <row r="2780" spans="3:3" x14ac:dyDescent="0.2">
      <c r="C2780" s="5"/>
    </row>
    <row r="2781" spans="3:3" x14ac:dyDescent="0.2">
      <c r="C2781" s="5"/>
    </row>
    <row r="2782" spans="3:3" x14ac:dyDescent="0.2">
      <c r="C2782" s="5"/>
    </row>
    <row r="2783" spans="3:3" x14ac:dyDescent="0.2">
      <c r="C2783" s="5"/>
    </row>
    <row r="2784" spans="3:3" x14ac:dyDescent="0.2">
      <c r="C2784" s="5"/>
    </row>
    <row r="2785" spans="3:3" x14ac:dyDescent="0.2">
      <c r="C2785" s="5"/>
    </row>
    <row r="2786" spans="3:3" x14ac:dyDescent="0.2">
      <c r="C2786" s="5"/>
    </row>
    <row r="2787" spans="3:3" x14ac:dyDescent="0.2">
      <c r="C2787" s="5"/>
    </row>
    <row r="2788" spans="3:3" x14ac:dyDescent="0.2">
      <c r="C2788" s="5"/>
    </row>
    <row r="2789" spans="3:3" x14ac:dyDescent="0.2">
      <c r="C2789" s="5"/>
    </row>
    <row r="2790" spans="3:3" x14ac:dyDescent="0.2">
      <c r="C2790" s="5"/>
    </row>
    <row r="2791" spans="3:3" x14ac:dyDescent="0.2">
      <c r="C2791" s="5"/>
    </row>
    <row r="2792" spans="3:3" x14ac:dyDescent="0.2">
      <c r="C2792" s="5"/>
    </row>
    <row r="2793" spans="3:3" x14ac:dyDescent="0.2">
      <c r="C2793" s="5"/>
    </row>
    <row r="2794" spans="3:3" x14ac:dyDescent="0.2">
      <c r="C2794" s="5"/>
    </row>
    <row r="2795" spans="3:3" x14ac:dyDescent="0.2">
      <c r="C2795" s="5"/>
    </row>
    <row r="2796" spans="3:3" x14ac:dyDescent="0.2">
      <c r="C2796" s="5"/>
    </row>
    <row r="2797" spans="3:3" x14ac:dyDescent="0.2">
      <c r="C2797" s="5"/>
    </row>
    <row r="2798" spans="3:3" x14ac:dyDescent="0.2">
      <c r="C2798" s="5"/>
    </row>
    <row r="2799" spans="3:3" x14ac:dyDescent="0.2">
      <c r="C2799" s="5"/>
    </row>
    <row r="2800" spans="3:3" x14ac:dyDescent="0.2">
      <c r="C2800" s="5"/>
    </row>
    <row r="2801" spans="3:3" x14ac:dyDescent="0.2">
      <c r="C2801" s="5"/>
    </row>
    <row r="2802" spans="3:3" x14ac:dyDescent="0.2">
      <c r="C2802" s="5"/>
    </row>
    <row r="2803" spans="3:3" x14ac:dyDescent="0.2">
      <c r="C2803" s="5"/>
    </row>
    <row r="2804" spans="3:3" x14ac:dyDescent="0.2">
      <c r="C2804" s="5"/>
    </row>
    <row r="2805" spans="3:3" x14ac:dyDescent="0.2">
      <c r="C2805" s="5"/>
    </row>
    <row r="2806" spans="3:3" x14ac:dyDescent="0.2">
      <c r="C2806" s="5"/>
    </row>
    <row r="2807" spans="3:3" x14ac:dyDescent="0.2">
      <c r="C2807" s="5"/>
    </row>
    <row r="2808" spans="3:3" x14ac:dyDescent="0.2">
      <c r="C2808" s="5"/>
    </row>
    <row r="2809" spans="3:3" x14ac:dyDescent="0.2">
      <c r="C2809" s="5"/>
    </row>
    <row r="2810" spans="3:3" x14ac:dyDescent="0.2">
      <c r="C2810" s="5"/>
    </row>
    <row r="2811" spans="3:3" x14ac:dyDescent="0.2">
      <c r="C2811" s="5"/>
    </row>
    <row r="2812" spans="3:3" x14ac:dyDescent="0.2">
      <c r="C2812" s="5"/>
    </row>
    <row r="2813" spans="3:3" x14ac:dyDescent="0.2">
      <c r="C2813" s="5"/>
    </row>
    <row r="2814" spans="3:3" x14ac:dyDescent="0.2">
      <c r="C2814" s="5"/>
    </row>
    <row r="2815" spans="3:3" x14ac:dyDescent="0.2">
      <c r="C2815" s="5"/>
    </row>
    <row r="2816" spans="3:3" x14ac:dyDescent="0.2">
      <c r="C2816" s="5"/>
    </row>
    <row r="2817" spans="3:3" x14ac:dyDescent="0.2">
      <c r="C2817" s="5"/>
    </row>
    <row r="2818" spans="3:3" x14ac:dyDescent="0.2">
      <c r="C2818" s="5"/>
    </row>
    <row r="2819" spans="3:3" x14ac:dyDescent="0.2">
      <c r="C2819" s="5"/>
    </row>
    <row r="2820" spans="3:3" x14ac:dyDescent="0.2">
      <c r="C2820" s="5"/>
    </row>
    <row r="2821" spans="3:3" x14ac:dyDescent="0.2">
      <c r="C2821" s="5"/>
    </row>
    <row r="2822" spans="3:3" x14ac:dyDescent="0.2">
      <c r="C2822" s="5"/>
    </row>
    <row r="2823" spans="3:3" x14ac:dyDescent="0.2">
      <c r="C2823" s="5"/>
    </row>
    <row r="2824" spans="3:3" x14ac:dyDescent="0.2">
      <c r="C2824" s="5"/>
    </row>
    <row r="2825" spans="3:3" x14ac:dyDescent="0.2">
      <c r="C2825" s="5"/>
    </row>
    <row r="2826" spans="3:3" x14ac:dyDescent="0.2">
      <c r="C2826" s="5"/>
    </row>
    <row r="2827" spans="3:3" x14ac:dyDescent="0.2">
      <c r="C2827" s="5"/>
    </row>
    <row r="2828" spans="3:3" x14ac:dyDescent="0.2">
      <c r="C2828" s="5"/>
    </row>
    <row r="2829" spans="3:3" x14ac:dyDescent="0.2">
      <c r="C2829" s="5"/>
    </row>
    <row r="2830" spans="3:3" x14ac:dyDescent="0.2">
      <c r="C2830" s="5"/>
    </row>
    <row r="2831" spans="3:3" x14ac:dyDescent="0.2">
      <c r="C2831" s="5"/>
    </row>
    <row r="2832" spans="3:3" x14ac:dyDescent="0.2">
      <c r="C2832" s="5"/>
    </row>
    <row r="2833" spans="3:3" x14ac:dyDescent="0.2">
      <c r="C2833" s="5"/>
    </row>
    <row r="2834" spans="3:3" x14ac:dyDescent="0.2">
      <c r="C2834" s="5"/>
    </row>
    <row r="2835" spans="3:3" x14ac:dyDescent="0.2">
      <c r="C2835" s="5"/>
    </row>
    <row r="2836" spans="3:3" x14ac:dyDescent="0.2">
      <c r="C2836" s="5"/>
    </row>
    <row r="2837" spans="3:3" x14ac:dyDescent="0.2">
      <c r="C2837" s="5"/>
    </row>
    <row r="2838" spans="3:3" x14ac:dyDescent="0.2">
      <c r="C2838" s="5"/>
    </row>
    <row r="2839" spans="3:3" x14ac:dyDescent="0.2">
      <c r="C2839" s="5"/>
    </row>
    <row r="2840" spans="3:3" x14ac:dyDescent="0.2">
      <c r="C2840" s="5"/>
    </row>
    <row r="2841" spans="3:3" x14ac:dyDescent="0.2">
      <c r="C2841" s="5"/>
    </row>
    <row r="2842" spans="3:3" x14ac:dyDescent="0.2">
      <c r="C2842" s="5"/>
    </row>
    <row r="2843" spans="3:3" x14ac:dyDescent="0.2">
      <c r="C2843" s="5"/>
    </row>
    <row r="2844" spans="3:3" x14ac:dyDescent="0.2">
      <c r="C2844" s="5"/>
    </row>
    <row r="2845" spans="3:3" x14ac:dyDescent="0.2">
      <c r="C2845" s="5"/>
    </row>
    <row r="2846" spans="3:3" x14ac:dyDescent="0.2">
      <c r="C2846" s="5"/>
    </row>
    <row r="2847" spans="3:3" x14ac:dyDescent="0.2">
      <c r="C2847" s="5"/>
    </row>
    <row r="2848" spans="3:3" x14ac:dyDescent="0.2">
      <c r="C2848" s="5"/>
    </row>
    <row r="2849" spans="3:3" x14ac:dyDescent="0.2">
      <c r="C2849" s="5"/>
    </row>
    <row r="2850" spans="3:3" x14ac:dyDescent="0.2">
      <c r="C2850" s="5"/>
    </row>
    <row r="2851" spans="3:3" x14ac:dyDescent="0.2">
      <c r="C2851" s="5"/>
    </row>
    <row r="2852" spans="3:3" x14ac:dyDescent="0.2">
      <c r="C2852" s="5"/>
    </row>
    <row r="2853" spans="3:3" x14ac:dyDescent="0.2">
      <c r="C2853" s="5"/>
    </row>
    <row r="2854" spans="3:3" x14ac:dyDescent="0.2">
      <c r="C2854" s="5"/>
    </row>
    <row r="2855" spans="3:3" x14ac:dyDescent="0.2">
      <c r="C2855" s="5"/>
    </row>
    <row r="2856" spans="3:3" x14ac:dyDescent="0.2">
      <c r="C2856" s="5"/>
    </row>
    <row r="2857" spans="3:3" x14ac:dyDescent="0.2">
      <c r="C2857" s="5"/>
    </row>
    <row r="2858" spans="3:3" x14ac:dyDescent="0.2">
      <c r="C2858" s="5"/>
    </row>
    <row r="2859" spans="3:3" x14ac:dyDescent="0.2">
      <c r="C2859" s="5"/>
    </row>
    <row r="2860" spans="3:3" x14ac:dyDescent="0.2">
      <c r="C2860" s="5"/>
    </row>
    <row r="2861" spans="3:3" x14ac:dyDescent="0.2">
      <c r="C2861" s="5"/>
    </row>
    <row r="2862" spans="3:3" x14ac:dyDescent="0.2">
      <c r="C2862" s="5"/>
    </row>
    <row r="2863" spans="3:3" x14ac:dyDescent="0.2">
      <c r="C2863" s="5"/>
    </row>
    <row r="2864" spans="3:3" x14ac:dyDescent="0.2">
      <c r="C2864" s="5"/>
    </row>
    <row r="2865" spans="3:3" x14ac:dyDescent="0.2">
      <c r="C2865" s="5"/>
    </row>
    <row r="2866" spans="3:3" x14ac:dyDescent="0.2">
      <c r="C2866" s="5"/>
    </row>
    <row r="2867" spans="3:3" x14ac:dyDescent="0.2">
      <c r="C2867" s="5"/>
    </row>
    <row r="2868" spans="3:3" x14ac:dyDescent="0.2">
      <c r="C2868" s="5"/>
    </row>
    <row r="2869" spans="3:3" x14ac:dyDescent="0.2">
      <c r="C2869" s="5"/>
    </row>
    <row r="2870" spans="3:3" x14ac:dyDescent="0.2">
      <c r="C2870" s="5"/>
    </row>
    <row r="2871" spans="3:3" x14ac:dyDescent="0.2">
      <c r="C2871" s="5"/>
    </row>
    <row r="2872" spans="3:3" x14ac:dyDescent="0.2">
      <c r="C2872" s="5"/>
    </row>
    <row r="2873" spans="3:3" x14ac:dyDescent="0.2">
      <c r="C2873" s="5"/>
    </row>
    <row r="2874" spans="3:3" x14ac:dyDescent="0.2">
      <c r="C2874" s="5"/>
    </row>
    <row r="2875" spans="3:3" x14ac:dyDescent="0.2">
      <c r="C2875" s="5"/>
    </row>
    <row r="2876" spans="3:3" x14ac:dyDescent="0.2">
      <c r="C2876" s="5"/>
    </row>
    <row r="2877" spans="3:3" x14ac:dyDescent="0.2">
      <c r="C2877" s="5"/>
    </row>
    <row r="2878" spans="3:3" x14ac:dyDescent="0.2">
      <c r="C2878" s="5"/>
    </row>
    <row r="2879" spans="3:3" x14ac:dyDescent="0.2">
      <c r="C2879" s="5"/>
    </row>
    <row r="2880" spans="3:3" x14ac:dyDescent="0.2">
      <c r="C2880" s="5"/>
    </row>
    <row r="2881" spans="3:3" x14ac:dyDescent="0.2">
      <c r="C2881" s="5"/>
    </row>
    <row r="2882" spans="3:3" x14ac:dyDescent="0.2">
      <c r="C2882" s="5"/>
    </row>
    <row r="2883" spans="3:3" x14ac:dyDescent="0.2">
      <c r="C2883" s="5"/>
    </row>
    <row r="2884" spans="3:3" x14ac:dyDescent="0.2">
      <c r="C2884" s="5"/>
    </row>
    <row r="2885" spans="3:3" x14ac:dyDescent="0.2">
      <c r="C2885" s="5"/>
    </row>
    <row r="2886" spans="3:3" x14ac:dyDescent="0.2">
      <c r="C2886" s="5"/>
    </row>
    <row r="2887" spans="3:3" x14ac:dyDescent="0.2">
      <c r="C2887" s="5"/>
    </row>
    <row r="2888" spans="3:3" x14ac:dyDescent="0.2">
      <c r="C2888" s="5"/>
    </row>
    <row r="2889" spans="3:3" x14ac:dyDescent="0.2">
      <c r="C2889" s="5"/>
    </row>
    <row r="2890" spans="3:3" x14ac:dyDescent="0.2">
      <c r="C2890" s="5"/>
    </row>
    <row r="2891" spans="3:3" x14ac:dyDescent="0.2">
      <c r="C2891" s="5"/>
    </row>
    <row r="2892" spans="3:3" x14ac:dyDescent="0.2">
      <c r="C2892" s="5"/>
    </row>
    <row r="2893" spans="3:3" x14ac:dyDescent="0.2">
      <c r="C2893" s="5"/>
    </row>
    <row r="2894" spans="3:3" x14ac:dyDescent="0.2">
      <c r="C2894" s="5"/>
    </row>
    <row r="2895" spans="3:3" x14ac:dyDescent="0.2">
      <c r="C2895" s="5"/>
    </row>
    <row r="2896" spans="3:3" x14ac:dyDescent="0.2">
      <c r="C2896" s="5"/>
    </row>
    <row r="2897" spans="3:3" x14ac:dyDescent="0.2">
      <c r="C2897" s="5"/>
    </row>
    <row r="2898" spans="3:3" x14ac:dyDescent="0.2">
      <c r="C2898" s="5"/>
    </row>
    <row r="2899" spans="3:3" x14ac:dyDescent="0.2">
      <c r="C2899" s="5"/>
    </row>
    <row r="2900" spans="3:3" x14ac:dyDescent="0.2">
      <c r="C2900" s="5"/>
    </row>
    <row r="2901" spans="3:3" x14ac:dyDescent="0.2">
      <c r="C2901" s="5"/>
    </row>
    <row r="2902" spans="3:3" x14ac:dyDescent="0.2">
      <c r="C2902" s="5"/>
    </row>
    <row r="2903" spans="3:3" x14ac:dyDescent="0.2">
      <c r="C2903" s="5"/>
    </row>
    <row r="2904" spans="3:3" x14ac:dyDescent="0.2">
      <c r="C2904" s="5"/>
    </row>
    <row r="2905" spans="3:3" x14ac:dyDescent="0.2">
      <c r="C2905" s="5"/>
    </row>
    <row r="2906" spans="3:3" x14ac:dyDescent="0.2">
      <c r="C2906" s="5"/>
    </row>
    <row r="2907" spans="3:3" x14ac:dyDescent="0.2">
      <c r="C2907" s="5"/>
    </row>
    <row r="2908" spans="3:3" x14ac:dyDescent="0.2">
      <c r="C2908" s="5"/>
    </row>
    <row r="2909" spans="3:3" x14ac:dyDescent="0.2">
      <c r="C2909" s="5"/>
    </row>
    <row r="2910" spans="3:3" x14ac:dyDescent="0.2">
      <c r="C2910" s="5"/>
    </row>
    <row r="2911" spans="3:3" x14ac:dyDescent="0.2">
      <c r="C2911" s="5"/>
    </row>
    <row r="2912" spans="3:3" x14ac:dyDescent="0.2">
      <c r="C2912" s="5"/>
    </row>
    <row r="2913" spans="3:3" x14ac:dyDescent="0.2">
      <c r="C2913" s="5"/>
    </row>
    <row r="2914" spans="3:3" x14ac:dyDescent="0.2">
      <c r="C2914" s="5"/>
    </row>
    <row r="2915" spans="3:3" x14ac:dyDescent="0.2">
      <c r="C2915" s="5"/>
    </row>
    <row r="2916" spans="3:3" x14ac:dyDescent="0.2">
      <c r="C2916" s="5"/>
    </row>
    <row r="2917" spans="3:3" x14ac:dyDescent="0.2">
      <c r="C2917" s="5"/>
    </row>
    <row r="2918" spans="3:3" x14ac:dyDescent="0.2">
      <c r="C2918" s="5"/>
    </row>
    <row r="2919" spans="3:3" x14ac:dyDescent="0.2">
      <c r="C2919" s="5"/>
    </row>
    <row r="2920" spans="3:3" x14ac:dyDescent="0.2">
      <c r="C2920" s="5"/>
    </row>
    <row r="2921" spans="3:3" x14ac:dyDescent="0.2">
      <c r="C2921" s="5"/>
    </row>
    <row r="2922" spans="3:3" x14ac:dyDescent="0.2">
      <c r="C2922" s="5"/>
    </row>
    <row r="2923" spans="3:3" x14ac:dyDescent="0.2">
      <c r="C2923" s="5"/>
    </row>
    <row r="2924" spans="3:3" x14ac:dyDescent="0.2">
      <c r="C2924" s="5"/>
    </row>
    <row r="2925" spans="3:3" x14ac:dyDescent="0.2">
      <c r="C2925" s="5"/>
    </row>
    <row r="2926" spans="3:3" x14ac:dyDescent="0.2">
      <c r="C2926" s="5"/>
    </row>
    <row r="2927" spans="3:3" x14ac:dyDescent="0.2">
      <c r="C2927" s="5"/>
    </row>
    <row r="2928" spans="3:3" x14ac:dyDescent="0.2">
      <c r="C2928" s="5"/>
    </row>
    <row r="2929" spans="3:3" x14ac:dyDescent="0.2">
      <c r="C2929" s="5"/>
    </row>
    <row r="2930" spans="3:3" x14ac:dyDescent="0.2">
      <c r="C2930" s="5"/>
    </row>
    <row r="2931" spans="3:3" x14ac:dyDescent="0.2">
      <c r="C2931" s="5"/>
    </row>
    <row r="2932" spans="3:3" x14ac:dyDescent="0.2">
      <c r="C2932" s="5"/>
    </row>
    <row r="2933" spans="3:3" x14ac:dyDescent="0.2">
      <c r="C2933" s="5"/>
    </row>
    <row r="2934" spans="3:3" x14ac:dyDescent="0.2">
      <c r="C2934" s="5"/>
    </row>
    <row r="2935" spans="3:3" x14ac:dyDescent="0.2">
      <c r="C2935" s="5"/>
    </row>
    <row r="2936" spans="3:3" x14ac:dyDescent="0.2">
      <c r="C2936" s="5"/>
    </row>
    <row r="2937" spans="3:3" x14ac:dyDescent="0.2">
      <c r="C2937" s="5"/>
    </row>
    <row r="2938" spans="3:3" x14ac:dyDescent="0.2">
      <c r="C2938" s="5"/>
    </row>
    <row r="2939" spans="3:3" x14ac:dyDescent="0.2">
      <c r="C2939" s="5"/>
    </row>
    <row r="2940" spans="3:3" x14ac:dyDescent="0.2">
      <c r="C2940" s="5"/>
    </row>
    <row r="2941" spans="3:3" x14ac:dyDescent="0.2">
      <c r="C2941" s="5"/>
    </row>
    <row r="2942" spans="3:3" x14ac:dyDescent="0.2">
      <c r="C2942" s="5"/>
    </row>
    <row r="2943" spans="3:3" x14ac:dyDescent="0.2">
      <c r="C2943" s="5"/>
    </row>
    <row r="2944" spans="3:3" x14ac:dyDescent="0.2">
      <c r="C2944" s="5"/>
    </row>
    <row r="2945" spans="3:3" x14ac:dyDescent="0.2">
      <c r="C2945" s="5"/>
    </row>
    <row r="2946" spans="3:3" x14ac:dyDescent="0.2">
      <c r="C2946" s="5"/>
    </row>
    <row r="2947" spans="3:3" x14ac:dyDescent="0.2">
      <c r="C2947" s="5"/>
    </row>
    <row r="2948" spans="3:3" x14ac:dyDescent="0.2">
      <c r="C2948" s="5"/>
    </row>
    <row r="2949" spans="3:3" x14ac:dyDescent="0.2">
      <c r="C2949" s="5"/>
    </row>
    <row r="2950" spans="3:3" x14ac:dyDescent="0.2">
      <c r="C2950" s="5"/>
    </row>
    <row r="2951" spans="3:3" x14ac:dyDescent="0.2">
      <c r="C2951" s="5"/>
    </row>
    <row r="2952" spans="3:3" x14ac:dyDescent="0.2">
      <c r="C2952" s="5"/>
    </row>
    <row r="2953" spans="3:3" x14ac:dyDescent="0.2">
      <c r="C2953" s="5"/>
    </row>
    <row r="2954" spans="3:3" x14ac:dyDescent="0.2">
      <c r="C2954" s="5"/>
    </row>
    <row r="2955" spans="3:3" x14ac:dyDescent="0.2">
      <c r="C2955" s="5"/>
    </row>
    <row r="2956" spans="3:3" x14ac:dyDescent="0.2">
      <c r="C2956" s="5"/>
    </row>
    <row r="2957" spans="3:3" x14ac:dyDescent="0.2">
      <c r="C2957" s="5"/>
    </row>
    <row r="2958" spans="3:3" x14ac:dyDescent="0.2">
      <c r="C2958" s="5"/>
    </row>
    <row r="2959" spans="3:3" x14ac:dyDescent="0.2">
      <c r="C2959" s="5"/>
    </row>
    <row r="2960" spans="3:3" x14ac:dyDescent="0.2">
      <c r="C2960" s="5"/>
    </row>
    <row r="2961" spans="3:3" x14ac:dyDescent="0.2">
      <c r="C2961" s="5"/>
    </row>
    <row r="2962" spans="3:3" x14ac:dyDescent="0.2">
      <c r="C2962" s="5"/>
    </row>
    <row r="2963" spans="3:3" x14ac:dyDescent="0.2">
      <c r="C2963" s="5"/>
    </row>
    <row r="2964" spans="3:3" x14ac:dyDescent="0.2">
      <c r="C2964" s="5"/>
    </row>
    <row r="2965" spans="3:3" x14ac:dyDescent="0.2">
      <c r="C2965" s="5"/>
    </row>
    <row r="2966" spans="3:3" x14ac:dyDescent="0.2">
      <c r="C2966" s="5"/>
    </row>
    <row r="2967" spans="3:3" x14ac:dyDescent="0.2">
      <c r="C2967" s="5"/>
    </row>
    <row r="2968" spans="3:3" x14ac:dyDescent="0.2">
      <c r="C2968" s="5"/>
    </row>
    <row r="2969" spans="3:3" x14ac:dyDescent="0.2">
      <c r="C2969" s="5"/>
    </row>
    <row r="2970" spans="3:3" x14ac:dyDescent="0.2">
      <c r="C2970" s="5"/>
    </row>
    <row r="2971" spans="3:3" x14ac:dyDescent="0.2">
      <c r="C2971" s="5"/>
    </row>
    <row r="2972" spans="3:3" x14ac:dyDescent="0.2">
      <c r="C2972" s="5"/>
    </row>
    <row r="2973" spans="3:3" x14ac:dyDescent="0.2">
      <c r="C2973" s="5"/>
    </row>
    <row r="2974" spans="3:3" x14ac:dyDescent="0.2">
      <c r="C2974" s="5"/>
    </row>
    <row r="2975" spans="3:3" x14ac:dyDescent="0.2">
      <c r="C2975" s="5"/>
    </row>
    <row r="2976" spans="3:3" x14ac:dyDescent="0.2">
      <c r="C2976" s="5"/>
    </row>
    <row r="2977" spans="3:3" x14ac:dyDescent="0.2">
      <c r="C2977" s="5"/>
    </row>
    <row r="2978" spans="3:3" x14ac:dyDescent="0.2">
      <c r="C2978" s="5"/>
    </row>
    <row r="2979" spans="3:3" x14ac:dyDescent="0.2">
      <c r="C2979" s="5"/>
    </row>
    <row r="2980" spans="3:3" x14ac:dyDescent="0.2">
      <c r="C2980" s="5"/>
    </row>
    <row r="2981" spans="3:3" x14ac:dyDescent="0.2">
      <c r="C2981" s="5"/>
    </row>
    <row r="2982" spans="3:3" x14ac:dyDescent="0.2">
      <c r="C2982" s="5"/>
    </row>
    <row r="2983" spans="3:3" x14ac:dyDescent="0.2">
      <c r="C2983" s="5"/>
    </row>
    <row r="2984" spans="3:3" x14ac:dyDescent="0.2">
      <c r="C2984" s="5"/>
    </row>
    <row r="2985" spans="3:3" x14ac:dyDescent="0.2">
      <c r="C2985" s="5"/>
    </row>
    <row r="2986" spans="3:3" x14ac:dyDescent="0.2">
      <c r="C2986" s="5"/>
    </row>
    <row r="2987" spans="3:3" x14ac:dyDescent="0.2">
      <c r="C2987" s="5"/>
    </row>
    <row r="2988" spans="3:3" x14ac:dyDescent="0.2">
      <c r="C2988" s="5"/>
    </row>
    <row r="2989" spans="3:3" x14ac:dyDescent="0.2">
      <c r="C2989" s="5"/>
    </row>
    <row r="2990" spans="3:3" x14ac:dyDescent="0.2">
      <c r="C2990" s="5"/>
    </row>
    <row r="2991" spans="3:3" x14ac:dyDescent="0.2">
      <c r="C2991" s="5"/>
    </row>
    <row r="2992" spans="3:3" x14ac:dyDescent="0.2">
      <c r="C2992" s="5"/>
    </row>
    <row r="2993" spans="3:3" x14ac:dyDescent="0.2">
      <c r="C2993" s="5"/>
    </row>
    <row r="2994" spans="3:3" x14ac:dyDescent="0.2">
      <c r="C2994" s="5"/>
    </row>
    <row r="2995" spans="3:3" x14ac:dyDescent="0.2">
      <c r="C2995" s="5"/>
    </row>
    <row r="2996" spans="3:3" x14ac:dyDescent="0.2">
      <c r="C2996" s="5"/>
    </row>
    <row r="2997" spans="3:3" x14ac:dyDescent="0.2">
      <c r="C2997" s="5"/>
    </row>
    <row r="2998" spans="3:3" x14ac:dyDescent="0.2">
      <c r="C2998" s="5"/>
    </row>
    <row r="2999" spans="3:3" x14ac:dyDescent="0.2">
      <c r="C2999" s="5"/>
    </row>
    <row r="3000" spans="3:3" x14ac:dyDescent="0.2">
      <c r="C3000" s="5"/>
    </row>
    <row r="3001" spans="3:3" x14ac:dyDescent="0.2">
      <c r="C3001" s="5"/>
    </row>
    <row r="3002" spans="3:3" x14ac:dyDescent="0.2">
      <c r="C3002" s="5"/>
    </row>
    <row r="3003" spans="3:3" x14ac:dyDescent="0.2">
      <c r="C3003" s="5"/>
    </row>
    <row r="3004" spans="3:3" x14ac:dyDescent="0.2">
      <c r="C3004" s="5"/>
    </row>
    <row r="3005" spans="3:3" x14ac:dyDescent="0.2">
      <c r="C3005" s="5"/>
    </row>
    <row r="3006" spans="3:3" x14ac:dyDescent="0.2">
      <c r="C3006" s="5"/>
    </row>
    <row r="3007" spans="3:3" x14ac:dyDescent="0.2">
      <c r="C3007" s="5"/>
    </row>
    <row r="3008" spans="3:3" x14ac:dyDescent="0.2">
      <c r="C3008" s="5"/>
    </row>
    <row r="3009" spans="3:3" x14ac:dyDescent="0.2">
      <c r="C3009" s="5"/>
    </row>
    <row r="3010" spans="3:3" x14ac:dyDescent="0.2">
      <c r="C3010" s="5"/>
    </row>
    <row r="3011" spans="3:3" x14ac:dyDescent="0.2">
      <c r="C3011" s="5"/>
    </row>
    <row r="3012" spans="3:3" x14ac:dyDescent="0.2">
      <c r="C3012" s="5"/>
    </row>
    <row r="3013" spans="3:3" x14ac:dyDescent="0.2">
      <c r="C3013" s="5"/>
    </row>
    <row r="3014" spans="3:3" x14ac:dyDescent="0.2">
      <c r="C3014" s="5"/>
    </row>
    <row r="3015" spans="3:3" x14ac:dyDescent="0.2">
      <c r="C3015" s="5"/>
    </row>
    <row r="3016" spans="3:3" x14ac:dyDescent="0.2">
      <c r="C3016" s="5"/>
    </row>
    <row r="3017" spans="3:3" x14ac:dyDescent="0.2">
      <c r="C3017" s="5"/>
    </row>
    <row r="3018" spans="3:3" x14ac:dyDescent="0.2">
      <c r="C3018" s="5"/>
    </row>
    <row r="3019" spans="3:3" x14ac:dyDescent="0.2">
      <c r="C3019" s="5"/>
    </row>
    <row r="3020" spans="3:3" x14ac:dyDescent="0.2">
      <c r="C3020" s="5"/>
    </row>
    <row r="3021" spans="3:3" x14ac:dyDescent="0.2">
      <c r="C3021" s="5"/>
    </row>
    <row r="3022" spans="3:3" x14ac:dyDescent="0.2">
      <c r="C3022" s="5"/>
    </row>
    <row r="3023" spans="3:3" x14ac:dyDescent="0.2">
      <c r="C3023" s="5"/>
    </row>
    <row r="3024" spans="3:3" x14ac:dyDescent="0.2">
      <c r="C3024" s="5"/>
    </row>
    <row r="3025" spans="3:3" x14ac:dyDescent="0.2">
      <c r="C3025" s="5"/>
    </row>
    <row r="3026" spans="3:3" x14ac:dyDescent="0.2">
      <c r="C3026" s="5"/>
    </row>
    <row r="3027" spans="3:3" x14ac:dyDescent="0.2">
      <c r="C3027" s="5"/>
    </row>
    <row r="3028" spans="3:3" x14ac:dyDescent="0.2">
      <c r="C3028" s="5"/>
    </row>
    <row r="3029" spans="3:3" x14ac:dyDescent="0.2">
      <c r="C3029" s="5"/>
    </row>
    <row r="3030" spans="3:3" x14ac:dyDescent="0.2">
      <c r="C3030" s="5"/>
    </row>
    <row r="3031" spans="3:3" x14ac:dyDescent="0.2">
      <c r="C3031" s="5"/>
    </row>
    <row r="3032" spans="3:3" x14ac:dyDescent="0.2">
      <c r="C3032" s="5"/>
    </row>
    <row r="3033" spans="3:3" x14ac:dyDescent="0.2">
      <c r="C3033" s="5"/>
    </row>
    <row r="3034" spans="3:3" x14ac:dyDescent="0.2">
      <c r="C3034" s="5"/>
    </row>
    <row r="3035" spans="3:3" x14ac:dyDescent="0.2">
      <c r="C3035" s="5"/>
    </row>
    <row r="3036" spans="3:3" x14ac:dyDescent="0.2">
      <c r="C3036" s="5"/>
    </row>
    <row r="3037" spans="3:3" x14ac:dyDescent="0.2">
      <c r="C3037" s="5"/>
    </row>
    <row r="3038" spans="3:3" x14ac:dyDescent="0.2">
      <c r="C3038" s="5"/>
    </row>
    <row r="3039" spans="3:3" x14ac:dyDescent="0.2">
      <c r="C3039" s="5"/>
    </row>
    <row r="3040" spans="3:3" x14ac:dyDescent="0.2">
      <c r="C3040" s="5"/>
    </row>
    <row r="3041" spans="3:3" x14ac:dyDescent="0.2">
      <c r="C3041" s="5"/>
    </row>
    <row r="3042" spans="3:3" x14ac:dyDescent="0.2">
      <c r="C3042" s="5"/>
    </row>
    <row r="3043" spans="3:3" x14ac:dyDescent="0.2">
      <c r="C3043" s="5"/>
    </row>
    <row r="3044" spans="3:3" x14ac:dyDescent="0.2">
      <c r="C3044" s="5"/>
    </row>
    <row r="3045" spans="3:3" x14ac:dyDescent="0.2">
      <c r="C3045" s="5"/>
    </row>
    <row r="3046" spans="3:3" x14ac:dyDescent="0.2">
      <c r="C3046" s="5"/>
    </row>
    <row r="3047" spans="3:3" x14ac:dyDescent="0.2">
      <c r="C3047" s="5"/>
    </row>
    <row r="3048" spans="3:3" x14ac:dyDescent="0.2">
      <c r="C3048" s="5"/>
    </row>
    <row r="3049" spans="3:3" x14ac:dyDescent="0.2">
      <c r="C3049" s="5"/>
    </row>
    <row r="3050" spans="3:3" x14ac:dyDescent="0.2">
      <c r="C3050" s="5"/>
    </row>
    <row r="3051" spans="3:3" x14ac:dyDescent="0.2">
      <c r="C3051" s="5"/>
    </row>
    <row r="3052" spans="3:3" x14ac:dyDescent="0.2">
      <c r="C3052" s="5"/>
    </row>
    <row r="3053" spans="3:3" x14ac:dyDescent="0.2">
      <c r="C3053" s="5"/>
    </row>
    <row r="3054" spans="3:3" x14ac:dyDescent="0.2">
      <c r="C3054" s="5"/>
    </row>
    <row r="3055" spans="3:3" x14ac:dyDescent="0.2">
      <c r="C3055" s="5"/>
    </row>
    <row r="3056" spans="3:3" x14ac:dyDescent="0.2">
      <c r="C3056" s="5"/>
    </row>
    <row r="3057" spans="3:3" x14ac:dyDescent="0.2">
      <c r="C3057" s="5"/>
    </row>
    <row r="3058" spans="3:3" x14ac:dyDescent="0.2">
      <c r="C3058" s="5"/>
    </row>
    <row r="3059" spans="3:3" x14ac:dyDescent="0.2">
      <c r="C3059" s="5"/>
    </row>
    <row r="3060" spans="3:3" x14ac:dyDescent="0.2">
      <c r="C3060" s="5"/>
    </row>
    <row r="3061" spans="3:3" x14ac:dyDescent="0.2">
      <c r="C3061" s="5"/>
    </row>
    <row r="3062" spans="3:3" x14ac:dyDescent="0.2">
      <c r="C3062" s="5"/>
    </row>
    <row r="3063" spans="3:3" x14ac:dyDescent="0.2">
      <c r="C3063" s="5"/>
    </row>
    <row r="3064" spans="3:3" x14ac:dyDescent="0.2">
      <c r="C3064" s="5"/>
    </row>
    <row r="3065" spans="3:3" x14ac:dyDescent="0.2">
      <c r="C3065" s="5"/>
    </row>
    <row r="3066" spans="3:3" x14ac:dyDescent="0.2">
      <c r="C3066" s="5"/>
    </row>
    <row r="3067" spans="3:3" x14ac:dyDescent="0.2">
      <c r="C3067" s="5"/>
    </row>
    <row r="3068" spans="3:3" x14ac:dyDescent="0.2">
      <c r="C3068" s="5"/>
    </row>
    <row r="3069" spans="3:3" x14ac:dyDescent="0.2">
      <c r="C3069" s="5"/>
    </row>
    <row r="3070" spans="3:3" x14ac:dyDescent="0.2">
      <c r="C3070" s="5"/>
    </row>
    <row r="3071" spans="3:3" x14ac:dyDescent="0.2">
      <c r="C3071" s="5"/>
    </row>
    <row r="3072" spans="3:3" x14ac:dyDescent="0.2">
      <c r="C3072" s="5"/>
    </row>
    <row r="3073" spans="3:3" x14ac:dyDescent="0.2">
      <c r="C3073" s="5"/>
    </row>
    <row r="3074" spans="3:3" x14ac:dyDescent="0.2">
      <c r="C3074" s="5"/>
    </row>
    <row r="3075" spans="3:3" x14ac:dyDescent="0.2">
      <c r="C3075" s="5"/>
    </row>
    <row r="3076" spans="3:3" x14ac:dyDescent="0.2">
      <c r="C3076" s="5"/>
    </row>
    <row r="3077" spans="3:3" x14ac:dyDescent="0.2">
      <c r="C3077" s="5"/>
    </row>
    <row r="3078" spans="3:3" x14ac:dyDescent="0.2">
      <c r="C3078" s="5"/>
    </row>
    <row r="3079" spans="3:3" x14ac:dyDescent="0.2">
      <c r="C3079" s="5"/>
    </row>
    <row r="3080" spans="3:3" x14ac:dyDescent="0.2">
      <c r="C3080" s="5"/>
    </row>
    <row r="3081" spans="3:3" x14ac:dyDescent="0.2">
      <c r="C3081" s="5"/>
    </row>
    <row r="3082" spans="3:3" x14ac:dyDescent="0.2">
      <c r="C3082" s="5"/>
    </row>
    <row r="3083" spans="3:3" x14ac:dyDescent="0.2">
      <c r="C3083" s="5"/>
    </row>
    <row r="3084" spans="3:3" x14ac:dyDescent="0.2">
      <c r="C3084" s="5"/>
    </row>
    <row r="3085" spans="3:3" x14ac:dyDescent="0.2">
      <c r="C3085" s="5"/>
    </row>
    <row r="3086" spans="3:3" x14ac:dyDescent="0.2">
      <c r="C3086" s="5"/>
    </row>
    <row r="3087" spans="3:3" x14ac:dyDescent="0.2">
      <c r="C3087" s="5"/>
    </row>
    <row r="3088" spans="3:3" x14ac:dyDescent="0.2">
      <c r="C3088" s="5"/>
    </row>
    <row r="3089" spans="3:3" x14ac:dyDescent="0.2">
      <c r="C3089" s="5"/>
    </row>
    <row r="3090" spans="3:3" x14ac:dyDescent="0.2">
      <c r="C3090" s="5"/>
    </row>
    <row r="3091" spans="3:3" x14ac:dyDescent="0.2">
      <c r="C3091" s="5"/>
    </row>
    <row r="3092" spans="3:3" x14ac:dyDescent="0.2">
      <c r="C3092" s="5"/>
    </row>
    <row r="3093" spans="3:3" x14ac:dyDescent="0.2">
      <c r="C3093" s="5"/>
    </row>
    <row r="3094" spans="3:3" x14ac:dyDescent="0.2">
      <c r="C3094" s="5"/>
    </row>
    <row r="3095" spans="3:3" x14ac:dyDescent="0.2">
      <c r="C3095" s="5"/>
    </row>
    <row r="3096" spans="3:3" x14ac:dyDescent="0.2">
      <c r="C3096" s="5"/>
    </row>
    <row r="3097" spans="3:3" x14ac:dyDescent="0.2">
      <c r="C3097" s="5"/>
    </row>
    <row r="3098" spans="3:3" x14ac:dyDescent="0.2">
      <c r="C3098" s="5"/>
    </row>
    <row r="3099" spans="3:3" x14ac:dyDescent="0.2">
      <c r="C3099" s="5"/>
    </row>
    <row r="3100" spans="3:3" x14ac:dyDescent="0.2">
      <c r="C3100" s="5"/>
    </row>
    <row r="3101" spans="3:3" x14ac:dyDescent="0.2">
      <c r="C3101" s="5"/>
    </row>
    <row r="3102" spans="3:3" x14ac:dyDescent="0.2">
      <c r="C3102" s="5"/>
    </row>
    <row r="3103" spans="3:3" x14ac:dyDescent="0.2">
      <c r="C3103" s="5"/>
    </row>
    <row r="3104" spans="3:3" x14ac:dyDescent="0.2">
      <c r="C3104" s="5"/>
    </row>
    <row r="3105" spans="3:3" x14ac:dyDescent="0.2">
      <c r="C3105" s="5"/>
    </row>
    <row r="3106" spans="3:3" x14ac:dyDescent="0.2">
      <c r="C3106" s="5"/>
    </row>
    <row r="3107" spans="3:3" x14ac:dyDescent="0.2">
      <c r="C3107" s="5"/>
    </row>
    <row r="3108" spans="3:3" x14ac:dyDescent="0.2">
      <c r="C3108" s="5"/>
    </row>
    <row r="3109" spans="3:3" x14ac:dyDescent="0.2">
      <c r="C3109" s="5"/>
    </row>
    <row r="3110" spans="3:3" x14ac:dyDescent="0.2">
      <c r="C3110" s="5"/>
    </row>
    <row r="3111" spans="3:3" x14ac:dyDescent="0.2">
      <c r="C3111" s="5"/>
    </row>
    <row r="3112" spans="3:3" x14ac:dyDescent="0.2">
      <c r="C3112" s="5"/>
    </row>
    <row r="3113" spans="3:3" x14ac:dyDescent="0.2">
      <c r="C3113" s="5"/>
    </row>
    <row r="3114" spans="3:3" x14ac:dyDescent="0.2">
      <c r="C3114" s="5"/>
    </row>
    <row r="3115" spans="3:3" x14ac:dyDescent="0.2">
      <c r="C3115" s="5"/>
    </row>
    <row r="3116" spans="3:3" x14ac:dyDescent="0.2">
      <c r="C3116" s="5"/>
    </row>
    <row r="3117" spans="3:3" x14ac:dyDescent="0.2">
      <c r="C3117" s="5"/>
    </row>
    <row r="3118" spans="3:3" x14ac:dyDescent="0.2">
      <c r="C3118" s="5"/>
    </row>
    <row r="3119" spans="3:3" x14ac:dyDescent="0.2">
      <c r="C3119" s="5"/>
    </row>
    <row r="3120" spans="3:3" x14ac:dyDescent="0.2">
      <c r="C3120" s="5"/>
    </row>
    <row r="3121" spans="3:3" x14ac:dyDescent="0.2">
      <c r="C3121" s="5"/>
    </row>
    <row r="3122" spans="3:3" x14ac:dyDescent="0.2">
      <c r="C3122" s="5"/>
    </row>
    <row r="3123" spans="3:3" x14ac:dyDescent="0.2">
      <c r="C3123" s="5"/>
    </row>
    <row r="3124" spans="3:3" x14ac:dyDescent="0.2">
      <c r="C3124" s="5"/>
    </row>
    <row r="3125" spans="3:3" x14ac:dyDescent="0.2">
      <c r="C3125" s="5"/>
    </row>
    <row r="3126" spans="3:3" x14ac:dyDescent="0.2">
      <c r="C3126" s="5"/>
    </row>
    <row r="3127" spans="3:3" x14ac:dyDescent="0.2">
      <c r="C3127" s="5"/>
    </row>
    <row r="3128" spans="3:3" x14ac:dyDescent="0.2">
      <c r="C3128" s="5"/>
    </row>
    <row r="3129" spans="3:3" x14ac:dyDescent="0.2">
      <c r="C3129" s="5"/>
    </row>
    <row r="3130" spans="3:3" x14ac:dyDescent="0.2">
      <c r="C3130" s="5"/>
    </row>
    <row r="3131" spans="3:3" x14ac:dyDescent="0.2">
      <c r="C3131" s="5"/>
    </row>
    <row r="3132" spans="3:3" x14ac:dyDescent="0.2">
      <c r="C3132" s="5"/>
    </row>
    <row r="3133" spans="3:3" x14ac:dyDescent="0.2">
      <c r="C3133" s="5"/>
    </row>
    <row r="3134" spans="3:3" x14ac:dyDescent="0.2">
      <c r="C3134" s="5"/>
    </row>
    <row r="3135" spans="3:3" x14ac:dyDescent="0.2">
      <c r="C3135" s="5"/>
    </row>
    <row r="3136" spans="3:3" x14ac:dyDescent="0.2">
      <c r="C3136" s="5"/>
    </row>
    <row r="3137" spans="3:3" x14ac:dyDescent="0.2">
      <c r="C3137" s="5"/>
    </row>
    <row r="3138" spans="3:3" x14ac:dyDescent="0.2">
      <c r="C3138" s="5"/>
    </row>
    <row r="3139" spans="3:3" x14ac:dyDescent="0.2">
      <c r="C3139" s="5"/>
    </row>
    <row r="3140" spans="3:3" x14ac:dyDescent="0.2">
      <c r="C3140" s="5"/>
    </row>
    <row r="3141" spans="3:3" x14ac:dyDescent="0.2">
      <c r="C3141" s="5"/>
    </row>
    <row r="3142" spans="3:3" x14ac:dyDescent="0.2">
      <c r="C3142" s="5"/>
    </row>
    <row r="3143" spans="3:3" x14ac:dyDescent="0.2">
      <c r="C3143" s="5"/>
    </row>
    <row r="3144" spans="3:3" x14ac:dyDescent="0.2">
      <c r="C3144" s="5"/>
    </row>
    <row r="3145" spans="3:3" x14ac:dyDescent="0.2">
      <c r="C3145" s="5"/>
    </row>
    <row r="3146" spans="3:3" x14ac:dyDescent="0.2">
      <c r="C3146" s="5"/>
    </row>
    <row r="3147" spans="3:3" x14ac:dyDescent="0.2">
      <c r="C3147" s="5"/>
    </row>
    <row r="3148" spans="3:3" x14ac:dyDescent="0.2">
      <c r="C3148" s="5"/>
    </row>
    <row r="3149" spans="3:3" x14ac:dyDescent="0.2">
      <c r="C3149" s="5"/>
    </row>
    <row r="3150" spans="3:3" x14ac:dyDescent="0.2">
      <c r="C3150" s="5"/>
    </row>
    <row r="3151" spans="3:3" x14ac:dyDescent="0.2">
      <c r="C3151" s="5"/>
    </row>
    <row r="3152" spans="3:3" x14ac:dyDescent="0.2">
      <c r="C3152" s="5"/>
    </row>
    <row r="3153" spans="3:3" x14ac:dyDescent="0.2">
      <c r="C3153" s="5"/>
    </row>
    <row r="3154" spans="3:3" x14ac:dyDescent="0.2">
      <c r="C3154" s="5"/>
    </row>
    <row r="3155" spans="3:3" x14ac:dyDescent="0.2">
      <c r="C3155" s="5"/>
    </row>
    <row r="3156" spans="3:3" x14ac:dyDescent="0.2">
      <c r="C3156" s="5"/>
    </row>
    <row r="3157" spans="3:3" x14ac:dyDescent="0.2">
      <c r="C3157" s="5"/>
    </row>
    <row r="3158" spans="3:3" x14ac:dyDescent="0.2">
      <c r="C3158" s="5"/>
    </row>
    <row r="3159" spans="3:3" x14ac:dyDescent="0.2">
      <c r="C3159" s="5"/>
    </row>
    <row r="3160" spans="3:3" x14ac:dyDescent="0.2">
      <c r="C3160" s="5"/>
    </row>
    <row r="3161" spans="3:3" x14ac:dyDescent="0.2">
      <c r="C3161" s="5"/>
    </row>
    <row r="3162" spans="3:3" x14ac:dyDescent="0.2">
      <c r="C3162" s="5"/>
    </row>
    <row r="3163" spans="3:3" x14ac:dyDescent="0.2">
      <c r="C3163" s="5"/>
    </row>
    <row r="3164" spans="3:3" x14ac:dyDescent="0.2">
      <c r="C3164" s="5"/>
    </row>
    <row r="3165" spans="3:3" x14ac:dyDescent="0.2">
      <c r="C3165" s="5"/>
    </row>
    <row r="3166" spans="3:3" x14ac:dyDescent="0.2">
      <c r="C3166" s="5"/>
    </row>
    <row r="3167" spans="3:3" x14ac:dyDescent="0.2">
      <c r="C3167" s="5"/>
    </row>
    <row r="3168" spans="3:3" x14ac:dyDescent="0.2">
      <c r="C3168" s="5"/>
    </row>
    <row r="3169" spans="3:3" x14ac:dyDescent="0.2">
      <c r="C3169" s="5"/>
    </row>
    <row r="3170" spans="3:3" x14ac:dyDescent="0.2">
      <c r="C3170" s="5"/>
    </row>
    <row r="3171" spans="3:3" x14ac:dyDescent="0.2">
      <c r="C3171" s="5"/>
    </row>
    <row r="3172" spans="3:3" x14ac:dyDescent="0.2">
      <c r="C3172" s="5"/>
    </row>
    <row r="3173" spans="3:3" x14ac:dyDescent="0.2">
      <c r="C3173" s="5"/>
    </row>
    <row r="3174" spans="3:3" x14ac:dyDescent="0.2">
      <c r="C3174" s="5"/>
    </row>
    <row r="3175" spans="3:3" x14ac:dyDescent="0.2">
      <c r="C3175" s="5"/>
    </row>
    <row r="3176" spans="3:3" x14ac:dyDescent="0.2">
      <c r="C3176" s="5"/>
    </row>
    <row r="3177" spans="3:3" x14ac:dyDescent="0.2">
      <c r="C3177" s="5"/>
    </row>
    <row r="3178" spans="3:3" x14ac:dyDescent="0.2">
      <c r="C3178" s="5"/>
    </row>
    <row r="3179" spans="3:3" x14ac:dyDescent="0.2">
      <c r="C3179" s="5"/>
    </row>
    <row r="3180" spans="3:3" x14ac:dyDescent="0.2">
      <c r="C3180" s="5"/>
    </row>
    <row r="3181" spans="3:3" x14ac:dyDescent="0.2">
      <c r="C3181" s="5"/>
    </row>
    <row r="3182" spans="3:3" x14ac:dyDescent="0.2">
      <c r="C3182" s="5"/>
    </row>
    <row r="3183" spans="3:3" x14ac:dyDescent="0.2">
      <c r="C3183" s="5"/>
    </row>
    <row r="3184" spans="3:3" x14ac:dyDescent="0.2">
      <c r="C3184" s="5"/>
    </row>
    <row r="3185" spans="3:3" x14ac:dyDescent="0.2">
      <c r="C3185" s="5"/>
    </row>
    <row r="3186" spans="3:3" x14ac:dyDescent="0.2">
      <c r="C3186" s="5"/>
    </row>
    <row r="3187" spans="3:3" x14ac:dyDescent="0.2">
      <c r="C3187" s="5"/>
    </row>
    <row r="3188" spans="3:3" x14ac:dyDescent="0.2">
      <c r="C3188" s="5"/>
    </row>
    <row r="3189" spans="3:3" x14ac:dyDescent="0.2">
      <c r="C3189" s="5"/>
    </row>
    <row r="3190" spans="3:3" x14ac:dyDescent="0.2">
      <c r="C3190" s="5"/>
    </row>
    <row r="3191" spans="3:3" x14ac:dyDescent="0.2">
      <c r="C3191" s="5"/>
    </row>
    <row r="3192" spans="3:3" x14ac:dyDescent="0.2">
      <c r="C3192" s="5"/>
    </row>
    <row r="3193" spans="3:3" x14ac:dyDescent="0.2">
      <c r="C3193" s="5"/>
    </row>
    <row r="3194" spans="3:3" x14ac:dyDescent="0.2">
      <c r="C3194" s="5"/>
    </row>
    <row r="3195" spans="3:3" x14ac:dyDescent="0.2">
      <c r="C3195" s="5"/>
    </row>
    <row r="3196" spans="3:3" x14ac:dyDescent="0.2">
      <c r="C3196" s="5"/>
    </row>
    <row r="3197" spans="3:3" x14ac:dyDescent="0.2">
      <c r="C3197" s="5"/>
    </row>
    <row r="3198" spans="3:3" x14ac:dyDescent="0.2">
      <c r="C3198" s="5"/>
    </row>
    <row r="3199" spans="3:3" x14ac:dyDescent="0.2">
      <c r="C3199" s="5"/>
    </row>
    <row r="3200" spans="3:3" x14ac:dyDescent="0.2">
      <c r="C3200" s="5"/>
    </row>
    <row r="3201" spans="3:3" x14ac:dyDescent="0.2">
      <c r="C3201" s="5"/>
    </row>
    <row r="3202" spans="3:3" x14ac:dyDescent="0.2">
      <c r="C3202" s="5"/>
    </row>
    <row r="3203" spans="3:3" x14ac:dyDescent="0.2">
      <c r="C3203" s="5"/>
    </row>
    <row r="3204" spans="3:3" x14ac:dyDescent="0.2">
      <c r="C3204" s="5"/>
    </row>
    <row r="3205" spans="3:3" x14ac:dyDescent="0.2">
      <c r="C3205" s="5"/>
    </row>
    <row r="3206" spans="3:3" x14ac:dyDescent="0.2">
      <c r="C3206" s="5"/>
    </row>
    <row r="3207" spans="3:3" x14ac:dyDescent="0.2">
      <c r="C3207" s="5"/>
    </row>
    <row r="3208" spans="3:3" x14ac:dyDescent="0.2">
      <c r="C3208" s="5"/>
    </row>
    <row r="3209" spans="3:3" x14ac:dyDescent="0.2">
      <c r="C3209" s="5"/>
    </row>
    <row r="3210" spans="3:3" x14ac:dyDescent="0.2">
      <c r="C3210" s="5"/>
    </row>
    <row r="3211" spans="3:3" x14ac:dyDescent="0.2">
      <c r="C3211" s="5"/>
    </row>
    <row r="3212" spans="3:3" x14ac:dyDescent="0.2">
      <c r="C3212" s="5"/>
    </row>
    <row r="3213" spans="3:3" x14ac:dyDescent="0.2">
      <c r="C3213" s="5"/>
    </row>
    <row r="3214" spans="3:3" x14ac:dyDescent="0.2">
      <c r="C3214" s="5"/>
    </row>
    <row r="3215" spans="3:3" x14ac:dyDescent="0.2">
      <c r="C3215" s="5"/>
    </row>
    <row r="3216" spans="3:3" x14ac:dyDescent="0.2">
      <c r="C3216" s="5"/>
    </row>
    <row r="3217" spans="3:3" x14ac:dyDescent="0.2">
      <c r="C3217" s="5"/>
    </row>
    <row r="3218" spans="3:3" x14ac:dyDescent="0.2">
      <c r="C3218" s="5"/>
    </row>
    <row r="3219" spans="3:3" x14ac:dyDescent="0.2">
      <c r="C3219" s="5"/>
    </row>
    <row r="3220" spans="3:3" x14ac:dyDescent="0.2">
      <c r="C3220" s="5"/>
    </row>
    <row r="3221" spans="3:3" x14ac:dyDescent="0.2">
      <c r="C3221" s="5"/>
    </row>
    <row r="3222" spans="3:3" x14ac:dyDescent="0.2">
      <c r="C3222" s="5"/>
    </row>
    <row r="3223" spans="3:3" x14ac:dyDescent="0.2">
      <c r="C3223" s="5"/>
    </row>
    <row r="3224" spans="3:3" x14ac:dyDescent="0.2">
      <c r="C3224" s="5"/>
    </row>
    <row r="3225" spans="3:3" x14ac:dyDescent="0.2">
      <c r="C3225" s="5"/>
    </row>
    <row r="3226" spans="3:3" x14ac:dyDescent="0.2">
      <c r="C3226" s="5"/>
    </row>
    <row r="3227" spans="3:3" x14ac:dyDescent="0.2">
      <c r="C3227" s="5"/>
    </row>
    <row r="3228" spans="3:3" x14ac:dyDescent="0.2">
      <c r="C3228" s="5"/>
    </row>
    <row r="3229" spans="3:3" x14ac:dyDescent="0.2">
      <c r="C3229" s="5"/>
    </row>
    <row r="3230" spans="3:3" x14ac:dyDescent="0.2">
      <c r="C3230" s="5"/>
    </row>
    <row r="3231" spans="3:3" x14ac:dyDescent="0.2">
      <c r="C3231" s="5"/>
    </row>
    <row r="3232" spans="3:3" x14ac:dyDescent="0.2">
      <c r="C3232" s="5"/>
    </row>
    <row r="3233" spans="3:3" x14ac:dyDescent="0.2">
      <c r="C3233" s="5"/>
    </row>
    <row r="3234" spans="3:3" x14ac:dyDescent="0.2">
      <c r="C3234" s="5"/>
    </row>
    <row r="3235" spans="3:3" x14ac:dyDescent="0.2">
      <c r="C3235" s="5"/>
    </row>
    <row r="3236" spans="3:3" x14ac:dyDescent="0.2">
      <c r="C3236" s="5"/>
    </row>
    <row r="3237" spans="3:3" x14ac:dyDescent="0.2">
      <c r="C3237" s="5"/>
    </row>
    <row r="3238" spans="3:3" x14ac:dyDescent="0.2">
      <c r="C3238" s="5"/>
    </row>
    <row r="3239" spans="3:3" x14ac:dyDescent="0.2">
      <c r="C3239" s="5"/>
    </row>
    <row r="3240" spans="3:3" x14ac:dyDescent="0.2">
      <c r="C3240" s="5"/>
    </row>
    <row r="3241" spans="3:3" x14ac:dyDescent="0.2">
      <c r="C3241" s="5"/>
    </row>
    <row r="3242" spans="3:3" x14ac:dyDescent="0.2">
      <c r="C3242" s="5"/>
    </row>
    <row r="3243" spans="3:3" x14ac:dyDescent="0.2">
      <c r="C3243" s="5"/>
    </row>
    <row r="3244" spans="3:3" x14ac:dyDescent="0.2">
      <c r="C3244" s="5"/>
    </row>
    <row r="3245" spans="3:3" x14ac:dyDescent="0.2">
      <c r="C3245" s="5"/>
    </row>
    <row r="3246" spans="3:3" x14ac:dyDescent="0.2">
      <c r="C3246" s="5"/>
    </row>
    <row r="3247" spans="3:3" x14ac:dyDescent="0.2">
      <c r="C3247" s="5"/>
    </row>
    <row r="3248" spans="3:3" x14ac:dyDescent="0.2">
      <c r="C3248" s="5"/>
    </row>
    <row r="3249" spans="3:3" x14ac:dyDescent="0.2">
      <c r="C3249" s="5"/>
    </row>
    <row r="3250" spans="3:3" x14ac:dyDescent="0.2">
      <c r="C3250" s="5"/>
    </row>
    <row r="3251" spans="3:3" x14ac:dyDescent="0.2">
      <c r="C3251" s="5"/>
    </row>
    <row r="3252" spans="3:3" x14ac:dyDescent="0.2">
      <c r="C3252" s="5"/>
    </row>
    <row r="3253" spans="3:3" x14ac:dyDescent="0.2">
      <c r="C3253" s="5"/>
    </row>
    <row r="3254" spans="3:3" x14ac:dyDescent="0.2">
      <c r="C3254" s="5"/>
    </row>
    <row r="3255" spans="3:3" x14ac:dyDescent="0.2">
      <c r="C3255" s="5"/>
    </row>
    <row r="3256" spans="3:3" x14ac:dyDescent="0.2">
      <c r="C3256" s="5"/>
    </row>
    <row r="3257" spans="3:3" x14ac:dyDescent="0.2">
      <c r="C3257" s="5"/>
    </row>
    <row r="3258" spans="3:3" x14ac:dyDescent="0.2">
      <c r="C3258" s="5"/>
    </row>
    <row r="3259" spans="3:3" x14ac:dyDescent="0.2">
      <c r="C3259" s="5"/>
    </row>
    <row r="3260" spans="3:3" x14ac:dyDescent="0.2">
      <c r="C3260" s="5"/>
    </row>
    <row r="3261" spans="3:3" x14ac:dyDescent="0.2">
      <c r="C3261" s="5"/>
    </row>
    <row r="3262" spans="3:3" x14ac:dyDescent="0.2">
      <c r="C3262" s="5"/>
    </row>
    <row r="3263" spans="3:3" x14ac:dyDescent="0.2">
      <c r="C3263" s="5"/>
    </row>
    <row r="3264" spans="3:3" x14ac:dyDescent="0.2">
      <c r="C3264" s="5"/>
    </row>
    <row r="3265" spans="3:3" x14ac:dyDescent="0.2">
      <c r="C3265" s="5"/>
    </row>
    <row r="3266" spans="3:3" x14ac:dyDescent="0.2">
      <c r="C3266" s="5"/>
    </row>
    <row r="3267" spans="3:3" x14ac:dyDescent="0.2">
      <c r="C3267" s="5"/>
    </row>
    <row r="3268" spans="3:3" x14ac:dyDescent="0.2">
      <c r="C3268" s="5"/>
    </row>
    <row r="3269" spans="3:3" x14ac:dyDescent="0.2">
      <c r="C3269" s="5"/>
    </row>
    <row r="3270" spans="3:3" x14ac:dyDescent="0.2">
      <c r="C3270" s="5"/>
    </row>
    <row r="3271" spans="3:3" x14ac:dyDescent="0.2">
      <c r="C3271" s="5"/>
    </row>
    <row r="3272" spans="3:3" x14ac:dyDescent="0.2">
      <c r="C3272" s="5"/>
    </row>
    <row r="3273" spans="3:3" x14ac:dyDescent="0.2">
      <c r="C3273" s="5"/>
    </row>
    <row r="3274" spans="3:3" x14ac:dyDescent="0.2">
      <c r="C3274" s="5"/>
    </row>
    <row r="3275" spans="3:3" x14ac:dyDescent="0.2">
      <c r="C3275" s="5"/>
    </row>
    <row r="3276" spans="3:3" x14ac:dyDescent="0.2">
      <c r="C3276" s="5"/>
    </row>
    <row r="3277" spans="3:3" x14ac:dyDescent="0.2">
      <c r="C3277" s="5"/>
    </row>
    <row r="3278" spans="3:3" x14ac:dyDescent="0.2">
      <c r="C3278" s="5"/>
    </row>
    <row r="3279" spans="3:3" x14ac:dyDescent="0.2">
      <c r="C3279" s="5"/>
    </row>
    <row r="3280" spans="3:3" x14ac:dyDescent="0.2">
      <c r="C3280" s="5"/>
    </row>
    <row r="3281" spans="3:3" x14ac:dyDescent="0.2">
      <c r="C3281" s="5"/>
    </row>
    <row r="3282" spans="3:3" x14ac:dyDescent="0.2">
      <c r="C3282" s="5"/>
    </row>
    <row r="3283" spans="3:3" x14ac:dyDescent="0.2">
      <c r="C3283" s="5"/>
    </row>
    <row r="3284" spans="3:3" x14ac:dyDescent="0.2">
      <c r="C3284" s="5"/>
    </row>
    <row r="3285" spans="3:3" x14ac:dyDescent="0.2">
      <c r="C3285" s="5"/>
    </row>
    <row r="3286" spans="3:3" x14ac:dyDescent="0.2">
      <c r="C3286" s="5"/>
    </row>
    <row r="3287" spans="3:3" x14ac:dyDescent="0.2">
      <c r="C3287" s="5"/>
    </row>
    <row r="3288" spans="3:3" x14ac:dyDescent="0.2">
      <c r="C3288" s="5"/>
    </row>
    <row r="3289" spans="3:3" x14ac:dyDescent="0.2">
      <c r="C3289" s="5"/>
    </row>
    <row r="3290" spans="3:3" x14ac:dyDescent="0.2">
      <c r="C3290" s="5"/>
    </row>
    <row r="3291" spans="3:3" x14ac:dyDescent="0.2">
      <c r="C3291" s="5"/>
    </row>
    <row r="3292" spans="3:3" x14ac:dyDescent="0.2">
      <c r="C3292" s="5"/>
    </row>
    <row r="3293" spans="3:3" x14ac:dyDescent="0.2">
      <c r="C3293" s="5"/>
    </row>
    <row r="3294" spans="3:3" x14ac:dyDescent="0.2">
      <c r="C3294" s="5"/>
    </row>
    <row r="3295" spans="3:3" x14ac:dyDescent="0.2">
      <c r="C3295" s="5"/>
    </row>
    <row r="3296" spans="3:3" x14ac:dyDescent="0.2">
      <c r="C3296" s="5"/>
    </row>
    <row r="3297" spans="3:3" x14ac:dyDescent="0.2">
      <c r="C3297" s="5"/>
    </row>
    <row r="3298" spans="3:3" x14ac:dyDescent="0.2">
      <c r="C3298" s="5"/>
    </row>
    <row r="3299" spans="3:3" x14ac:dyDescent="0.2">
      <c r="C3299" s="5"/>
    </row>
    <row r="3300" spans="3:3" x14ac:dyDescent="0.2">
      <c r="C3300" s="5"/>
    </row>
    <row r="3301" spans="3:3" x14ac:dyDescent="0.2">
      <c r="C3301" s="5"/>
    </row>
    <row r="3302" spans="3:3" x14ac:dyDescent="0.2">
      <c r="C3302" s="5"/>
    </row>
    <row r="3303" spans="3:3" x14ac:dyDescent="0.2">
      <c r="C3303" s="5"/>
    </row>
    <row r="3304" spans="3:3" x14ac:dyDescent="0.2">
      <c r="C3304" s="5"/>
    </row>
    <row r="3305" spans="3:3" x14ac:dyDescent="0.2">
      <c r="C3305" s="5"/>
    </row>
    <row r="3306" spans="3:3" x14ac:dyDescent="0.2">
      <c r="C3306" s="5"/>
    </row>
    <row r="3307" spans="3:3" x14ac:dyDescent="0.2">
      <c r="C3307" s="5"/>
    </row>
    <row r="3308" spans="3:3" x14ac:dyDescent="0.2">
      <c r="C3308" s="5"/>
    </row>
    <row r="3309" spans="3:3" x14ac:dyDescent="0.2">
      <c r="C3309" s="5"/>
    </row>
    <row r="3310" spans="3:3" x14ac:dyDescent="0.2">
      <c r="C3310" s="5"/>
    </row>
    <row r="3311" spans="3:3" x14ac:dyDescent="0.2">
      <c r="C3311" s="5"/>
    </row>
    <row r="3312" spans="3:3" x14ac:dyDescent="0.2">
      <c r="C3312" s="5"/>
    </row>
    <row r="3313" spans="3:3" x14ac:dyDescent="0.2">
      <c r="C3313" s="5"/>
    </row>
    <row r="3314" spans="3:3" x14ac:dyDescent="0.2">
      <c r="C3314" s="5"/>
    </row>
    <row r="3315" spans="3:3" x14ac:dyDescent="0.2">
      <c r="C3315" s="5"/>
    </row>
    <row r="3316" spans="3:3" x14ac:dyDescent="0.2">
      <c r="C3316" s="5"/>
    </row>
    <row r="3317" spans="3:3" x14ac:dyDescent="0.2">
      <c r="C3317" s="5"/>
    </row>
    <row r="3318" spans="3:3" x14ac:dyDescent="0.2">
      <c r="C3318" s="5"/>
    </row>
    <row r="3319" spans="3:3" x14ac:dyDescent="0.2">
      <c r="C3319" s="5"/>
    </row>
    <row r="3320" spans="3:3" x14ac:dyDescent="0.2">
      <c r="C3320" s="5"/>
    </row>
    <row r="3321" spans="3:3" x14ac:dyDescent="0.2">
      <c r="C3321" s="5"/>
    </row>
    <row r="3322" spans="3:3" x14ac:dyDescent="0.2">
      <c r="C3322" s="5"/>
    </row>
    <row r="3323" spans="3:3" x14ac:dyDescent="0.2">
      <c r="C3323" s="5"/>
    </row>
    <row r="3324" spans="3:3" x14ac:dyDescent="0.2">
      <c r="C3324" s="5"/>
    </row>
    <row r="3325" spans="3:3" x14ac:dyDescent="0.2">
      <c r="C3325" s="5"/>
    </row>
    <row r="3326" spans="3:3" x14ac:dyDescent="0.2">
      <c r="C3326" s="5"/>
    </row>
    <row r="3327" spans="3:3" x14ac:dyDescent="0.2">
      <c r="C3327" s="5"/>
    </row>
    <row r="3328" spans="3:3" x14ac:dyDescent="0.2">
      <c r="C3328" s="5"/>
    </row>
    <row r="3329" spans="3:3" x14ac:dyDescent="0.2">
      <c r="C3329" s="5"/>
    </row>
    <row r="3330" spans="3:3" x14ac:dyDescent="0.2">
      <c r="C3330" s="5"/>
    </row>
    <row r="3331" spans="3:3" x14ac:dyDescent="0.2">
      <c r="C3331" s="5"/>
    </row>
    <row r="3332" spans="3:3" x14ac:dyDescent="0.2">
      <c r="C3332" s="5"/>
    </row>
    <row r="3333" spans="3:3" x14ac:dyDescent="0.2">
      <c r="C3333" s="5"/>
    </row>
    <row r="3334" spans="3:3" x14ac:dyDescent="0.2">
      <c r="C3334" s="5"/>
    </row>
    <row r="3335" spans="3:3" x14ac:dyDescent="0.2">
      <c r="C3335" s="5"/>
    </row>
    <row r="3336" spans="3:3" x14ac:dyDescent="0.2">
      <c r="C3336" s="5"/>
    </row>
    <row r="3337" spans="3:3" x14ac:dyDescent="0.2">
      <c r="C3337" s="5"/>
    </row>
    <row r="3338" spans="3:3" x14ac:dyDescent="0.2">
      <c r="C3338" s="5"/>
    </row>
    <row r="3339" spans="3:3" x14ac:dyDescent="0.2">
      <c r="C3339" s="5"/>
    </row>
    <row r="3340" spans="3:3" x14ac:dyDescent="0.2">
      <c r="C3340" s="5"/>
    </row>
    <row r="3341" spans="3:3" x14ac:dyDescent="0.2">
      <c r="C3341" s="5"/>
    </row>
    <row r="3342" spans="3:3" x14ac:dyDescent="0.2">
      <c r="C3342" s="5"/>
    </row>
    <row r="3343" spans="3:3" x14ac:dyDescent="0.2">
      <c r="C3343" s="5"/>
    </row>
    <row r="3344" spans="3:3" x14ac:dyDescent="0.2">
      <c r="C3344" s="5"/>
    </row>
    <row r="3345" spans="3:3" x14ac:dyDescent="0.2">
      <c r="C3345" s="5"/>
    </row>
    <row r="3346" spans="3:3" x14ac:dyDescent="0.2">
      <c r="C3346" s="5"/>
    </row>
    <row r="3347" spans="3:3" x14ac:dyDescent="0.2">
      <c r="C3347" s="5"/>
    </row>
    <row r="3348" spans="3:3" x14ac:dyDescent="0.2">
      <c r="C3348" s="5"/>
    </row>
    <row r="3349" spans="3:3" x14ac:dyDescent="0.2">
      <c r="C3349" s="5"/>
    </row>
    <row r="3350" spans="3:3" x14ac:dyDescent="0.2">
      <c r="C3350" s="5"/>
    </row>
    <row r="3351" spans="3:3" x14ac:dyDescent="0.2">
      <c r="C3351" s="5"/>
    </row>
    <row r="3352" spans="3:3" x14ac:dyDescent="0.2">
      <c r="C3352" s="5"/>
    </row>
    <row r="3353" spans="3:3" x14ac:dyDescent="0.2">
      <c r="C3353" s="5"/>
    </row>
    <row r="3354" spans="3:3" x14ac:dyDescent="0.2">
      <c r="C3354" s="5"/>
    </row>
    <row r="3355" spans="3:3" x14ac:dyDescent="0.2">
      <c r="C3355" s="5"/>
    </row>
    <row r="3356" spans="3:3" x14ac:dyDescent="0.2">
      <c r="C3356" s="5"/>
    </row>
    <row r="3357" spans="3:3" x14ac:dyDescent="0.2">
      <c r="C3357" s="5"/>
    </row>
    <row r="3358" spans="3:3" x14ac:dyDescent="0.2">
      <c r="C3358" s="5"/>
    </row>
    <row r="3359" spans="3:3" x14ac:dyDescent="0.2">
      <c r="C3359" s="5"/>
    </row>
    <row r="3360" spans="3:3" x14ac:dyDescent="0.2">
      <c r="C3360" s="5"/>
    </row>
    <row r="3361" spans="3:3" x14ac:dyDescent="0.2">
      <c r="C3361" s="5"/>
    </row>
    <row r="3362" spans="3:3" x14ac:dyDescent="0.2">
      <c r="C3362" s="5"/>
    </row>
    <row r="3363" spans="3:3" x14ac:dyDescent="0.2">
      <c r="C3363" s="5"/>
    </row>
    <row r="3364" spans="3:3" x14ac:dyDescent="0.2">
      <c r="C3364" s="5"/>
    </row>
    <row r="3365" spans="3:3" x14ac:dyDescent="0.2">
      <c r="C3365" s="5"/>
    </row>
    <row r="3366" spans="3:3" x14ac:dyDescent="0.2">
      <c r="C3366" s="5"/>
    </row>
    <row r="3367" spans="3:3" x14ac:dyDescent="0.2">
      <c r="C3367" s="5"/>
    </row>
    <row r="3368" spans="3:3" x14ac:dyDescent="0.2">
      <c r="C3368" s="5"/>
    </row>
    <row r="3369" spans="3:3" x14ac:dyDescent="0.2">
      <c r="C3369" s="5"/>
    </row>
    <row r="3370" spans="3:3" x14ac:dyDescent="0.2">
      <c r="C3370" s="5"/>
    </row>
    <row r="3371" spans="3:3" x14ac:dyDescent="0.2">
      <c r="C3371" s="5"/>
    </row>
    <row r="3372" spans="3:3" x14ac:dyDescent="0.2">
      <c r="C3372" s="5"/>
    </row>
    <row r="3373" spans="3:3" x14ac:dyDescent="0.2">
      <c r="C3373" s="5"/>
    </row>
    <row r="3374" spans="3:3" x14ac:dyDescent="0.2">
      <c r="C3374" s="5"/>
    </row>
    <row r="3375" spans="3:3" x14ac:dyDescent="0.2">
      <c r="C3375" s="5"/>
    </row>
    <row r="3376" spans="3:3" x14ac:dyDescent="0.2">
      <c r="C3376" s="5"/>
    </row>
    <row r="3377" spans="3:3" x14ac:dyDescent="0.2">
      <c r="C3377" s="5"/>
    </row>
    <row r="3378" spans="3:3" x14ac:dyDescent="0.2">
      <c r="C3378" s="5"/>
    </row>
    <row r="3379" spans="3:3" x14ac:dyDescent="0.2">
      <c r="C3379" s="5"/>
    </row>
    <row r="3380" spans="3:3" x14ac:dyDescent="0.2">
      <c r="C3380" s="5"/>
    </row>
    <row r="3381" spans="3:3" x14ac:dyDescent="0.2">
      <c r="C3381" s="5"/>
    </row>
    <row r="3382" spans="3:3" x14ac:dyDescent="0.2">
      <c r="C3382" s="5"/>
    </row>
    <row r="3383" spans="3:3" x14ac:dyDescent="0.2">
      <c r="C3383" s="5"/>
    </row>
    <row r="3384" spans="3:3" x14ac:dyDescent="0.2">
      <c r="C3384" s="5"/>
    </row>
    <row r="3385" spans="3:3" x14ac:dyDescent="0.2">
      <c r="C3385" s="5"/>
    </row>
    <row r="3386" spans="3:3" x14ac:dyDescent="0.2">
      <c r="C3386" s="5"/>
    </row>
    <row r="3387" spans="3:3" x14ac:dyDescent="0.2">
      <c r="C3387" s="5"/>
    </row>
    <row r="3388" spans="3:3" x14ac:dyDescent="0.2">
      <c r="C3388" s="5"/>
    </row>
    <row r="3389" spans="3:3" x14ac:dyDescent="0.2">
      <c r="C3389" s="5"/>
    </row>
    <row r="3390" spans="3:3" x14ac:dyDescent="0.2">
      <c r="C3390" s="5"/>
    </row>
    <row r="3391" spans="3:3" x14ac:dyDescent="0.2">
      <c r="C3391" s="5"/>
    </row>
    <row r="3392" spans="3:3" x14ac:dyDescent="0.2">
      <c r="C3392" s="5"/>
    </row>
    <row r="3393" spans="3:3" x14ac:dyDescent="0.2">
      <c r="C3393" s="5"/>
    </row>
    <row r="3394" spans="3:3" x14ac:dyDescent="0.2">
      <c r="C3394" s="5"/>
    </row>
    <row r="3395" spans="3:3" x14ac:dyDescent="0.2">
      <c r="C3395" s="5"/>
    </row>
    <row r="3396" spans="3:3" x14ac:dyDescent="0.2">
      <c r="C3396" s="5"/>
    </row>
    <row r="3397" spans="3:3" x14ac:dyDescent="0.2">
      <c r="C3397" s="5"/>
    </row>
    <row r="3398" spans="3:3" x14ac:dyDescent="0.2">
      <c r="C3398" s="5"/>
    </row>
    <row r="3399" spans="3:3" x14ac:dyDescent="0.2">
      <c r="C3399" s="5"/>
    </row>
    <row r="3400" spans="3:3" x14ac:dyDescent="0.2">
      <c r="C3400" s="5"/>
    </row>
    <row r="3401" spans="3:3" x14ac:dyDescent="0.2">
      <c r="C3401" s="5"/>
    </row>
    <row r="3402" spans="3:3" x14ac:dyDescent="0.2">
      <c r="C3402" s="5"/>
    </row>
    <row r="3403" spans="3:3" x14ac:dyDescent="0.2">
      <c r="C3403" s="5"/>
    </row>
    <row r="3404" spans="3:3" x14ac:dyDescent="0.2">
      <c r="C3404" s="5"/>
    </row>
    <row r="3405" spans="3:3" x14ac:dyDescent="0.2">
      <c r="C3405" s="5"/>
    </row>
    <row r="3406" spans="3:3" x14ac:dyDescent="0.2">
      <c r="C3406" s="5"/>
    </row>
    <row r="3407" spans="3:3" x14ac:dyDescent="0.2">
      <c r="C3407" s="5"/>
    </row>
    <row r="3408" spans="3:3" x14ac:dyDescent="0.2">
      <c r="C3408" s="5"/>
    </row>
    <row r="3409" spans="3:3" x14ac:dyDescent="0.2">
      <c r="C3409" s="5"/>
    </row>
    <row r="3410" spans="3:3" x14ac:dyDescent="0.2">
      <c r="C3410" s="5"/>
    </row>
    <row r="3411" spans="3:3" x14ac:dyDescent="0.2">
      <c r="C3411" s="5"/>
    </row>
    <row r="3412" spans="3:3" x14ac:dyDescent="0.2">
      <c r="C3412" s="5"/>
    </row>
    <row r="3413" spans="3:3" x14ac:dyDescent="0.2">
      <c r="C3413" s="5"/>
    </row>
    <row r="3414" spans="3:3" x14ac:dyDescent="0.2">
      <c r="C3414" s="5"/>
    </row>
    <row r="3415" spans="3:3" x14ac:dyDescent="0.2">
      <c r="C3415" s="5"/>
    </row>
    <row r="3416" spans="3:3" x14ac:dyDescent="0.2">
      <c r="C3416" s="5"/>
    </row>
    <row r="3417" spans="3:3" x14ac:dyDescent="0.2">
      <c r="C3417" s="5"/>
    </row>
    <row r="3418" spans="3:3" x14ac:dyDescent="0.2">
      <c r="C3418" s="5"/>
    </row>
    <row r="3419" spans="3:3" x14ac:dyDescent="0.2">
      <c r="C3419" s="5"/>
    </row>
    <row r="3420" spans="3:3" x14ac:dyDescent="0.2">
      <c r="C3420" s="5"/>
    </row>
    <row r="3421" spans="3:3" x14ac:dyDescent="0.2">
      <c r="C3421" s="5"/>
    </row>
    <row r="3422" spans="3:3" x14ac:dyDescent="0.2">
      <c r="C3422" s="5"/>
    </row>
    <row r="3423" spans="3:3" x14ac:dyDescent="0.2">
      <c r="C3423" s="5"/>
    </row>
    <row r="3424" spans="3:3" x14ac:dyDescent="0.2">
      <c r="C3424" s="5"/>
    </row>
    <row r="3425" spans="3:3" x14ac:dyDescent="0.2">
      <c r="C3425" s="5"/>
    </row>
    <row r="3426" spans="3:3" x14ac:dyDescent="0.2">
      <c r="C3426" s="5"/>
    </row>
    <row r="3427" spans="3:3" x14ac:dyDescent="0.2">
      <c r="C3427" s="5"/>
    </row>
    <row r="3428" spans="3:3" x14ac:dyDescent="0.2">
      <c r="C3428" s="5"/>
    </row>
    <row r="3429" spans="3:3" x14ac:dyDescent="0.2">
      <c r="C3429" s="5"/>
    </row>
    <row r="3430" spans="3:3" x14ac:dyDescent="0.2">
      <c r="C3430" s="5"/>
    </row>
    <row r="3431" spans="3:3" x14ac:dyDescent="0.2">
      <c r="C3431" s="5"/>
    </row>
    <row r="3432" spans="3:3" x14ac:dyDescent="0.2">
      <c r="C3432" s="5"/>
    </row>
    <row r="3433" spans="3:3" x14ac:dyDescent="0.2">
      <c r="C3433" s="5"/>
    </row>
    <row r="3434" spans="3:3" x14ac:dyDescent="0.2">
      <c r="C3434" s="5"/>
    </row>
    <row r="3435" spans="3:3" x14ac:dyDescent="0.2">
      <c r="C3435" s="5"/>
    </row>
    <row r="3436" spans="3:3" x14ac:dyDescent="0.2">
      <c r="C3436" s="5"/>
    </row>
    <row r="3437" spans="3:3" x14ac:dyDescent="0.2">
      <c r="C3437" s="5"/>
    </row>
    <row r="3438" spans="3:3" x14ac:dyDescent="0.2">
      <c r="C3438" s="5"/>
    </row>
    <row r="3439" spans="3:3" x14ac:dyDescent="0.2">
      <c r="C3439" s="5"/>
    </row>
    <row r="3440" spans="3:3" x14ac:dyDescent="0.2">
      <c r="C3440" s="5"/>
    </row>
    <row r="3441" spans="3:3" x14ac:dyDescent="0.2">
      <c r="C3441" s="5"/>
    </row>
    <row r="3442" spans="3:3" x14ac:dyDescent="0.2">
      <c r="C3442" s="5"/>
    </row>
    <row r="3443" spans="3:3" x14ac:dyDescent="0.2">
      <c r="C3443" s="5"/>
    </row>
    <row r="3444" spans="3:3" x14ac:dyDescent="0.2">
      <c r="C3444" s="5"/>
    </row>
    <row r="3445" spans="3:3" x14ac:dyDescent="0.2">
      <c r="C3445" s="5"/>
    </row>
    <row r="3446" spans="3:3" x14ac:dyDescent="0.2">
      <c r="C3446" s="5"/>
    </row>
    <row r="3447" spans="3:3" x14ac:dyDescent="0.2">
      <c r="C3447" s="5"/>
    </row>
    <row r="3448" spans="3:3" x14ac:dyDescent="0.2">
      <c r="C3448" s="5"/>
    </row>
    <row r="3449" spans="3:3" x14ac:dyDescent="0.2">
      <c r="C3449" s="5"/>
    </row>
    <row r="3450" spans="3:3" x14ac:dyDescent="0.2">
      <c r="C3450" s="5"/>
    </row>
    <row r="3451" spans="3:3" x14ac:dyDescent="0.2">
      <c r="C3451" s="5"/>
    </row>
    <row r="3452" spans="3:3" x14ac:dyDescent="0.2">
      <c r="C3452" s="5"/>
    </row>
    <row r="3453" spans="3:3" x14ac:dyDescent="0.2">
      <c r="C3453" s="5"/>
    </row>
    <row r="3454" spans="3:3" x14ac:dyDescent="0.2">
      <c r="C3454" s="5"/>
    </row>
    <row r="3455" spans="3:3" x14ac:dyDescent="0.2">
      <c r="C3455" s="5"/>
    </row>
    <row r="3456" spans="3:3" x14ac:dyDescent="0.2">
      <c r="C3456" s="5"/>
    </row>
    <row r="3457" spans="3:3" x14ac:dyDescent="0.2">
      <c r="C3457" s="5"/>
    </row>
    <row r="3458" spans="3:3" x14ac:dyDescent="0.2">
      <c r="C3458" s="5"/>
    </row>
    <row r="3459" spans="3:3" x14ac:dyDescent="0.2">
      <c r="C3459" s="5"/>
    </row>
    <row r="3460" spans="3:3" x14ac:dyDescent="0.2">
      <c r="C3460" s="5"/>
    </row>
    <row r="3461" spans="3:3" x14ac:dyDescent="0.2">
      <c r="C3461" s="5"/>
    </row>
    <row r="3462" spans="3:3" x14ac:dyDescent="0.2">
      <c r="C3462" s="5"/>
    </row>
    <row r="3463" spans="3:3" x14ac:dyDescent="0.2">
      <c r="C3463" s="5"/>
    </row>
    <row r="3464" spans="3:3" x14ac:dyDescent="0.2">
      <c r="C3464" s="5"/>
    </row>
    <row r="3465" spans="3:3" x14ac:dyDescent="0.2">
      <c r="C3465" s="5"/>
    </row>
    <row r="3466" spans="3:3" x14ac:dyDescent="0.2">
      <c r="C3466" s="5"/>
    </row>
    <row r="3467" spans="3:3" x14ac:dyDescent="0.2">
      <c r="C3467" s="5"/>
    </row>
    <row r="3468" spans="3:3" x14ac:dyDescent="0.2">
      <c r="C3468" s="5"/>
    </row>
    <row r="3469" spans="3:3" x14ac:dyDescent="0.2">
      <c r="C3469" s="5"/>
    </row>
    <row r="3470" spans="3:3" x14ac:dyDescent="0.2">
      <c r="C3470" s="5"/>
    </row>
    <row r="3471" spans="3:3" x14ac:dyDescent="0.2">
      <c r="C3471" s="5"/>
    </row>
    <row r="3472" spans="3:3" x14ac:dyDescent="0.2">
      <c r="C3472" s="5"/>
    </row>
    <row r="3473" spans="3:3" x14ac:dyDescent="0.2">
      <c r="C3473" s="5"/>
    </row>
    <row r="3474" spans="3:3" x14ac:dyDescent="0.2">
      <c r="C3474" s="5"/>
    </row>
    <row r="3475" spans="3:3" x14ac:dyDescent="0.2">
      <c r="C3475" s="5"/>
    </row>
    <row r="3476" spans="3:3" x14ac:dyDescent="0.2">
      <c r="C3476" s="5"/>
    </row>
    <row r="3477" spans="3:3" x14ac:dyDescent="0.2">
      <c r="C3477" s="5"/>
    </row>
    <row r="3478" spans="3:3" x14ac:dyDescent="0.2">
      <c r="C3478" s="5"/>
    </row>
    <row r="3479" spans="3:3" x14ac:dyDescent="0.2">
      <c r="C3479" s="5"/>
    </row>
    <row r="3480" spans="3:3" x14ac:dyDescent="0.2">
      <c r="C3480" s="5"/>
    </row>
    <row r="3481" spans="3:3" x14ac:dyDescent="0.2">
      <c r="C3481" s="5"/>
    </row>
    <row r="3482" spans="3:3" x14ac:dyDescent="0.2">
      <c r="C3482" s="5"/>
    </row>
    <row r="3483" spans="3:3" x14ac:dyDescent="0.2">
      <c r="C3483" s="5"/>
    </row>
    <row r="3484" spans="3:3" x14ac:dyDescent="0.2">
      <c r="C3484" s="5"/>
    </row>
    <row r="3485" spans="3:3" x14ac:dyDescent="0.2">
      <c r="C3485" s="5"/>
    </row>
    <row r="3486" spans="3:3" x14ac:dyDescent="0.2">
      <c r="C3486" s="5"/>
    </row>
    <row r="3487" spans="3:3" x14ac:dyDescent="0.2">
      <c r="C3487" s="5"/>
    </row>
    <row r="3488" spans="3:3" x14ac:dyDescent="0.2">
      <c r="C3488" s="5"/>
    </row>
    <row r="3489" spans="3:3" x14ac:dyDescent="0.2">
      <c r="C3489" s="5"/>
    </row>
    <row r="3490" spans="3:3" x14ac:dyDescent="0.2">
      <c r="C3490" s="5"/>
    </row>
    <row r="3491" spans="3:3" x14ac:dyDescent="0.2">
      <c r="C3491" s="5"/>
    </row>
    <row r="3492" spans="3:3" x14ac:dyDescent="0.2">
      <c r="C3492" s="5"/>
    </row>
    <row r="3493" spans="3:3" x14ac:dyDescent="0.2">
      <c r="C3493" s="5"/>
    </row>
    <row r="3494" spans="3:3" x14ac:dyDescent="0.2">
      <c r="C3494" s="5"/>
    </row>
    <row r="3495" spans="3:3" x14ac:dyDescent="0.2">
      <c r="C3495" s="5"/>
    </row>
    <row r="3496" spans="3:3" x14ac:dyDescent="0.2">
      <c r="C3496" s="5"/>
    </row>
    <row r="3497" spans="3:3" x14ac:dyDescent="0.2">
      <c r="C3497" s="5"/>
    </row>
    <row r="3498" spans="3:3" x14ac:dyDescent="0.2">
      <c r="C3498" s="5"/>
    </row>
    <row r="3499" spans="3:3" x14ac:dyDescent="0.2">
      <c r="C3499" s="5"/>
    </row>
    <row r="3500" spans="3:3" x14ac:dyDescent="0.2">
      <c r="C3500" s="5"/>
    </row>
    <row r="3501" spans="3:3" x14ac:dyDescent="0.2">
      <c r="C3501" s="5"/>
    </row>
    <row r="3502" spans="3:3" x14ac:dyDescent="0.2">
      <c r="C3502" s="5"/>
    </row>
    <row r="3503" spans="3:3" x14ac:dyDescent="0.2">
      <c r="C3503" s="5"/>
    </row>
    <row r="3504" spans="3:3" x14ac:dyDescent="0.2">
      <c r="C3504" s="5"/>
    </row>
    <row r="3505" spans="3:3" x14ac:dyDescent="0.2">
      <c r="C3505" s="5"/>
    </row>
    <row r="3506" spans="3:3" x14ac:dyDescent="0.2">
      <c r="C3506" s="5"/>
    </row>
    <row r="3507" spans="3:3" x14ac:dyDescent="0.2">
      <c r="C3507" s="5"/>
    </row>
    <row r="3508" spans="3:3" x14ac:dyDescent="0.2">
      <c r="C3508" s="5"/>
    </row>
    <row r="3509" spans="3:3" x14ac:dyDescent="0.2">
      <c r="C3509" s="5"/>
    </row>
    <row r="3510" spans="3:3" x14ac:dyDescent="0.2">
      <c r="C3510" s="5"/>
    </row>
    <row r="3511" spans="3:3" x14ac:dyDescent="0.2">
      <c r="C3511" s="5"/>
    </row>
    <row r="3512" spans="3:3" x14ac:dyDescent="0.2">
      <c r="C3512" s="5"/>
    </row>
    <row r="3513" spans="3:3" x14ac:dyDescent="0.2">
      <c r="C3513" s="5"/>
    </row>
    <row r="3514" spans="3:3" x14ac:dyDescent="0.2">
      <c r="C3514" s="5"/>
    </row>
    <row r="3515" spans="3:3" x14ac:dyDescent="0.2">
      <c r="C3515" s="5"/>
    </row>
    <row r="3516" spans="3:3" x14ac:dyDescent="0.2">
      <c r="C3516" s="5"/>
    </row>
    <row r="3517" spans="3:3" x14ac:dyDescent="0.2">
      <c r="C3517" s="5"/>
    </row>
    <row r="3518" spans="3:3" x14ac:dyDescent="0.2">
      <c r="C3518" s="5"/>
    </row>
    <row r="3519" spans="3:3" x14ac:dyDescent="0.2">
      <c r="C3519" s="5"/>
    </row>
    <row r="3520" spans="3:3" x14ac:dyDescent="0.2">
      <c r="C3520" s="5"/>
    </row>
    <row r="3521" spans="3:3" x14ac:dyDescent="0.2">
      <c r="C3521" s="5"/>
    </row>
    <row r="3522" spans="3:3" x14ac:dyDescent="0.2">
      <c r="C3522" s="5"/>
    </row>
    <row r="3523" spans="3:3" x14ac:dyDescent="0.2">
      <c r="C3523" s="5"/>
    </row>
    <row r="3524" spans="3:3" x14ac:dyDescent="0.2">
      <c r="C3524" s="5"/>
    </row>
    <row r="3525" spans="3:3" x14ac:dyDescent="0.2">
      <c r="C3525" s="5"/>
    </row>
    <row r="3526" spans="3:3" x14ac:dyDescent="0.2">
      <c r="C3526" s="5"/>
    </row>
    <row r="3527" spans="3:3" x14ac:dyDescent="0.2">
      <c r="C3527" s="5"/>
    </row>
    <row r="3528" spans="3:3" x14ac:dyDescent="0.2">
      <c r="C3528" s="5"/>
    </row>
    <row r="3529" spans="3:3" x14ac:dyDescent="0.2">
      <c r="C3529" s="5"/>
    </row>
    <row r="3530" spans="3:3" x14ac:dyDescent="0.2">
      <c r="C3530" s="5"/>
    </row>
    <row r="3531" spans="3:3" x14ac:dyDescent="0.2">
      <c r="C3531" s="5"/>
    </row>
    <row r="3532" spans="3:3" x14ac:dyDescent="0.2">
      <c r="C3532" s="5"/>
    </row>
    <row r="3533" spans="3:3" x14ac:dyDescent="0.2">
      <c r="C3533" s="5"/>
    </row>
    <row r="3534" spans="3:3" x14ac:dyDescent="0.2">
      <c r="C3534" s="5"/>
    </row>
    <row r="3535" spans="3:3" x14ac:dyDescent="0.2">
      <c r="C3535" s="5"/>
    </row>
    <row r="3536" spans="3:3" x14ac:dyDescent="0.2">
      <c r="C3536" s="5"/>
    </row>
    <row r="3537" spans="3:3" x14ac:dyDescent="0.2">
      <c r="C3537" s="5"/>
    </row>
    <row r="3538" spans="3:3" x14ac:dyDescent="0.2">
      <c r="C3538" s="5"/>
    </row>
    <row r="3539" spans="3:3" x14ac:dyDescent="0.2">
      <c r="C3539" s="5"/>
    </row>
    <row r="3540" spans="3:3" x14ac:dyDescent="0.2">
      <c r="C3540" s="5"/>
    </row>
    <row r="3541" spans="3:3" x14ac:dyDescent="0.2">
      <c r="C3541" s="5"/>
    </row>
    <row r="3542" spans="3:3" x14ac:dyDescent="0.2">
      <c r="C3542" s="5"/>
    </row>
    <row r="3543" spans="3:3" x14ac:dyDescent="0.2">
      <c r="C3543" s="5"/>
    </row>
    <row r="3544" spans="3:3" x14ac:dyDescent="0.2">
      <c r="C3544" s="5"/>
    </row>
    <row r="3545" spans="3:3" x14ac:dyDescent="0.2">
      <c r="C3545" s="5"/>
    </row>
    <row r="3546" spans="3:3" x14ac:dyDescent="0.2">
      <c r="C3546" s="5"/>
    </row>
    <row r="3547" spans="3:3" x14ac:dyDescent="0.2">
      <c r="C3547" s="5"/>
    </row>
    <row r="3548" spans="3:3" x14ac:dyDescent="0.2">
      <c r="C3548" s="5"/>
    </row>
    <row r="3549" spans="3:3" x14ac:dyDescent="0.2">
      <c r="C3549" s="5"/>
    </row>
    <row r="3550" spans="3:3" x14ac:dyDescent="0.2">
      <c r="C3550" s="5"/>
    </row>
    <row r="3551" spans="3:3" x14ac:dyDescent="0.2">
      <c r="C3551" s="5"/>
    </row>
    <row r="3552" spans="3:3" x14ac:dyDescent="0.2">
      <c r="C3552" s="5"/>
    </row>
    <row r="3553" spans="3:3" x14ac:dyDescent="0.2">
      <c r="C3553" s="5"/>
    </row>
    <row r="3554" spans="3:3" x14ac:dyDescent="0.2">
      <c r="C3554" s="5"/>
    </row>
    <row r="3555" spans="3:3" x14ac:dyDescent="0.2">
      <c r="C3555" s="5"/>
    </row>
    <row r="3556" spans="3:3" x14ac:dyDescent="0.2">
      <c r="C3556" s="5"/>
    </row>
    <row r="3557" spans="3:3" x14ac:dyDescent="0.2">
      <c r="C3557" s="5"/>
    </row>
    <row r="3558" spans="3:3" x14ac:dyDescent="0.2">
      <c r="C3558" s="5"/>
    </row>
    <row r="3559" spans="3:3" x14ac:dyDescent="0.2">
      <c r="C3559" s="5"/>
    </row>
    <row r="3560" spans="3:3" x14ac:dyDescent="0.2">
      <c r="C3560" s="5"/>
    </row>
    <row r="3561" spans="3:3" x14ac:dyDescent="0.2">
      <c r="C3561" s="5"/>
    </row>
    <row r="3562" spans="3:3" x14ac:dyDescent="0.2">
      <c r="C3562" s="5"/>
    </row>
    <row r="3563" spans="3:3" x14ac:dyDescent="0.2">
      <c r="C3563" s="5"/>
    </row>
    <row r="3564" spans="3:3" x14ac:dyDescent="0.2">
      <c r="C3564" s="5"/>
    </row>
    <row r="3565" spans="3:3" x14ac:dyDescent="0.2">
      <c r="C3565" s="5"/>
    </row>
    <row r="3566" spans="3:3" x14ac:dyDescent="0.2">
      <c r="C3566" s="5"/>
    </row>
    <row r="3567" spans="3:3" x14ac:dyDescent="0.2">
      <c r="C3567" s="5"/>
    </row>
    <row r="3568" spans="3:3" x14ac:dyDescent="0.2">
      <c r="C3568" s="5"/>
    </row>
    <row r="3569" spans="3:3" x14ac:dyDescent="0.2">
      <c r="C3569" s="5"/>
    </row>
    <row r="3570" spans="3:3" x14ac:dyDescent="0.2">
      <c r="C3570" s="5"/>
    </row>
    <row r="3571" spans="3:3" x14ac:dyDescent="0.2">
      <c r="C3571" s="5"/>
    </row>
    <row r="3572" spans="3:3" x14ac:dyDescent="0.2">
      <c r="C3572" s="5"/>
    </row>
    <row r="3573" spans="3:3" x14ac:dyDescent="0.2">
      <c r="C3573" s="5"/>
    </row>
    <row r="3574" spans="3:3" x14ac:dyDescent="0.2">
      <c r="C3574" s="5"/>
    </row>
    <row r="3575" spans="3:3" x14ac:dyDescent="0.2">
      <c r="C3575" s="5"/>
    </row>
    <row r="3576" spans="3:3" x14ac:dyDescent="0.2">
      <c r="C3576" s="5"/>
    </row>
    <row r="3577" spans="3:3" x14ac:dyDescent="0.2">
      <c r="C3577" s="5"/>
    </row>
    <row r="3578" spans="3:3" x14ac:dyDescent="0.2">
      <c r="C3578" s="5"/>
    </row>
    <row r="3579" spans="3:3" x14ac:dyDescent="0.2">
      <c r="C3579" s="5"/>
    </row>
    <row r="3580" spans="3:3" x14ac:dyDescent="0.2">
      <c r="C3580" s="5"/>
    </row>
    <row r="3581" spans="3:3" x14ac:dyDescent="0.2">
      <c r="C3581" s="5"/>
    </row>
    <row r="3582" spans="3:3" x14ac:dyDescent="0.2">
      <c r="C3582" s="5"/>
    </row>
    <row r="3583" spans="3:3" x14ac:dyDescent="0.2">
      <c r="C3583" s="5"/>
    </row>
    <row r="3584" spans="3:3" x14ac:dyDescent="0.2">
      <c r="C3584" s="5"/>
    </row>
    <row r="3585" spans="3:3" x14ac:dyDescent="0.2">
      <c r="C3585" s="5"/>
    </row>
    <row r="3586" spans="3:3" x14ac:dyDescent="0.2">
      <c r="C3586" s="5"/>
    </row>
    <row r="3587" spans="3:3" x14ac:dyDescent="0.2">
      <c r="C3587" s="5"/>
    </row>
    <row r="3588" spans="3:3" x14ac:dyDescent="0.2">
      <c r="C3588" s="5"/>
    </row>
    <row r="3589" spans="3:3" x14ac:dyDescent="0.2">
      <c r="C3589" s="5"/>
    </row>
    <row r="3590" spans="3:3" x14ac:dyDescent="0.2">
      <c r="C3590" s="5"/>
    </row>
    <row r="3591" spans="3:3" x14ac:dyDescent="0.2">
      <c r="C3591" s="5"/>
    </row>
    <row r="3592" spans="3:3" x14ac:dyDescent="0.2">
      <c r="C3592" s="5"/>
    </row>
    <row r="3593" spans="3:3" x14ac:dyDescent="0.2">
      <c r="C3593" s="5"/>
    </row>
    <row r="3594" spans="3:3" x14ac:dyDescent="0.2">
      <c r="C3594" s="5"/>
    </row>
    <row r="3595" spans="3:3" x14ac:dyDescent="0.2">
      <c r="C3595" s="5"/>
    </row>
    <row r="3596" spans="3:3" x14ac:dyDescent="0.2">
      <c r="C3596" s="5"/>
    </row>
    <row r="3597" spans="3:3" x14ac:dyDescent="0.2">
      <c r="C3597" s="5"/>
    </row>
    <row r="3598" spans="3:3" x14ac:dyDescent="0.2">
      <c r="C3598" s="5"/>
    </row>
    <row r="3599" spans="3:3" x14ac:dyDescent="0.2">
      <c r="C3599" s="5"/>
    </row>
    <row r="3600" spans="3:3" x14ac:dyDescent="0.2">
      <c r="C3600" s="5"/>
    </row>
    <row r="3601" spans="3:3" x14ac:dyDescent="0.2">
      <c r="C3601" s="5"/>
    </row>
    <row r="3602" spans="3:3" x14ac:dyDescent="0.2">
      <c r="C3602" s="5"/>
    </row>
    <row r="3603" spans="3:3" x14ac:dyDescent="0.2">
      <c r="C3603" s="5"/>
    </row>
    <row r="3604" spans="3:3" x14ac:dyDescent="0.2">
      <c r="C3604" s="5"/>
    </row>
    <row r="3605" spans="3:3" x14ac:dyDescent="0.2">
      <c r="C3605" s="5"/>
    </row>
    <row r="3606" spans="3:3" x14ac:dyDescent="0.2">
      <c r="C3606" s="5"/>
    </row>
    <row r="3607" spans="3:3" x14ac:dyDescent="0.2">
      <c r="C3607" s="5"/>
    </row>
    <row r="3608" spans="3:3" x14ac:dyDescent="0.2">
      <c r="C3608" s="5"/>
    </row>
    <row r="3609" spans="3:3" x14ac:dyDescent="0.2">
      <c r="C3609" s="5"/>
    </row>
    <row r="3610" spans="3:3" x14ac:dyDescent="0.2">
      <c r="C3610" s="5"/>
    </row>
    <row r="3611" spans="3:3" x14ac:dyDescent="0.2">
      <c r="C3611" s="5"/>
    </row>
    <row r="3612" spans="3:3" x14ac:dyDescent="0.2">
      <c r="C3612" s="5"/>
    </row>
    <row r="3613" spans="3:3" x14ac:dyDescent="0.2">
      <c r="C3613" s="5"/>
    </row>
    <row r="3614" spans="3:3" x14ac:dyDescent="0.2">
      <c r="C3614" s="5"/>
    </row>
    <row r="3615" spans="3:3" x14ac:dyDescent="0.2">
      <c r="C3615" s="5"/>
    </row>
    <row r="3616" spans="3:3" x14ac:dyDescent="0.2">
      <c r="C3616" s="5"/>
    </row>
    <row r="3617" spans="3:3" x14ac:dyDescent="0.2">
      <c r="C3617" s="5"/>
    </row>
    <row r="3618" spans="3:3" x14ac:dyDescent="0.2">
      <c r="C3618" s="5"/>
    </row>
    <row r="3619" spans="3:3" x14ac:dyDescent="0.2">
      <c r="C3619" s="5"/>
    </row>
    <row r="3620" spans="3:3" x14ac:dyDescent="0.2">
      <c r="C3620" s="5"/>
    </row>
    <row r="3621" spans="3:3" x14ac:dyDescent="0.2">
      <c r="C3621" s="5"/>
    </row>
    <row r="3622" spans="3:3" x14ac:dyDescent="0.2">
      <c r="C3622" s="5"/>
    </row>
    <row r="3623" spans="3:3" x14ac:dyDescent="0.2">
      <c r="C3623" s="5"/>
    </row>
    <row r="3624" spans="3:3" x14ac:dyDescent="0.2">
      <c r="C3624" s="5"/>
    </row>
    <row r="3625" spans="3:3" x14ac:dyDescent="0.2">
      <c r="C3625" s="5"/>
    </row>
    <row r="3626" spans="3:3" x14ac:dyDescent="0.2">
      <c r="C3626" s="5"/>
    </row>
    <row r="3627" spans="3:3" x14ac:dyDescent="0.2">
      <c r="C3627" s="5"/>
    </row>
    <row r="3628" spans="3:3" x14ac:dyDescent="0.2">
      <c r="C3628" s="5"/>
    </row>
    <row r="3629" spans="3:3" x14ac:dyDescent="0.2">
      <c r="C3629" s="5"/>
    </row>
    <row r="3630" spans="3:3" x14ac:dyDescent="0.2">
      <c r="C3630" s="5"/>
    </row>
    <row r="3631" spans="3:3" x14ac:dyDescent="0.2">
      <c r="C3631" s="5"/>
    </row>
    <row r="3632" spans="3:3" x14ac:dyDescent="0.2">
      <c r="C3632" s="5"/>
    </row>
    <row r="3633" spans="3:3" x14ac:dyDescent="0.2">
      <c r="C3633" s="5"/>
    </row>
    <row r="3634" spans="3:3" x14ac:dyDescent="0.2">
      <c r="C3634" s="5"/>
    </row>
    <row r="3635" spans="3:3" x14ac:dyDescent="0.2">
      <c r="C3635" s="5"/>
    </row>
    <row r="3636" spans="3:3" x14ac:dyDescent="0.2">
      <c r="C3636" s="5"/>
    </row>
    <row r="3637" spans="3:3" x14ac:dyDescent="0.2">
      <c r="C3637" s="5"/>
    </row>
    <row r="3638" spans="3:3" x14ac:dyDescent="0.2">
      <c r="C3638" s="5"/>
    </row>
    <row r="3639" spans="3:3" x14ac:dyDescent="0.2">
      <c r="C3639" s="5"/>
    </row>
    <row r="3640" spans="3:3" x14ac:dyDescent="0.2">
      <c r="C3640" s="5"/>
    </row>
    <row r="3641" spans="3:3" x14ac:dyDescent="0.2">
      <c r="C3641" s="5"/>
    </row>
    <row r="3642" spans="3:3" x14ac:dyDescent="0.2">
      <c r="C3642" s="5"/>
    </row>
    <row r="3643" spans="3:3" x14ac:dyDescent="0.2">
      <c r="C3643" s="5"/>
    </row>
    <row r="3644" spans="3:3" x14ac:dyDescent="0.2">
      <c r="C3644" s="5"/>
    </row>
    <row r="3645" spans="3:3" x14ac:dyDescent="0.2">
      <c r="C3645" s="5"/>
    </row>
    <row r="3646" spans="3:3" x14ac:dyDescent="0.2">
      <c r="C3646" s="5"/>
    </row>
    <row r="3647" spans="3:3" x14ac:dyDescent="0.2">
      <c r="C3647" s="5"/>
    </row>
    <row r="3648" spans="3:3" x14ac:dyDescent="0.2">
      <c r="C3648" s="5"/>
    </row>
    <row r="3649" spans="3:3" x14ac:dyDescent="0.2">
      <c r="C3649" s="5"/>
    </row>
    <row r="3650" spans="3:3" x14ac:dyDescent="0.2">
      <c r="C3650" s="5"/>
    </row>
    <row r="3651" spans="3:3" x14ac:dyDescent="0.2">
      <c r="C3651" s="5"/>
    </row>
    <row r="3652" spans="3:3" x14ac:dyDescent="0.2">
      <c r="C3652" s="5"/>
    </row>
    <row r="3653" spans="3:3" x14ac:dyDescent="0.2">
      <c r="C3653" s="5"/>
    </row>
    <row r="3654" spans="3:3" x14ac:dyDescent="0.2">
      <c r="C3654" s="5"/>
    </row>
    <row r="3655" spans="3:3" x14ac:dyDescent="0.2">
      <c r="C3655" s="5"/>
    </row>
    <row r="3656" spans="3:3" x14ac:dyDescent="0.2">
      <c r="C3656" s="5"/>
    </row>
    <row r="3657" spans="3:3" x14ac:dyDescent="0.2">
      <c r="C3657" s="5"/>
    </row>
    <row r="3658" spans="3:3" x14ac:dyDescent="0.2">
      <c r="C3658" s="5"/>
    </row>
    <row r="3659" spans="3:3" x14ac:dyDescent="0.2">
      <c r="C3659" s="5"/>
    </row>
    <row r="3660" spans="3:3" x14ac:dyDescent="0.2">
      <c r="C3660" s="5"/>
    </row>
    <row r="3661" spans="3:3" x14ac:dyDescent="0.2">
      <c r="C3661" s="5"/>
    </row>
    <row r="3662" spans="3:3" x14ac:dyDescent="0.2">
      <c r="C3662" s="5"/>
    </row>
    <row r="3663" spans="3:3" x14ac:dyDescent="0.2">
      <c r="C3663" s="5"/>
    </row>
    <row r="3664" spans="3:3" x14ac:dyDescent="0.2">
      <c r="C3664" s="5"/>
    </row>
    <row r="3665" spans="3:3" x14ac:dyDescent="0.2">
      <c r="C3665" s="5"/>
    </row>
    <row r="3666" spans="3:3" x14ac:dyDescent="0.2">
      <c r="C3666" s="5"/>
    </row>
    <row r="3667" spans="3:3" x14ac:dyDescent="0.2">
      <c r="C3667" s="5"/>
    </row>
    <row r="3668" spans="3:3" x14ac:dyDescent="0.2">
      <c r="C3668" s="5"/>
    </row>
    <row r="3669" spans="3:3" x14ac:dyDescent="0.2">
      <c r="C3669" s="5"/>
    </row>
    <row r="3670" spans="3:3" x14ac:dyDescent="0.2">
      <c r="C3670" s="5"/>
    </row>
    <row r="3671" spans="3:3" x14ac:dyDescent="0.2">
      <c r="C3671" s="5"/>
    </row>
    <row r="3672" spans="3:3" x14ac:dyDescent="0.2">
      <c r="C3672" s="5"/>
    </row>
    <row r="3673" spans="3:3" x14ac:dyDescent="0.2">
      <c r="C3673" s="5"/>
    </row>
    <row r="3674" spans="3:3" x14ac:dyDescent="0.2">
      <c r="C3674" s="5"/>
    </row>
    <row r="3675" spans="3:3" x14ac:dyDescent="0.2">
      <c r="C3675" s="5"/>
    </row>
    <row r="3676" spans="3:3" x14ac:dyDescent="0.2">
      <c r="C3676" s="5"/>
    </row>
    <row r="3677" spans="3:3" x14ac:dyDescent="0.2">
      <c r="C3677" s="5"/>
    </row>
    <row r="3678" spans="3:3" x14ac:dyDescent="0.2">
      <c r="C3678" s="5"/>
    </row>
    <row r="3679" spans="3:3" x14ac:dyDescent="0.2">
      <c r="C3679" s="5"/>
    </row>
    <row r="3680" spans="3:3" x14ac:dyDescent="0.2">
      <c r="C3680" s="5"/>
    </row>
    <row r="3681" spans="3:3" x14ac:dyDescent="0.2">
      <c r="C3681" s="5"/>
    </row>
    <row r="3682" spans="3:3" x14ac:dyDescent="0.2">
      <c r="C3682" s="5"/>
    </row>
    <row r="3683" spans="3:3" x14ac:dyDescent="0.2">
      <c r="C3683" s="5"/>
    </row>
    <row r="3684" spans="3:3" x14ac:dyDescent="0.2">
      <c r="C3684" s="5"/>
    </row>
    <row r="3685" spans="3:3" x14ac:dyDescent="0.2">
      <c r="C3685" s="5"/>
    </row>
    <row r="3686" spans="3:3" x14ac:dyDescent="0.2">
      <c r="C3686" s="5"/>
    </row>
    <row r="3687" spans="3:3" x14ac:dyDescent="0.2">
      <c r="C3687" s="5"/>
    </row>
    <row r="3688" spans="3:3" x14ac:dyDescent="0.2">
      <c r="C3688" s="5"/>
    </row>
    <row r="3689" spans="3:3" x14ac:dyDescent="0.2">
      <c r="C3689" s="5"/>
    </row>
    <row r="3690" spans="3:3" x14ac:dyDescent="0.2">
      <c r="C3690" s="5"/>
    </row>
    <row r="3691" spans="3:3" x14ac:dyDescent="0.2">
      <c r="C3691" s="5"/>
    </row>
    <row r="3692" spans="3:3" x14ac:dyDescent="0.2">
      <c r="C3692" s="5"/>
    </row>
    <row r="3693" spans="3:3" x14ac:dyDescent="0.2">
      <c r="C3693" s="5"/>
    </row>
    <row r="3694" spans="3:3" x14ac:dyDescent="0.2">
      <c r="C3694" s="5"/>
    </row>
    <row r="3695" spans="3:3" x14ac:dyDescent="0.2">
      <c r="C3695" s="5"/>
    </row>
    <row r="3696" spans="3:3" x14ac:dyDescent="0.2">
      <c r="C3696" s="5"/>
    </row>
    <row r="3697" spans="3:3" x14ac:dyDescent="0.2">
      <c r="C3697" s="5"/>
    </row>
    <row r="3698" spans="3:3" x14ac:dyDescent="0.2">
      <c r="C3698" s="5"/>
    </row>
    <row r="3699" spans="3:3" x14ac:dyDescent="0.2">
      <c r="C3699" s="5"/>
    </row>
    <row r="3700" spans="3:3" x14ac:dyDescent="0.2">
      <c r="C3700" s="5"/>
    </row>
    <row r="3701" spans="3:3" x14ac:dyDescent="0.2">
      <c r="C3701" s="5"/>
    </row>
    <row r="3702" spans="3:3" x14ac:dyDescent="0.2">
      <c r="C3702" s="5"/>
    </row>
    <row r="3703" spans="3:3" x14ac:dyDescent="0.2">
      <c r="C3703" s="5"/>
    </row>
    <row r="3704" spans="3:3" x14ac:dyDescent="0.2">
      <c r="C3704" s="5"/>
    </row>
    <row r="3705" spans="3:3" x14ac:dyDescent="0.2">
      <c r="C3705" s="5"/>
    </row>
    <row r="3706" spans="3:3" x14ac:dyDescent="0.2">
      <c r="C3706" s="5"/>
    </row>
    <row r="3707" spans="3:3" x14ac:dyDescent="0.2">
      <c r="C3707" s="5"/>
    </row>
    <row r="3708" spans="3:3" x14ac:dyDescent="0.2">
      <c r="C3708" s="5"/>
    </row>
    <row r="3709" spans="3:3" x14ac:dyDescent="0.2">
      <c r="C3709" s="5"/>
    </row>
    <row r="3710" spans="3:3" x14ac:dyDescent="0.2">
      <c r="C3710" s="5"/>
    </row>
    <row r="3711" spans="3:3" x14ac:dyDescent="0.2">
      <c r="C3711" s="5"/>
    </row>
    <row r="3712" spans="3:3" x14ac:dyDescent="0.2">
      <c r="C3712" s="5"/>
    </row>
    <row r="3713" spans="3:3" x14ac:dyDescent="0.2">
      <c r="C3713" s="5"/>
    </row>
    <row r="3714" spans="3:3" x14ac:dyDescent="0.2">
      <c r="C3714" s="5"/>
    </row>
    <row r="3715" spans="3:3" x14ac:dyDescent="0.2">
      <c r="C3715" s="5"/>
    </row>
    <row r="3716" spans="3:3" x14ac:dyDescent="0.2">
      <c r="C3716" s="5"/>
    </row>
    <row r="3717" spans="3:3" x14ac:dyDescent="0.2">
      <c r="C3717" s="5"/>
    </row>
    <row r="3718" spans="3:3" x14ac:dyDescent="0.2">
      <c r="C3718" s="5"/>
    </row>
    <row r="3719" spans="3:3" x14ac:dyDescent="0.2">
      <c r="C3719" s="5"/>
    </row>
    <row r="3720" spans="3:3" x14ac:dyDescent="0.2">
      <c r="C3720" s="5"/>
    </row>
    <row r="3721" spans="3:3" x14ac:dyDescent="0.2">
      <c r="C3721" s="5"/>
    </row>
    <row r="3722" spans="3:3" x14ac:dyDescent="0.2">
      <c r="C3722" s="5"/>
    </row>
    <row r="3723" spans="3:3" x14ac:dyDescent="0.2">
      <c r="C3723" s="5"/>
    </row>
    <row r="3724" spans="3:3" x14ac:dyDescent="0.2">
      <c r="C3724" s="5"/>
    </row>
    <row r="3725" spans="3:3" x14ac:dyDescent="0.2">
      <c r="C3725" s="5"/>
    </row>
    <row r="3726" spans="3:3" x14ac:dyDescent="0.2">
      <c r="C3726" s="5"/>
    </row>
    <row r="3727" spans="3:3" x14ac:dyDescent="0.2">
      <c r="C3727" s="5"/>
    </row>
    <row r="3728" spans="3:3" x14ac:dyDescent="0.2">
      <c r="C3728" s="5"/>
    </row>
    <row r="3729" spans="3:3" x14ac:dyDescent="0.2">
      <c r="C3729" s="5"/>
    </row>
    <row r="3730" spans="3:3" x14ac:dyDescent="0.2">
      <c r="C3730" s="5"/>
    </row>
    <row r="3731" spans="3:3" x14ac:dyDescent="0.2">
      <c r="C3731" s="5"/>
    </row>
    <row r="3732" spans="3:3" x14ac:dyDescent="0.2">
      <c r="C3732" s="5"/>
    </row>
    <row r="3733" spans="3:3" x14ac:dyDescent="0.2">
      <c r="C3733" s="5"/>
    </row>
    <row r="3734" spans="3:3" x14ac:dyDescent="0.2">
      <c r="C3734" s="5"/>
    </row>
    <row r="3735" spans="3:3" x14ac:dyDescent="0.2">
      <c r="C3735" s="5"/>
    </row>
    <row r="3736" spans="3:3" x14ac:dyDescent="0.2">
      <c r="C3736" s="5"/>
    </row>
    <row r="3737" spans="3:3" x14ac:dyDescent="0.2">
      <c r="C3737" s="5"/>
    </row>
    <row r="3738" spans="3:3" x14ac:dyDescent="0.2">
      <c r="C3738" s="5"/>
    </row>
    <row r="3739" spans="3:3" x14ac:dyDescent="0.2">
      <c r="C3739" s="5"/>
    </row>
    <row r="3740" spans="3:3" x14ac:dyDescent="0.2">
      <c r="C3740" s="5"/>
    </row>
    <row r="3741" spans="3:3" x14ac:dyDescent="0.2">
      <c r="C3741" s="5"/>
    </row>
    <row r="3742" spans="3:3" x14ac:dyDescent="0.2">
      <c r="C3742" s="5"/>
    </row>
    <row r="3743" spans="3:3" x14ac:dyDescent="0.2">
      <c r="C3743" s="5"/>
    </row>
    <row r="3744" spans="3:3" x14ac:dyDescent="0.2">
      <c r="C3744" s="5"/>
    </row>
    <row r="3745" spans="3:3" x14ac:dyDescent="0.2">
      <c r="C3745" s="5"/>
    </row>
    <row r="3746" spans="3:3" x14ac:dyDescent="0.2">
      <c r="C3746" s="5"/>
    </row>
    <row r="3747" spans="3:3" x14ac:dyDescent="0.2">
      <c r="C3747" s="5"/>
    </row>
    <row r="3748" spans="3:3" x14ac:dyDescent="0.2">
      <c r="C3748" s="5"/>
    </row>
    <row r="3749" spans="3:3" x14ac:dyDescent="0.2">
      <c r="C3749" s="5"/>
    </row>
    <row r="3750" spans="3:3" x14ac:dyDescent="0.2">
      <c r="C3750" s="5"/>
    </row>
    <row r="3751" spans="3:3" x14ac:dyDescent="0.2">
      <c r="C3751" s="5"/>
    </row>
    <row r="3752" spans="3:3" x14ac:dyDescent="0.2">
      <c r="C3752" s="5"/>
    </row>
    <row r="3753" spans="3:3" x14ac:dyDescent="0.2">
      <c r="C3753" s="5"/>
    </row>
    <row r="3754" spans="3:3" x14ac:dyDescent="0.2">
      <c r="C3754" s="5"/>
    </row>
    <row r="3755" spans="3:3" x14ac:dyDescent="0.2">
      <c r="C3755" s="5"/>
    </row>
    <row r="3756" spans="3:3" x14ac:dyDescent="0.2">
      <c r="C3756" s="5"/>
    </row>
    <row r="3757" spans="3:3" x14ac:dyDescent="0.2">
      <c r="C3757" s="5"/>
    </row>
    <row r="3758" spans="3:3" x14ac:dyDescent="0.2">
      <c r="C3758" s="5"/>
    </row>
    <row r="3759" spans="3:3" x14ac:dyDescent="0.2">
      <c r="C3759" s="5"/>
    </row>
    <row r="3760" spans="3:3" x14ac:dyDescent="0.2">
      <c r="C3760" s="5"/>
    </row>
    <row r="3761" spans="3:3" x14ac:dyDescent="0.2">
      <c r="C3761" s="5"/>
    </row>
    <row r="3762" spans="3:3" x14ac:dyDescent="0.2">
      <c r="C3762" s="5"/>
    </row>
    <row r="3763" spans="3:3" x14ac:dyDescent="0.2">
      <c r="C3763" s="5"/>
    </row>
    <row r="3764" spans="3:3" x14ac:dyDescent="0.2">
      <c r="C3764" s="5"/>
    </row>
    <row r="3765" spans="3:3" x14ac:dyDescent="0.2">
      <c r="C3765" s="5"/>
    </row>
    <row r="3766" spans="3:3" x14ac:dyDescent="0.2">
      <c r="C3766" s="5"/>
    </row>
    <row r="3767" spans="3:3" x14ac:dyDescent="0.2">
      <c r="C3767" s="5"/>
    </row>
    <row r="3768" spans="3:3" x14ac:dyDescent="0.2">
      <c r="C3768" s="5"/>
    </row>
    <row r="3769" spans="3:3" x14ac:dyDescent="0.2">
      <c r="C3769" s="5"/>
    </row>
    <row r="3770" spans="3:3" x14ac:dyDescent="0.2">
      <c r="C3770" s="5"/>
    </row>
    <row r="3771" spans="3:3" x14ac:dyDescent="0.2">
      <c r="C3771" s="5"/>
    </row>
    <row r="3772" spans="3:3" x14ac:dyDescent="0.2">
      <c r="C3772" s="5"/>
    </row>
    <row r="3773" spans="3:3" x14ac:dyDescent="0.2">
      <c r="C3773" s="5"/>
    </row>
    <row r="3774" spans="3:3" x14ac:dyDescent="0.2">
      <c r="C3774" s="5"/>
    </row>
    <row r="3775" spans="3:3" x14ac:dyDescent="0.2">
      <c r="C3775" s="5"/>
    </row>
    <row r="3776" spans="3:3" x14ac:dyDescent="0.2">
      <c r="C3776" s="5"/>
    </row>
    <row r="3777" spans="3:3" x14ac:dyDescent="0.2">
      <c r="C3777" s="5"/>
    </row>
    <row r="3778" spans="3:3" x14ac:dyDescent="0.2">
      <c r="C3778" s="5"/>
    </row>
    <row r="3779" spans="3:3" x14ac:dyDescent="0.2">
      <c r="C3779" s="5"/>
    </row>
    <row r="3780" spans="3:3" x14ac:dyDescent="0.2">
      <c r="C3780" s="5"/>
    </row>
    <row r="3781" spans="3:3" x14ac:dyDescent="0.2">
      <c r="C3781" s="5"/>
    </row>
    <row r="3782" spans="3:3" x14ac:dyDescent="0.2">
      <c r="C3782" s="5"/>
    </row>
    <row r="3783" spans="3:3" x14ac:dyDescent="0.2">
      <c r="C3783" s="5"/>
    </row>
    <row r="3784" spans="3:3" x14ac:dyDescent="0.2">
      <c r="C3784" s="5"/>
    </row>
    <row r="3785" spans="3:3" x14ac:dyDescent="0.2">
      <c r="C3785" s="5"/>
    </row>
    <row r="3786" spans="3:3" x14ac:dyDescent="0.2">
      <c r="C3786" s="5"/>
    </row>
    <row r="3787" spans="3:3" x14ac:dyDescent="0.2">
      <c r="C3787" s="5"/>
    </row>
    <row r="3788" spans="3:3" x14ac:dyDescent="0.2">
      <c r="C3788" s="5"/>
    </row>
    <row r="3789" spans="3:3" x14ac:dyDescent="0.2">
      <c r="C3789" s="5"/>
    </row>
    <row r="3790" spans="3:3" x14ac:dyDescent="0.2">
      <c r="C3790" s="5"/>
    </row>
    <row r="3791" spans="3:3" x14ac:dyDescent="0.2">
      <c r="C3791" s="5"/>
    </row>
    <row r="3792" spans="3:3" x14ac:dyDescent="0.2">
      <c r="C3792" s="5"/>
    </row>
    <row r="3793" spans="3:3" x14ac:dyDescent="0.2">
      <c r="C3793" s="5"/>
    </row>
    <row r="3794" spans="3:3" x14ac:dyDescent="0.2">
      <c r="C3794" s="5"/>
    </row>
    <row r="3795" spans="3:3" x14ac:dyDescent="0.2">
      <c r="C3795" s="5"/>
    </row>
    <row r="3796" spans="3:3" x14ac:dyDescent="0.2">
      <c r="C3796" s="5"/>
    </row>
    <row r="3797" spans="3:3" x14ac:dyDescent="0.2">
      <c r="C3797" s="5"/>
    </row>
    <row r="3798" spans="3:3" x14ac:dyDescent="0.2">
      <c r="C3798" s="5"/>
    </row>
    <row r="3799" spans="3:3" x14ac:dyDescent="0.2">
      <c r="C3799" s="5"/>
    </row>
    <row r="3800" spans="3:3" x14ac:dyDescent="0.2">
      <c r="C3800" s="5"/>
    </row>
    <row r="3801" spans="3:3" x14ac:dyDescent="0.2">
      <c r="C3801" s="5"/>
    </row>
    <row r="3802" spans="3:3" x14ac:dyDescent="0.2">
      <c r="C3802" s="5"/>
    </row>
    <row r="3803" spans="3:3" x14ac:dyDescent="0.2">
      <c r="C3803" s="5"/>
    </row>
    <row r="3804" spans="3:3" x14ac:dyDescent="0.2">
      <c r="C3804" s="5"/>
    </row>
    <row r="3805" spans="3:3" x14ac:dyDescent="0.2">
      <c r="C3805" s="5"/>
    </row>
    <row r="3806" spans="3:3" x14ac:dyDescent="0.2">
      <c r="C3806" s="5"/>
    </row>
    <row r="3807" spans="3:3" x14ac:dyDescent="0.2">
      <c r="C3807" s="5"/>
    </row>
    <row r="3808" spans="3:3" x14ac:dyDescent="0.2">
      <c r="C3808" s="5"/>
    </row>
    <row r="3809" spans="3:3" x14ac:dyDescent="0.2">
      <c r="C3809" s="5"/>
    </row>
    <row r="3810" spans="3:3" x14ac:dyDescent="0.2">
      <c r="C3810" s="5"/>
    </row>
    <row r="3811" spans="3:3" x14ac:dyDescent="0.2">
      <c r="C3811" s="5"/>
    </row>
    <row r="3812" spans="3:3" x14ac:dyDescent="0.2">
      <c r="C3812" s="5"/>
    </row>
    <row r="3813" spans="3:3" x14ac:dyDescent="0.2">
      <c r="C3813" s="5"/>
    </row>
    <row r="3814" spans="3:3" x14ac:dyDescent="0.2">
      <c r="C3814" s="5"/>
    </row>
    <row r="3815" spans="3:3" x14ac:dyDescent="0.2">
      <c r="C3815" s="5"/>
    </row>
    <row r="3816" spans="3:3" x14ac:dyDescent="0.2">
      <c r="C3816" s="5"/>
    </row>
    <row r="3817" spans="3:3" x14ac:dyDescent="0.2">
      <c r="C3817" s="5"/>
    </row>
    <row r="3818" spans="3:3" x14ac:dyDescent="0.2">
      <c r="C3818" s="5"/>
    </row>
    <row r="3819" spans="3:3" x14ac:dyDescent="0.2">
      <c r="C3819" s="5"/>
    </row>
    <row r="3820" spans="3:3" x14ac:dyDescent="0.2">
      <c r="C3820" s="5"/>
    </row>
    <row r="3821" spans="3:3" x14ac:dyDescent="0.2">
      <c r="C3821" s="5"/>
    </row>
    <row r="3822" spans="3:3" x14ac:dyDescent="0.2">
      <c r="C3822" s="5"/>
    </row>
    <row r="3823" spans="3:3" x14ac:dyDescent="0.2">
      <c r="C3823" s="5"/>
    </row>
    <row r="3824" spans="3:3" x14ac:dyDescent="0.2">
      <c r="C3824" s="5"/>
    </row>
    <row r="3825" spans="3:3" x14ac:dyDescent="0.2">
      <c r="C3825" s="5"/>
    </row>
    <row r="3826" spans="3:3" x14ac:dyDescent="0.2">
      <c r="C3826" s="5"/>
    </row>
    <row r="3827" spans="3:3" x14ac:dyDescent="0.2">
      <c r="C3827" s="5"/>
    </row>
    <row r="3828" spans="3:3" x14ac:dyDescent="0.2">
      <c r="C3828" s="5"/>
    </row>
    <row r="3829" spans="3:3" x14ac:dyDescent="0.2">
      <c r="C3829" s="5"/>
    </row>
    <row r="3830" spans="3:3" x14ac:dyDescent="0.2">
      <c r="C3830" s="5"/>
    </row>
    <row r="3831" spans="3:3" x14ac:dyDescent="0.2">
      <c r="C3831" s="5"/>
    </row>
    <row r="3832" spans="3:3" x14ac:dyDescent="0.2">
      <c r="C3832" s="5"/>
    </row>
    <row r="3833" spans="3:3" x14ac:dyDescent="0.2">
      <c r="C3833" s="5"/>
    </row>
    <row r="3834" spans="3:3" x14ac:dyDescent="0.2">
      <c r="C3834" s="5"/>
    </row>
    <row r="3835" spans="3:3" x14ac:dyDescent="0.2">
      <c r="C3835" s="5"/>
    </row>
    <row r="3836" spans="3:3" x14ac:dyDescent="0.2">
      <c r="C3836" s="5"/>
    </row>
    <row r="3837" spans="3:3" x14ac:dyDescent="0.2">
      <c r="C3837" s="5"/>
    </row>
    <row r="3838" spans="3:3" x14ac:dyDescent="0.2">
      <c r="C3838" s="5"/>
    </row>
    <row r="3839" spans="3:3" x14ac:dyDescent="0.2">
      <c r="C3839" s="5"/>
    </row>
    <row r="3840" spans="3:3" x14ac:dyDescent="0.2">
      <c r="C3840" s="5"/>
    </row>
    <row r="3841" spans="3:3" x14ac:dyDescent="0.2">
      <c r="C3841" s="5"/>
    </row>
    <row r="3842" spans="3:3" x14ac:dyDescent="0.2">
      <c r="C3842" s="5"/>
    </row>
    <row r="3843" spans="3:3" x14ac:dyDescent="0.2">
      <c r="C3843" s="5"/>
    </row>
    <row r="3844" spans="3:3" x14ac:dyDescent="0.2">
      <c r="C3844" s="5"/>
    </row>
    <row r="3845" spans="3:3" x14ac:dyDescent="0.2">
      <c r="C3845" s="5"/>
    </row>
    <row r="3846" spans="3:3" x14ac:dyDescent="0.2">
      <c r="C3846" s="5"/>
    </row>
    <row r="3847" spans="3:3" x14ac:dyDescent="0.2">
      <c r="C3847" s="5"/>
    </row>
    <row r="3848" spans="3:3" x14ac:dyDescent="0.2">
      <c r="C3848" s="5"/>
    </row>
    <row r="3849" spans="3:3" x14ac:dyDescent="0.2">
      <c r="C3849" s="5"/>
    </row>
    <row r="3850" spans="3:3" x14ac:dyDescent="0.2">
      <c r="C3850" s="5"/>
    </row>
    <row r="3851" spans="3:3" x14ac:dyDescent="0.2">
      <c r="C3851" s="5"/>
    </row>
    <row r="3852" spans="3:3" x14ac:dyDescent="0.2">
      <c r="C3852" s="5"/>
    </row>
    <row r="3853" spans="3:3" x14ac:dyDescent="0.2">
      <c r="C3853" s="5"/>
    </row>
    <row r="3854" spans="3:3" x14ac:dyDescent="0.2">
      <c r="C3854" s="5"/>
    </row>
    <row r="3855" spans="3:3" x14ac:dyDescent="0.2">
      <c r="C3855" s="5"/>
    </row>
    <row r="3856" spans="3:3" x14ac:dyDescent="0.2">
      <c r="C3856" s="5"/>
    </row>
    <row r="3857" spans="3:3" x14ac:dyDescent="0.2">
      <c r="C3857" s="5"/>
    </row>
    <row r="3858" spans="3:3" x14ac:dyDescent="0.2">
      <c r="C3858" s="5"/>
    </row>
    <row r="3859" spans="3:3" x14ac:dyDescent="0.2">
      <c r="C3859" s="5"/>
    </row>
    <row r="3860" spans="3:3" x14ac:dyDescent="0.2">
      <c r="C3860" s="5"/>
    </row>
    <row r="3861" spans="3:3" x14ac:dyDescent="0.2">
      <c r="C3861" s="5"/>
    </row>
    <row r="3862" spans="3:3" x14ac:dyDescent="0.2">
      <c r="C3862" s="5"/>
    </row>
    <row r="3863" spans="3:3" x14ac:dyDescent="0.2">
      <c r="C3863" s="5"/>
    </row>
    <row r="3864" spans="3:3" x14ac:dyDescent="0.2">
      <c r="C3864" s="5"/>
    </row>
    <row r="3865" spans="3:3" x14ac:dyDescent="0.2">
      <c r="C3865" s="5"/>
    </row>
    <row r="3866" spans="3:3" x14ac:dyDescent="0.2">
      <c r="C3866" s="5"/>
    </row>
    <row r="3867" spans="3:3" x14ac:dyDescent="0.2">
      <c r="C3867" s="5"/>
    </row>
    <row r="3868" spans="3:3" x14ac:dyDescent="0.2">
      <c r="C3868" s="5"/>
    </row>
    <row r="3869" spans="3:3" x14ac:dyDescent="0.2">
      <c r="C3869" s="5"/>
    </row>
    <row r="3870" spans="3:3" x14ac:dyDescent="0.2">
      <c r="C3870" s="5"/>
    </row>
    <row r="3871" spans="3:3" x14ac:dyDescent="0.2">
      <c r="C3871" s="5"/>
    </row>
    <row r="3872" spans="3:3" x14ac:dyDescent="0.2">
      <c r="C3872" s="5"/>
    </row>
    <row r="3873" spans="3:3" x14ac:dyDescent="0.2">
      <c r="C3873" s="5"/>
    </row>
    <row r="3874" spans="3:3" x14ac:dyDescent="0.2">
      <c r="C3874" s="5"/>
    </row>
    <row r="3875" spans="3:3" x14ac:dyDescent="0.2">
      <c r="C3875" s="5"/>
    </row>
    <row r="3876" spans="3:3" x14ac:dyDescent="0.2">
      <c r="C3876" s="5"/>
    </row>
    <row r="3877" spans="3:3" x14ac:dyDescent="0.2">
      <c r="C3877" s="5"/>
    </row>
    <row r="3878" spans="3:3" x14ac:dyDescent="0.2">
      <c r="C3878" s="5"/>
    </row>
    <row r="3879" spans="3:3" x14ac:dyDescent="0.2">
      <c r="C3879" s="5"/>
    </row>
    <row r="3880" spans="3:3" x14ac:dyDescent="0.2">
      <c r="C3880" s="5"/>
    </row>
    <row r="3881" spans="3:3" x14ac:dyDescent="0.2">
      <c r="C3881" s="5"/>
    </row>
    <row r="3882" spans="3:3" x14ac:dyDescent="0.2">
      <c r="C3882" s="5"/>
    </row>
    <row r="3883" spans="3:3" x14ac:dyDescent="0.2">
      <c r="C3883" s="5"/>
    </row>
    <row r="3884" spans="3:3" x14ac:dyDescent="0.2">
      <c r="C3884" s="5"/>
    </row>
    <row r="3885" spans="3:3" x14ac:dyDescent="0.2">
      <c r="C3885" s="5"/>
    </row>
    <row r="3886" spans="3:3" x14ac:dyDescent="0.2">
      <c r="C3886" s="5"/>
    </row>
    <row r="3887" spans="3:3" x14ac:dyDescent="0.2">
      <c r="C3887" s="5"/>
    </row>
    <row r="3888" spans="3:3" x14ac:dyDescent="0.2">
      <c r="C3888" s="5"/>
    </row>
    <row r="3889" spans="3:3" x14ac:dyDescent="0.2">
      <c r="C3889" s="5"/>
    </row>
    <row r="3890" spans="3:3" x14ac:dyDescent="0.2">
      <c r="C3890" s="5"/>
    </row>
    <row r="3891" spans="3:3" x14ac:dyDescent="0.2">
      <c r="C3891" s="5"/>
    </row>
    <row r="3892" spans="3:3" x14ac:dyDescent="0.2">
      <c r="C3892" s="5"/>
    </row>
    <row r="3893" spans="3:3" x14ac:dyDescent="0.2">
      <c r="C3893" s="5"/>
    </row>
    <row r="3894" spans="3:3" x14ac:dyDescent="0.2">
      <c r="C3894" s="5"/>
    </row>
    <row r="3895" spans="3:3" x14ac:dyDescent="0.2">
      <c r="C3895" s="5"/>
    </row>
    <row r="3896" spans="3:3" x14ac:dyDescent="0.2">
      <c r="C3896" s="5"/>
    </row>
    <row r="3897" spans="3:3" x14ac:dyDescent="0.2">
      <c r="C3897" s="5"/>
    </row>
    <row r="3898" spans="3:3" x14ac:dyDescent="0.2">
      <c r="C3898" s="5"/>
    </row>
    <row r="3899" spans="3:3" x14ac:dyDescent="0.2">
      <c r="C3899" s="5"/>
    </row>
    <row r="3900" spans="3:3" x14ac:dyDescent="0.2">
      <c r="C3900" s="5"/>
    </row>
    <row r="3901" spans="3:3" x14ac:dyDescent="0.2">
      <c r="C3901" s="5"/>
    </row>
    <row r="3902" spans="3:3" x14ac:dyDescent="0.2">
      <c r="C3902" s="5"/>
    </row>
    <row r="3903" spans="3:3" x14ac:dyDescent="0.2">
      <c r="C3903" s="5"/>
    </row>
    <row r="3904" spans="3:3" x14ac:dyDescent="0.2">
      <c r="C3904" s="5"/>
    </row>
    <row r="3905" spans="3:3" x14ac:dyDescent="0.2">
      <c r="C3905" s="5"/>
    </row>
    <row r="3906" spans="3:3" x14ac:dyDescent="0.2">
      <c r="C3906" s="5"/>
    </row>
    <row r="3907" spans="3:3" x14ac:dyDescent="0.2">
      <c r="C3907" s="5"/>
    </row>
    <row r="3908" spans="3:3" x14ac:dyDescent="0.2">
      <c r="C3908" s="5"/>
    </row>
    <row r="3909" spans="3:3" x14ac:dyDescent="0.2">
      <c r="C3909" s="5"/>
    </row>
    <row r="3910" spans="3:3" x14ac:dyDescent="0.2">
      <c r="C3910" s="5"/>
    </row>
    <row r="3911" spans="3:3" x14ac:dyDescent="0.2">
      <c r="C3911" s="5"/>
    </row>
    <row r="3912" spans="3:3" x14ac:dyDescent="0.2">
      <c r="C3912" s="5"/>
    </row>
    <row r="3913" spans="3:3" x14ac:dyDescent="0.2">
      <c r="C3913" s="5"/>
    </row>
    <row r="3914" spans="3:3" x14ac:dyDescent="0.2">
      <c r="C3914" s="5"/>
    </row>
    <row r="3915" spans="3:3" x14ac:dyDescent="0.2">
      <c r="C3915" s="5"/>
    </row>
    <row r="3916" spans="3:3" x14ac:dyDescent="0.2">
      <c r="C3916" s="5"/>
    </row>
    <row r="3917" spans="3:3" x14ac:dyDescent="0.2">
      <c r="C3917" s="5"/>
    </row>
    <row r="3918" spans="3:3" x14ac:dyDescent="0.2">
      <c r="C3918" s="5"/>
    </row>
    <row r="3919" spans="3:3" x14ac:dyDescent="0.2">
      <c r="C3919" s="5"/>
    </row>
    <row r="3920" spans="3:3" x14ac:dyDescent="0.2">
      <c r="C3920" s="5"/>
    </row>
    <row r="3921" spans="3:3" x14ac:dyDescent="0.2">
      <c r="C3921" s="5"/>
    </row>
    <row r="3922" spans="3:3" x14ac:dyDescent="0.2">
      <c r="C3922" s="5"/>
    </row>
    <row r="3923" spans="3:3" x14ac:dyDescent="0.2">
      <c r="C3923" s="5"/>
    </row>
    <row r="3924" spans="3:3" x14ac:dyDescent="0.2">
      <c r="C3924" s="5"/>
    </row>
    <row r="3925" spans="3:3" x14ac:dyDescent="0.2">
      <c r="C3925" s="5"/>
    </row>
    <row r="3926" spans="3:3" x14ac:dyDescent="0.2">
      <c r="C3926" s="5"/>
    </row>
    <row r="3927" spans="3:3" x14ac:dyDescent="0.2">
      <c r="C3927" s="5"/>
    </row>
    <row r="3928" spans="3:3" x14ac:dyDescent="0.2">
      <c r="C3928" s="5"/>
    </row>
    <row r="3929" spans="3:3" x14ac:dyDescent="0.2">
      <c r="C3929" s="5"/>
    </row>
    <row r="3930" spans="3:3" x14ac:dyDescent="0.2">
      <c r="C3930" s="5"/>
    </row>
    <row r="3931" spans="3:3" x14ac:dyDescent="0.2">
      <c r="C3931" s="5"/>
    </row>
    <row r="3932" spans="3:3" x14ac:dyDescent="0.2">
      <c r="C3932" s="5"/>
    </row>
    <row r="3933" spans="3:3" x14ac:dyDescent="0.2">
      <c r="C3933" s="5"/>
    </row>
    <row r="3934" spans="3:3" x14ac:dyDescent="0.2">
      <c r="C3934" s="5"/>
    </row>
    <row r="3935" spans="3:3" x14ac:dyDescent="0.2">
      <c r="C3935" s="5"/>
    </row>
    <row r="3936" spans="3:3" x14ac:dyDescent="0.2">
      <c r="C3936" s="5"/>
    </row>
    <row r="3937" spans="3:3" x14ac:dyDescent="0.2">
      <c r="C3937" s="5"/>
    </row>
    <row r="3938" spans="3:3" x14ac:dyDescent="0.2">
      <c r="C3938" s="5"/>
    </row>
    <row r="3939" spans="3:3" x14ac:dyDescent="0.2">
      <c r="C3939" s="5"/>
    </row>
    <row r="3940" spans="3:3" x14ac:dyDescent="0.2">
      <c r="C3940" s="5"/>
    </row>
    <row r="3941" spans="3:3" x14ac:dyDescent="0.2">
      <c r="C3941" s="5"/>
    </row>
    <row r="3942" spans="3:3" x14ac:dyDescent="0.2">
      <c r="C3942" s="5"/>
    </row>
    <row r="3943" spans="3:3" x14ac:dyDescent="0.2">
      <c r="C3943" s="5"/>
    </row>
    <row r="3944" spans="3:3" x14ac:dyDescent="0.2">
      <c r="C3944" s="5"/>
    </row>
    <row r="3945" spans="3:3" x14ac:dyDescent="0.2">
      <c r="C3945" s="5"/>
    </row>
    <row r="3946" spans="3:3" x14ac:dyDescent="0.2">
      <c r="C3946" s="5"/>
    </row>
    <row r="3947" spans="3:3" x14ac:dyDescent="0.2">
      <c r="C3947" s="5"/>
    </row>
    <row r="3948" spans="3:3" x14ac:dyDescent="0.2">
      <c r="C3948" s="5"/>
    </row>
    <row r="3949" spans="3:3" x14ac:dyDescent="0.2">
      <c r="C3949" s="5"/>
    </row>
    <row r="3950" spans="3:3" x14ac:dyDescent="0.2">
      <c r="C3950" s="5"/>
    </row>
    <row r="3951" spans="3:3" x14ac:dyDescent="0.2">
      <c r="C3951" s="5"/>
    </row>
    <row r="3952" spans="3:3" x14ac:dyDescent="0.2">
      <c r="C3952" s="5"/>
    </row>
    <row r="3953" spans="3:3" x14ac:dyDescent="0.2">
      <c r="C3953" s="5"/>
    </row>
    <row r="3954" spans="3:3" x14ac:dyDescent="0.2">
      <c r="C3954" s="5"/>
    </row>
    <row r="3955" spans="3:3" x14ac:dyDescent="0.2">
      <c r="C3955" s="5"/>
    </row>
    <row r="3956" spans="3:3" x14ac:dyDescent="0.2">
      <c r="C3956" s="5"/>
    </row>
    <row r="3957" spans="3:3" x14ac:dyDescent="0.2">
      <c r="C3957" s="5"/>
    </row>
    <row r="3958" spans="3:3" x14ac:dyDescent="0.2">
      <c r="C3958" s="5"/>
    </row>
    <row r="3959" spans="3:3" x14ac:dyDescent="0.2">
      <c r="C3959" s="5"/>
    </row>
    <row r="3960" spans="3:3" x14ac:dyDescent="0.2">
      <c r="C3960" s="5"/>
    </row>
    <row r="3961" spans="3:3" x14ac:dyDescent="0.2">
      <c r="C3961" s="5"/>
    </row>
    <row r="3962" spans="3:3" x14ac:dyDescent="0.2">
      <c r="C3962" s="5"/>
    </row>
    <row r="3963" spans="3:3" x14ac:dyDescent="0.2">
      <c r="C3963" s="5"/>
    </row>
    <row r="3964" spans="3:3" x14ac:dyDescent="0.2">
      <c r="C3964" s="5"/>
    </row>
    <row r="3965" spans="3:3" x14ac:dyDescent="0.2">
      <c r="C3965" s="5"/>
    </row>
    <row r="3966" spans="3:3" x14ac:dyDescent="0.2">
      <c r="C3966" s="5"/>
    </row>
    <row r="3967" spans="3:3" x14ac:dyDescent="0.2">
      <c r="C3967" s="5"/>
    </row>
    <row r="3968" spans="3:3" x14ac:dyDescent="0.2">
      <c r="C3968" s="5"/>
    </row>
    <row r="3969" spans="3:3" x14ac:dyDescent="0.2">
      <c r="C3969" s="5"/>
    </row>
    <row r="3970" spans="3:3" x14ac:dyDescent="0.2">
      <c r="C3970" s="5"/>
    </row>
    <row r="3971" spans="3:3" x14ac:dyDescent="0.2">
      <c r="C3971" s="5"/>
    </row>
    <row r="3972" spans="3:3" x14ac:dyDescent="0.2">
      <c r="C3972" s="5"/>
    </row>
    <row r="3973" spans="3:3" x14ac:dyDescent="0.2">
      <c r="C3973" s="5"/>
    </row>
    <row r="3974" spans="3:3" x14ac:dyDescent="0.2">
      <c r="C3974" s="5"/>
    </row>
    <row r="3975" spans="3:3" x14ac:dyDescent="0.2">
      <c r="C3975" s="5"/>
    </row>
    <row r="3976" spans="3:3" x14ac:dyDescent="0.2">
      <c r="C3976" s="5"/>
    </row>
    <row r="3977" spans="3:3" x14ac:dyDescent="0.2">
      <c r="C3977" s="5"/>
    </row>
    <row r="3978" spans="3:3" x14ac:dyDescent="0.2">
      <c r="C3978" s="5"/>
    </row>
    <row r="3979" spans="3:3" x14ac:dyDescent="0.2">
      <c r="C3979" s="5"/>
    </row>
    <row r="3980" spans="3:3" x14ac:dyDescent="0.2">
      <c r="C3980" s="5"/>
    </row>
    <row r="3981" spans="3:3" x14ac:dyDescent="0.2">
      <c r="C3981" s="5"/>
    </row>
    <row r="3982" spans="3:3" x14ac:dyDescent="0.2">
      <c r="C3982" s="5"/>
    </row>
    <row r="3983" spans="3:3" x14ac:dyDescent="0.2">
      <c r="C3983" s="5"/>
    </row>
    <row r="3984" spans="3:3" x14ac:dyDescent="0.2">
      <c r="C3984" s="5"/>
    </row>
    <row r="3985" spans="3:3" x14ac:dyDescent="0.2">
      <c r="C3985" s="5"/>
    </row>
    <row r="3986" spans="3:3" x14ac:dyDescent="0.2">
      <c r="C3986" s="5"/>
    </row>
    <row r="3987" spans="3:3" x14ac:dyDescent="0.2">
      <c r="C3987" s="5"/>
    </row>
    <row r="3988" spans="3:3" x14ac:dyDescent="0.2">
      <c r="C3988" s="5"/>
    </row>
    <row r="3989" spans="3:3" x14ac:dyDescent="0.2">
      <c r="C3989" s="5"/>
    </row>
    <row r="3990" spans="3:3" x14ac:dyDescent="0.2">
      <c r="C3990" s="5"/>
    </row>
    <row r="3991" spans="3:3" x14ac:dyDescent="0.2">
      <c r="C3991" s="5"/>
    </row>
    <row r="3992" spans="3:3" x14ac:dyDescent="0.2">
      <c r="C3992" s="5"/>
    </row>
    <row r="3993" spans="3:3" x14ac:dyDescent="0.2">
      <c r="C3993" s="5"/>
    </row>
    <row r="3994" spans="3:3" x14ac:dyDescent="0.2">
      <c r="C3994" s="5"/>
    </row>
    <row r="3995" spans="3:3" x14ac:dyDescent="0.2">
      <c r="C3995" s="5"/>
    </row>
    <row r="3996" spans="3:3" x14ac:dyDescent="0.2">
      <c r="C3996" s="5"/>
    </row>
    <row r="3997" spans="3:3" x14ac:dyDescent="0.2">
      <c r="C3997" s="5"/>
    </row>
    <row r="3998" spans="3:3" x14ac:dyDescent="0.2">
      <c r="C3998" s="5"/>
    </row>
    <row r="3999" spans="3:3" x14ac:dyDescent="0.2">
      <c r="C3999" s="5"/>
    </row>
    <row r="4000" spans="3:3" x14ac:dyDescent="0.2">
      <c r="C4000" s="5"/>
    </row>
    <row r="4001" spans="3:3" x14ac:dyDescent="0.2">
      <c r="C4001" s="5"/>
    </row>
    <row r="4002" spans="3:3" x14ac:dyDescent="0.2">
      <c r="C4002" s="5"/>
    </row>
    <row r="4003" spans="3:3" x14ac:dyDescent="0.2">
      <c r="C4003" s="5"/>
    </row>
    <row r="4004" spans="3:3" x14ac:dyDescent="0.2">
      <c r="C4004" s="5"/>
    </row>
    <row r="4005" spans="3:3" x14ac:dyDescent="0.2">
      <c r="C4005" s="5"/>
    </row>
    <row r="4006" spans="3:3" x14ac:dyDescent="0.2">
      <c r="C4006" s="5"/>
    </row>
    <row r="4007" spans="3:3" x14ac:dyDescent="0.2">
      <c r="C4007" s="5"/>
    </row>
    <row r="4008" spans="3:3" x14ac:dyDescent="0.2">
      <c r="C4008" s="5"/>
    </row>
    <row r="4009" spans="3:3" x14ac:dyDescent="0.2">
      <c r="C4009" s="5"/>
    </row>
    <row r="4010" spans="3:3" x14ac:dyDescent="0.2">
      <c r="C4010" s="5"/>
    </row>
    <row r="4011" spans="3:3" x14ac:dyDescent="0.2">
      <c r="C4011" s="5"/>
    </row>
    <row r="4012" spans="3:3" x14ac:dyDescent="0.2">
      <c r="C4012" s="5"/>
    </row>
    <row r="4013" spans="3:3" x14ac:dyDescent="0.2">
      <c r="C4013" s="5"/>
    </row>
    <row r="4014" spans="3:3" x14ac:dyDescent="0.2">
      <c r="C4014" s="5"/>
    </row>
    <row r="4015" spans="3:3" x14ac:dyDescent="0.2">
      <c r="C4015" s="5"/>
    </row>
    <row r="4016" spans="3:3" x14ac:dyDescent="0.2">
      <c r="C4016" s="5"/>
    </row>
    <row r="4017" spans="3:3" x14ac:dyDescent="0.2">
      <c r="C4017" s="5"/>
    </row>
    <row r="4018" spans="3:3" x14ac:dyDescent="0.2">
      <c r="C4018" s="5"/>
    </row>
    <row r="4019" spans="3:3" x14ac:dyDescent="0.2">
      <c r="C4019" s="5"/>
    </row>
    <row r="4020" spans="3:3" x14ac:dyDescent="0.2">
      <c r="C4020" s="5"/>
    </row>
    <row r="4021" spans="3:3" x14ac:dyDescent="0.2">
      <c r="C4021" s="5"/>
    </row>
    <row r="4022" spans="3:3" x14ac:dyDescent="0.2">
      <c r="C4022" s="5"/>
    </row>
    <row r="4023" spans="3:3" x14ac:dyDescent="0.2">
      <c r="C4023" s="5"/>
    </row>
    <row r="4024" spans="3:3" x14ac:dyDescent="0.2">
      <c r="C4024" s="5"/>
    </row>
    <row r="4025" spans="3:3" x14ac:dyDescent="0.2">
      <c r="C4025" s="5"/>
    </row>
    <row r="4026" spans="3:3" x14ac:dyDescent="0.2">
      <c r="C4026" s="5"/>
    </row>
    <row r="4027" spans="3:3" x14ac:dyDescent="0.2">
      <c r="C4027" s="5"/>
    </row>
    <row r="4028" spans="3:3" x14ac:dyDescent="0.2">
      <c r="C4028" s="5"/>
    </row>
    <row r="4029" spans="3:3" x14ac:dyDescent="0.2">
      <c r="C4029" s="5"/>
    </row>
    <row r="4030" spans="3:3" x14ac:dyDescent="0.2">
      <c r="C4030" s="5"/>
    </row>
    <row r="4031" spans="3:3" x14ac:dyDescent="0.2">
      <c r="C4031" s="5"/>
    </row>
    <row r="4032" spans="3:3" x14ac:dyDescent="0.2">
      <c r="C4032" s="5"/>
    </row>
    <row r="4033" spans="3:3" x14ac:dyDescent="0.2">
      <c r="C4033" s="5"/>
    </row>
    <row r="4034" spans="3:3" x14ac:dyDescent="0.2">
      <c r="C4034" s="5"/>
    </row>
    <row r="4035" spans="3:3" x14ac:dyDescent="0.2">
      <c r="C4035" s="5"/>
    </row>
    <row r="12001" spans="1:169" x14ac:dyDescent="0.2">
      <c r="A12001">
        <f t="array" ref="A12001:CM12001">_xll.GDOT_QREFactorisation_Cols(KUR8000:KYD8090)</f>
        <v>1</v>
      </c>
      <c r="B12001">
        <v>2</v>
      </c>
      <c r="C12001">
        <v>3</v>
      </c>
      <c r="D12001">
        <v>4</v>
      </c>
      <c r="E12001">
        <v>5</v>
      </c>
      <c r="F12001">
        <v>6</v>
      </c>
      <c r="G12001">
        <v>7</v>
      </c>
      <c r="H12001">
        <v>8</v>
      </c>
      <c r="I12001">
        <v>9</v>
      </c>
      <c r="J12001">
        <v>10</v>
      </c>
      <c r="K12001">
        <v>11</v>
      </c>
      <c r="L12001">
        <v>12</v>
      </c>
      <c r="M12001">
        <v>13</v>
      </c>
      <c r="N12001">
        <v>14</v>
      </c>
      <c r="O12001">
        <v>15</v>
      </c>
      <c r="P12001">
        <v>16</v>
      </c>
      <c r="Q12001">
        <v>17</v>
      </c>
      <c r="R12001">
        <v>18</v>
      </c>
      <c r="S12001">
        <v>19</v>
      </c>
      <c r="T12001">
        <v>20</v>
      </c>
      <c r="U12001">
        <v>21</v>
      </c>
      <c r="V12001">
        <v>22</v>
      </c>
      <c r="W12001">
        <v>23</v>
      </c>
      <c r="X12001">
        <v>24</v>
      </c>
      <c r="Y12001">
        <v>25</v>
      </c>
      <c r="Z12001">
        <v>26</v>
      </c>
      <c r="AA12001">
        <v>27</v>
      </c>
      <c r="AB12001">
        <v>28</v>
      </c>
      <c r="AC12001">
        <v>29</v>
      </c>
      <c r="AD12001">
        <v>30</v>
      </c>
      <c r="AE12001">
        <v>31</v>
      </c>
      <c r="AF12001">
        <v>32</v>
      </c>
      <c r="AG12001">
        <v>33</v>
      </c>
      <c r="AH12001">
        <v>34</v>
      </c>
      <c r="AI12001">
        <v>35</v>
      </c>
      <c r="AJ12001">
        <v>36</v>
      </c>
      <c r="AK12001">
        <v>37</v>
      </c>
      <c r="AL12001">
        <v>38</v>
      </c>
      <c r="AM12001">
        <v>39</v>
      </c>
      <c r="AN12001">
        <v>40</v>
      </c>
      <c r="AO12001">
        <v>41</v>
      </c>
      <c r="AP12001">
        <v>42</v>
      </c>
      <c r="AQ12001">
        <v>43</v>
      </c>
      <c r="AR12001">
        <v>44</v>
      </c>
      <c r="AS12001">
        <v>45</v>
      </c>
      <c r="AT12001">
        <v>46</v>
      </c>
      <c r="AU12001">
        <v>47</v>
      </c>
      <c r="AV12001">
        <v>48</v>
      </c>
      <c r="AW12001">
        <v>49</v>
      </c>
      <c r="AX12001">
        <v>50</v>
      </c>
      <c r="AY12001">
        <v>51</v>
      </c>
      <c r="AZ12001">
        <v>52</v>
      </c>
      <c r="BA12001">
        <v>53</v>
      </c>
      <c r="BB12001">
        <v>54</v>
      </c>
      <c r="BC12001">
        <v>55</v>
      </c>
      <c r="BD12001">
        <v>56</v>
      </c>
      <c r="BE12001">
        <v>57</v>
      </c>
      <c r="BF12001">
        <v>58</v>
      </c>
      <c r="BG12001">
        <v>59</v>
      </c>
      <c r="BH12001">
        <v>60</v>
      </c>
      <c r="BI12001">
        <v>61</v>
      </c>
      <c r="BJ12001">
        <v>62</v>
      </c>
      <c r="BK12001">
        <v>63</v>
      </c>
      <c r="BL12001">
        <v>64</v>
      </c>
      <c r="BM12001">
        <v>65</v>
      </c>
      <c r="BN12001">
        <v>66</v>
      </c>
      <c r="BO12001">
        <v>67</v>
      </c>
      <c r="BP12001">
        <v>68</v>
      </c>
      <c r="BQ12001">
        <v>69</v>
      </c>
      <c r="BR12001">
        <v>70</v>
      </c>
      <c r="BS12001">
        <v>71</v>
      </c>
      <c r="BT12001">
        <v>72</v>
      </c>
      <c r="BU12001">
        <v>73</v>
      </c>
      <c r="BV12001">
        <v>74</v>
      </c>
      <c r="BW12001">
        <v>75</v>
      </c>
      <c r="BX12001">
        <v>76</v>
      </c>
      <c r="BY12001">
        <v>77</v>
      </c>
      <c r="BZ12001">
        <v>78</v>
      </c>
      <c r="CA12001">
        <v>79</v>
      </c>
      <c r="CB12001">
        <v>80</v>
      </c>
      <c r="CC12001">
        <v>81</v>
      </c>
      <c r="CD12001">
        <v>82</v>
      </c>
      <c r="CE12001">
        <v>83</v>
      </c>
      <c r="CF12001">
        <v>84</v>
      </c>
      <c r="CG12001">
        <v>85</v>
      </c>
      <c r="CH12001">
        <v>86</v>
      </c>
      <c r="CI12001">
        <v>87</v>
      </c>
      <c r="CJ12001">
        <v>88</v>
      </c>
      <c r="CK12001">
        <v>89</v>
      </c>
      <c r="CL12001">
        <v>90</v>
      </c>
      <c r="CM12001">
        <v>91</v>
      </c>
    </row>
    <row r="12002" spans="1:169" x14ac:dyDescent="0.2">
      <c r="A12002">
        <f t="array" ref="A12002:EF12002">_xll.GDOT_Get_ABCD_to_CVindex_ON()</f>
        <v>0</v>
      </c>
      <c r="B12002">
        <v>1</v>
      </c>
      <c r="C12002">
        <v>2</v>
      </c>
      <c r="D12002">
        <v>3</v>
      </c>
      <c r="E12002">
        <v>4</v>
      </c>
      <c r="F12002">
        <v>5</v>
      </c>
      <c r="G12002">
        <v>6</v>
      </c>
      <c r="H12002">
        <v>26</v>
      </c>
      <c r="I12002">
        <v>27</v>
      </c>
      <c r="J12002">
        <v>28</v>
      </c>
      <c r="K12002">
        <v>32</v>
      </c>
      <c r="L12002">
        <v>33</v>
      </c>
      <c r="M12002">
        <v>34</v>
      </c>
      <c r="N12002">
        <v>35</v>
      </c>
      <c r="O12002">
        <v>36</v>
      </c>
      <c r="P12002">
        <v>37</v>
      </c>
      <c r="Q12002">
        <v>38</v>
      </c>
      <c r="R12002">
        <v>39</v>
      </c>
      <c r="S12002">
        <v>40</v>
      </c>
      <c r="T12002">
        <v>41</v>
      </c>
      <c r="U12002">
        <v>42</v>
      </c>
      <c r="V12002">
        <v>43</v>
      </c>
      <c r="W12002">
        <v>44</v>
      </c>
      <c r="X12002">
        <v>45</v>
      </c>
      <c r="Y12002">
        <v>46</v>
      </c>
      <c r="Z12002">
        <v>47</v>
      </c>
      <c r="AA12002">
        <v>48</v>
      </c>
      <c r="AB12002">
        <v>49</v>
      </c>
      <c r="AC12002">
        <v>50</v>
      </c>
      <c r="AD12002">
        <v>51</v>
      </c>
      <c r="AE12002">
        <v>52</v>
      </c>
      <c r="AF12002">
        <v>53</v>
      </c>
      <c r="AG12002">
        <v>54</v>
      </c>
      <c r="AH12002">
        <v>55</v>
      </c>
      <c r="AI12002">
        <v>56</v>
      </c>
      <c r="AJ12002">
        <v>57</v>
      </c>
      <c r="AK12002">
        <v>58</v>
      </c>
      <c r="AL12002">
        <v>59</v>
      </c>
      <c r="AM12002">
        <v>60</v>
      </c>
      <c r="AN12002">
        <v>61</v>
      </c>
      <c r="AO12002">
        <v>62</v>
      </c>
      <c r="AP12002">
        <v>63</v>
      </c>
      <c r="AQ12002">
        <v>64</v>
      </c>
      <c r="AR12002">
        <v>65</v>
      </c>
      <c r="AS12002">
        <v>66</v>
      </c>
      <c r="AT12002">
        <v>67</v>
      </c>
      <c r="AU12002">
        <v>81</v>
      </c>
      <c r="AV12002">
        <v>82</v>
      </c>
      <c r="AW12002">
        <v>83</v>
      </c>
      <c r="AX12002">
        <v>84</v>
      </c>
      <c r="AY12002">
        <v>85</v>
      </c>
      <c r="AZ12002">
        <v>86</v>
      </c>
      <c r="BA12002">
        <v>87</v>
      </c>
      <c r="BB12002">
        <v>88</v>
      </c>
      <c r="BC12002">
        <v>89</v>
      </c>
      <c r="BD12002">
        <v>90</v>
      </c>
      <c r="BE12002">
        <v>91</v>
      </c>
      <c r="BF12002">
        <v>92</v>
      </c>
      <c r="BG12002">
        <v>93</v>
      </c>
      <c r="BH12002">
        <v>94</v>
      </c>
      <c r="BI12002">
        <v>95</v>
      </c>
      <c r="BJ12002">
        <v>96</v>
      </c>
      <c r="BK12002">
        <v>97</v>
      </c>
      <c r="BL12002">
        <v>98</v>
      </c>
      <c r="BM12002">
        <v>99</v>
      </c>
      <c r="BN12002">
        <v>100</v>
      </c>
      <c r="BO12002">
        <v>101</v>
      </c>
      <c r="BP12002">
        <v>102</v>
      </c>
      <c r="BQ12002">
        <v>108</v>
      </c>
      <c r="BR12002">
        <v>109</v>
      </c>
      <c r="BS12002">
        <v>110</v>
      </c>
      <c r="BT12002">
        <v>111</v>
      </c>
      <c r="BU12002">
        <v>112</v>
      </c>
      <c r="BV12002">
        <v>113</v>
      </c>
      <c r="BW12002">
        <v>114</v>
      </c>
      <c r="BX12002">
        <v>115</v>
      </c>
      <c r="BY12002">
        <v>116</v>
      </c>
      <c r="BZ12002">
        <v>117</v>
      </c>
      <c r="CA12002">
        <v>118</v>
      </c>
      <c r="CB12002">
        <v>119</v>
      </c>
      <c r="CC12002">
        <v>120</v>
      </c>
      <c r="CD12002">
        <v>126</v>
      </c>
      <c r="CE12002">
        <v>127</v>
      </c>
      <c r="CF12002">
        <v>128</v>
      </c>
      <c r="CG12002">
        <v>129</v>
      </c>
      <c r="CH12002">
        <v>130</v>
      </c>
      <c r="CI12002">
        <v>131</v>
      </c>
      <c r="CJ12002">
        <v>132</v>
      </c>
      <c r="CK12002">
        <v>133</v>
      </c>
      <c r="CL12002">
        <v>134</v>
      </c>
      <c r="CM12002">
        <v>135</v>
      </c>
      <c r="CN12002">
        <v>12</v>
      </c>
      <c r="CO12002">
        <v>13</v>
      </c>
      <c r="CP12002">
        <v>14</v>
      </c>
      <c r="CQ12002">
        <v>15</v>
      </c>
      <c r="CR12002">
        <v>16</v>
      </c>
      <c r="CS12002">
        <v>17</v>
      </c>
      <c r="CT12002">
        <v>18</v>
      </c>
      <c r="CU12002">
        <v>19</v>
      </c>
      <c r="CV12002">
        <v>20</v>
      </c>
      <c r="CW12002">
        <v>21</v>
      </c>
      <c r="CX12002">
        <v>22</v>
      </c>
      <c r="CY12002">
        <v>23</v>
      </c>
      <c r="CZ12002">
        <v>103</v>
      </c>
      <c r="DA12002">
        <v>104</v>
      </c>
      <c r="DB12002">
        <v>105</v>
      </c>
      <c r="DC12002">
        <v>106</v>
      </c>
      <c r="DD12002">
        <v>107</v>
      </c>
      <c r="DE12002">
        <v>68</v>
      </c>
      <c r="DF12002">
        <v>69</v>
      </c>
      <c r="DG12002">
        <v>70</v>
      </c>
      <c r="DH12002">
        <v>71</v>
      </c>
      <c r="DI12002">
        <v>72</v>
      </c>
      <c r="DJ12002">
        <v>73</v>
      </c>
      <c r="DK12002">
        <v>74</v>
      </c>
      <c r="DL12002">
        <v>75</v>
      </c>
      <c r="DM12002">
        <v>76</v>
      </c>
      <c r="DN12002">
        <v>77</v>
      </c>
      <c r="DO12002">
        <v>78</v>
      </c>
      <c r="DP12002">
        <v>79</v>
      </c>
      <c r="DQ12002">
        <v>80</v>
      </c>
      <c r="DR12002">
        <v>121</v>
      </c>
      <c r="DS12002">
        <v>122</v>
      </c>
      <c r="DT12002">
        <v>123</v>
      </c>
      <c r="DU12002">
        <v>124</v>
      </c>
      <c r="DV12002">
        <v>125</v>
      </c>
      <c r="DW12002">
        <v>24</v>
      </c>
      <c r="DX12002">
        <v>25</v>
      </c>
      <c r="DY12002">
        <v>7</v>
      </c>
      <c r="DZ12002">
        <v>8</v>
      </c>
      <c r="EA12002">
        <v>9</v>
      </c>
      <c r="EB12002">
        <v>29</v>
      </c>
      <c r="EC12002">
        <v>30</v>
      </c>
      <c r="ED12002">
        <v>31</v>
      </c>
      <c r="EE12002">
        <v>10</v>
      </c>
      <c r="EF12002">
        <v>11</v>
      </c>
    </row>
    <row r="12003" spans="1:169" x14ac:dyDescent="0.2">
      <c r="A12003">
        <f t="array" ref="A12003:FM12003">_xll.GDOT_Get_ABCD_to_MVindex_ON()</f>
        <v>3</v>
      </c>
      <c r="B12003">
        <v>7</v>
      </c>
      <c r="C12003">
        <v>8</v>
      </c>
      <c r="D12003">
        <v>9</v>
      </c>
      <c r="E12003">
        <v>10</v>
      </c>
      <c r="F12003">
        <v>11</v>
      </c>
      <c r="G12003">
        <v>12</v>
      </c>
      <c r="H12003">
        <v>13</v>
      </c>
      <c r="I12003">
        <v>14</v>
      </c>
      <c r="J12003">
        <v>15</v>
      </c>
      <c r="K12003">
        <v>16</v>
      </c>
      <c r="L12003">
        <v>17</v>
      </c>
      <c r="M12003">
        <v>18</v>
      </c>
      <c r="N12003">
        <v>19</v>
      </c>
      <c r="O12003">
        <v>20</v>
      </c>
      <c r="P12003">
        <v>21</v>
      </c>
      <c r="Q12003">
        <v>22</v>
      </c>
      <c r="R12003">
        <v>23</v>
      </c>
      <c r="S12003">
        <v>24</v>
      </c>
      <c r="T12003">
        <v>25</v>
      </c>
      <c r="U12003">
        <v>26</v>
      </c>
      <c r="V12003">
        <v>27</v>
      </c>
      <c r="W12003">
        <v>28</v>
      </c>
      <c r="X12003">
        <v>29</v>
      </c>
      <c r="Y12003">
        <v>30</v>
      </c>
      <c r="Z12003">
        <v>31</v>
      </c>
      <c r="AA12003">
        <v>32</v>
      </c>
      <c r="AB12003">
        <v>47</v>
      </c>
      <c r="AC12003">
        <v>48</v>
      </c>
      <c r="AD12003">
        <v>49</v>
      </c>
      <c r="AE12003">
        <v>50</v>
      </c>
      <c r="AF12003">
        <v>51</v>
      </c>
      <c r="AG12003">
        <v>52</v>
      </c>
      <c r="AH12003">
        <v>53</v>
      </c>
      <c r="AI12003">
        <v>54</v>
      </c>
      <c r="AJ12003">
        <v>55</v>
      </c>
      <c r="AK12003">
        <v>56</v>
      </c>
      <c r="AL12003">
        <v>58</v>
      </c>
      <c r="AM12003">
        <v>66</v>
      </c>
      <c r="AN12003">
        <v>67</v>
      </c>
      <c r="AO12003">
        <v>73</v>
      </c>
      <c r="AP12003">
        <v>74</v>
      </c>
      <c r="AQ12003">
        <v>75</v>
      </c>
      <c r="AR12003">
        <v>76</v>
      </c>
      <c r="AS12003">
        <v>77</v>
      </c>
      <c r="AT12003">
        <v>78</v>
      </c>
      <c r="AU12003">
        <v>79</v>
      </c>
      <c r="AV12003">
        <v>81</v>
      </c>
      <c r="AW12003">
        <v>82</v>
      </c>
      <c r="AX12003">
        <v>83</v>
      </c>
      <c r="AY12003">
        <v>84</v>
      </c>
      <c r="AZ12003">
        <v>85</v>
      </c>
      <c r="BA12003">
        <v>86</v>
      </c>
      <c r="BB12003">
        <v>95</v>
      </c>
      <c r="BC12003">
        <v>96</v>
      </c>
      <c r="BD12003">
        <v>97</v>
      </c>
      <c r="BE12003">
        <v>98</v>
      </c>
      <c r="BF12003">
        <v>99</v>
      </c>
      <c r="BG12003">
        <v>100</v>
      </c>
      <c r="BH12003">
        <v>101</v>
      </c>
      <c r="BI12003">
        <v>102</v>
      </c>
      <c r="BJ12003">
        <v>103</v>
      </c>
      <c r="BK12003">
        <v>104</v>
      </c>
      <c r="BL12003">
        <v>105</v>
      </c>
      <c r="BM12003">
        <v>106</v>
      </c>
      <c r="BN12003">
        <v>107</v>
      </c>
      <c r="BO12003">
        <v>108</v>
      </c>
      <c r="BP12003">
        <v>109</v>
      </c>
      <c r="BQ12003">
        <v>110</v>
      </c>
      <c r="BR12003">
        <v>113</v>
      </c>
      <c r="BS12003">
        <v>115</v>
      </c>
      <c r="BT12003">
        <v>116</v>
      </c>
      <c r="BU12003">
        <v>117</v>
      </c>
      <c r="BV12003">
        <v>118</v>
      </c>
      <c r="BW12003">
        <v>122</v>
      </c>
      <c r="BX12003">
        <v>125</v>
      </c>
      <c r="BY12003">
        <v>134</v>
      </c>
      <c r="BZ12003">
        <v>135</v>
      </c>
      <c r="CA12003">
        <v>136</v>
      </c>
      <c r="CB12003">
        <v>137</v>
      </c>
      <c r="CC12003">
        <v>138</v>
      </c>
      <c r="CD12003">
        <v>139</v>
      </c>
      <c r="CE12003">
        <v>142</v>
      </c>
      <c r="CF12003">
        <v>144</v>
      </c>
      <c r="CG12003">
        <v>145</v>
      </c>
      <c r="CH12003">
        <v>146</v>
      </c>
      <c r="CI12003">
        <v>147</v>
      </c>
      <c r="CJ12003">
        <v>153</v>
      </c>
      <c r="CK12003">
        <v>156</v>
      </c>
      <c r="CL12003">
        <v>159</v>
      </c>
      <c r="CM12003">
        <v>162</v>
      </c>
      <c r="CN12003">
        <v>91</v>
      </c>
      <c r="CO12003">
        <v>92</v>
      </c>
      <c r="CP12003">
        <v>93</v>
      </c>
      <c r="CQ12003">
        <v>94</v>
      </c>
      <c r="CR12003">
        <v>33</v>
      </c>
      <c r="CS12003">
        <v>34</v>
      </c>
      <c r="CT12003">
        <v>35</v>
      </c>
      <c r="CU12003">
        <v>36</v>
      </c>
      <c r="CV12003">
        <v>57</v>
      </c>
      <c r="CW12003">
        <v>37</v>
      </c>
      <c r="CX12003">
        <v>59</v>
      </c>
      <c r="CY12003">
        <v>60</v>
      </c>
      <c r="CZ12003">
        <v>61</v>
      </c>
      <c r="DA12003">
        <v>62</v>
      </c>
      <c r="DB12003">
        <v>63</v>
      </c>
      <c r="DC12003">
        <v>64</v>
      </c>
      <c r="DD12003">
        <v>65</v>
      </c>
      <c r="DE12003">
        <v>38</v>
      </c>
      <c r="DF12003">
        <v>39</v>
      </c>
      <c r="DG12003">
        <v>68</v>
      </c>
      <c r="DH12003">
        <v>111</v>
      </c>
      <c r="DI12003">
        <v>112</v>
      </c>
      <c r="DJ12003">
        <v>69</v>
      </c>
      <c r="DK12003">
        <v>114</v>
      </c>
      <c r="DL12003">
        <v>70</v>
      </c>
      <c r="DM12003">
        <v>71</v>
      </c>
      <c r="DN12003">
        <v>72</v>
      </c>
      <c r="DO12003">
        <v>40</v>
      </c>
      <c r="DP12003">
        <v>119</v>
      </c>
      <c r="DQ12003">
        <v>120</v>
      </c>
      <c r="DR12003">
        <v>121</v>
      </c>
      <c r="DS12003">
        <v>41</v>
      </c>
      <c r="DT12003">
        <v>123</v>
      </c>
      <c r="DU12003">
        <v>124</v>
      </c>
      <c r="DV12003">
        <v>42</v>
      </c>
      <c r="DW12003">
        <v>126</v>
      </c>
      <c r="DX12003">
        <v>127</v>
      </c>
      <c r="DY12003">
        <v>128</v>
      </c>
      <c r="DZ12003">
        <v>129</v>
      </c>
      <c r="EA12003">
        <v>130</v>
      </c>
      <c r="EB12003">
        <v>131</v>
      </c>
      <c r="EC12003">
        <v>132</v>
      </c>
      <c r="ED12003">
        <v>133</v>
      </c>
      <c r="EE12003">
        <v>43</v>
      </c>
      <c r="EF12003">
        <v>44</v>
      </c>
      <c r="EG12003">
        <v>45</v>
      </c>
      <c r="EH12003">
        <v>46</v>
      </c>
      <c r="EI12003">
        <v>80</v>
      </c>
      <c r="EJ12003">
        <v>0</v>
      </c>
      <c r="EK12003">
        <v>140</v>
      </c>
      <c r="EL12003">
        <v>141</v>
      </c>
      <c r="EM12003">
        <v>4</v>
      </c>
      <c r="EN12003">
        <v>143</v>
      </c>
      <c r="EO12003">
        <v>5</v>
      </c>
      <c r="EP12003">
        <v>6</v>
      </c>
      <c r="EQ12003">
        <v>1</v>
      </c>
      <c r="ER12003">
        <v>2</v>
      </c>
      <c r="ES12003">
        <v>148</v>
      </c>
      <c r="ET12003">
        <v>149</v>
      </c>
      <c r="EU12003">
        <v>150</v>
      </c>
      <c r="EV12003">
        <v>151</v>
      </c>
      <c r="EW12003">
        <v>152</v>
      </c>
      <c r="EX12003">
        <v>87</v>
      </c>
      <c r="EY12003">
        <v>154</v>
      </c>
      <c r="EZ12003">
        <v>155</v>
      </c>
      <c r="FA12003">
        <v>88</v>
      </c>
      <c r="FB12003">
        <v>157</v>
      </c>
      <c r="FC12003">
        <v>158</v>
      </c>
      <c r="FD12003">
        <v>89</v>
      </c>
      <c r="FE12003">
        <v>160</v>
      </c>
      <c r="FF12003">
        <v>161</v>
      </c>
      <c r="FG12003">
        <v>90</v>
      </c>
      <c r="FH12003">
        <v>163</v>
      </c>
      <c r="FI12003">
        <v>164</v>
      </c>
      <c r="FJ12003">
        <v>165</v>
      </c>
      <c r="FK12003">
        <v>166</v>
      </c>
      <c r="FL12003">
        <v>167</v>
      </c>
      <c r="FM12003">
        <v>168</v>
      </c>
    </row>
    <row r="12004" spans="1:169" x14ac:dyDescent="0.2">
      <c r="A12004" t="s">
        <v>539</v>
      </c>
      <c r="B12004" t="s">
        <v>537</v>
      </c>
      <c r="C12004" t="s">
        <v>527</v>
      </c>
      <c r="D12004" t="s">
        <v>523</v>
      </c>
      <c r="E12004" t="s">
        <v>526</v>
      </c>
      <c r="F12004" t="s">
        <v>522</v>
      </c>
      <c r="G12004" t="s">
        <v>524</v>
      </c>
      <c r="H12004" t="s">
        <v>525</v>
      </c>
      <c r="I12004" t="s">
        <v>533</v>
      </c>
      <c r="J12004" t="s">
        <v>529</v>
      </c>
      <c r="K12004" t="s">
        <v>532</v>
      </c>
      <c r="L12004" t="s">
        <v>528</v>
      </c>
      <c r="M12004" t="s">
        <v>1290</v>
      </c>
      <c r="N12004" t="s">
        <v>1293</v>
      </c>
      <c r="O12004" t="s">
        <v>1294</v>
      </c>
      <c r="P12004" t="s">
        <v>1296</v>
      </c>
      <c r="Q12004" t="s">
        <v>1295</v>
      </c>
      <c r="R12004" t="s">
        <v>553</v>
      </c>
      <c r="S12004" t="s">
        <v>549</v>
      </c>
      <c r="T12004" t="s">
        <v>552</v>
      </c>
      <c r="U12004" t="s">
        <v>548</v>
      </c>
      <c r="V12004" t="s">
        <v>550</v>
      </c>
      <c r="W12004" t="s">
        <v>551</v>
      </c>
      <c r="X12004" t="s">
        <v>1503</v>
      </c>
      <c r="Y12004" t="s">
        <v>1497</v>
      </c>
      <c r="Z12004" t="s">
        <v>1501</v>
      </c>
      <c r="AA12004" t="s">
        <v>1498</v>
      </c>
      <c r="AB12004" t="s">
        <v>1499</v>
      </c>
      <c r="AC12004" t="s">
        <v>1500</v>
      </c>
      <c r="AD12004" t="s">
        <v>1502</v>
      </c>
      <c r="AE12004" t="s">
        <v>1287</v>
      </c>
      <c r="AF12004" t="s">
        <v>1300</v>
      </c>
      <c r="AG12004" t="s">
        <v>1297</v>
      </c>
      <c r="AH12004" t="s">
        <v>1298</v>
      </c>
      <c r="AI12004" t="s">
        <v>1299</v>
      </c>
      <c r="AJ12004" t="s">
        <v>530</v>
      </c>
      <c r="AK12004" t="s">
        <v>531</v>
      </c>
      <c r="AL12004" t="s">
        <v>521</v>
      </c>
      <c r="AM12004" t="s">
        <v>535</v>
      </c>
      <c r="AN12004" t="s">
        <v>538</v>
      </c>
      <c r="AO12004" t="s">
        <v>592</v>
      </c>
      <c r="AP12004" t="s">
        <v>593</v>
      </c>
      <c r="AQ12004" t="s">
        <v>594</v>
      </c>
      <c r="AR12004" t="s">
        <v>534</v>
      </c>
      <c r="AS12004" t="s">
        <v>536</v>
      </c>
    </row>
    <row r="12005" spans="1:169" x14ac:dyDescent="0.2">
      <c r="A12005" t="s">
        <v>1517</v>
      </c>
      <c r="B12005" t="s">
        <v>1518</v>
      </c>
      <c r="C12005" t="s">
        <v>1519</v>
      </c>
      <c r="D12005" t="s">
        <v>546</v>
      </c>
      <c r="E12005" t="s">
        <v>623</v>
      </c>
      <c r="F12005" t="s">
        <v>624</v>
      </c>
      <c r="G12005" t="s">
        <v>625</v>
      </c>
      <c r="H12005" t="s">
        <v>626</v>
      </c>
      <c r="I12005" t="s">
        <v>643</v>
      </c>
      <c r="J12005" t="s">
        <v>627</v>
      </c>
      <c r="K12005" t="s">
        <v>645</v>
      </c>
      <c r="L12005" t="s">
        <v>646</v>
      </c>
      <c r="M12005" t="s">
        <v>647</v>
      </c>
      <c r="N12005" t="s">
        <v>648</v>
      </c>
      <c r="O12005" t="s">
        <v>649</v>
      </c>
      <c r="P12005" t="s">
        <v>650</v>
      </c>
      <c r="Q12005" t="s">
        <v>651</v>
      </c>
      <c r="R12005" t="s">
        <v>628</v>
      </c>
      <c r="S12005" t="s">
        <v>629</v>
      </c>
      <c r="T12005" t="s">
        <v>654</v>
      </c>
      <c r="U12005" t="s">
        <v>1288</v>
      </c>
      <c r="V12005" t="s">
        <v>1289</v>
      </c>
      <c r="W12005" t="s">
        <v>655</v>
      </c>
      <c r="X12005" t="s">
        <v>1292</v>
      </c>
      <c r="Y12005" t="s">
        <v>656</v>
      </c>
      <c r="Z12005" t="s">
        <v>657</v>
      </c>
      <c r="AA12005" t="s">
        <v>554</v>
      </c>
      <c r="AB12005" t="s">
        <v>630</v>
      </c>
      <c r="AC12005" t="s">
        <v>1318</v>
      </c>
      <c r="AD12005" t="s">
        <v>1319</v>
      </c>
      <c r="AE12005" t="s">
        <v>1321</v>
      </c>
      <c r="AF12005" t="s">
        <v>1763</v>
      </c>
      <c r="AG12005" t="s">
        <v>1323</v>
      </c>
      <c r="AH12005" t="s">
        <v>1324</v>
      </c>
      <c r="AI12005" t="s">
        <v>631</v>
      </c>
      <c r="AJ12005" t="s">
        <v>1326</v>
      </c>
      <c r="AK12005" t="s">
        <v>1327</v>
      </c>
      <c r="AL12005" t="s">
        <v>1328</v>
      </c>
      <c r="AM12005" t="s">
        <v>1330</v>
      </c>
      <c r="AN12005" t="s">
        <v>1331</v>
      </c>
      <c r="AO12005" t="s">
        <v>1333</v>
      </c>
      <c r="AP12005" t="s">
        <v>1334</v>
      </c>
      <c r="AQ12005" t="s">
        <v>1336</v>
      </c>
      <c r="AR12005" t="s">
        <v>632</v>
      </c>
      <c r="AS12005" t="s">
        <v>633</v>
      </c>
      <c r="AT12005" t="s">
        <v>634</v>
      </c>
      <c r="AU12005" t="s">
        <v>1764</v>
      </c>
      <c r="AV12005" t="s">
        <v>1496</v>
      </c>
      <c r="AW12005" t="s">
        <v>512</v>
      </c>
      <c r="AX12005" t="s">
        <v>1283</v>
      </c>
      <c r="AY12005" t="s">
        <v>1284</v>
      </c>
      <c r="AZ12005" t="s">
        <v>516</v>
      </c>
      <c r="BA12005" t="s">
        <v>1286</v>
      </c>
      <c r="BB12005" t="s">
        <v>517</v>
      </c>
      <c r="BC12005" t="s">
        <v>519</v>
      </c>
      <c r="BD12005" t="s">
        <v>513</v>
      </c>
      <c r="BE12005" t="s">
        <v>514</v>
      </c>
      <c r="BF12005" t="s">
        <v>1546</v>
      </c>
      <c r="BG12005" t="s">
        <v>1547</v>
      </c>
      <c r="BH12005" t="s">
        <v>1549</v>
      </c>
      <c r="BI12005" t="s">
        <v>1551</v>
      </c>
      <c r="BJ12005" t="s">
        <v>1552</v>
      </c>
      <c r="BK12005" t="s">
        <v>1513</v>
      </c>
      <c r="BL12005" t="s">
        <v>1554</v>
      </c>
      <c r="BM12005" t="s">
        <v>1555</v>
      </c>
      <c r="BN12005" t="s">
        <v>1514</v>
      </c>
      <c r="BO12005" t="s">
        <v>1557</v>
      </c>
      <c r="BP12005" t="s">
        <v>1558</v>
      </c>
      <c r="BQ12005" t="s">
        <v>1515</v>
      </c>
      <c r="BR12005" t="s">
        <v>1560</v>
      </c>
      <c r="BS12005" t="s">
        <v>1561</v>
      </c>
      <c r="BT12005" t="s">
        <v>1516</v>
      </c>
      <c r="BU12005" t="s">
        <v>1773</v>
      </c>
      <c r="BV12005" t="s">
        <v>1774</v>
      </c>
      <c r="BW12005" t="s">
        <v>1562</v>
      </c>
      <c r="BX12005" t="s">
        <v>1564</v>
      </c>
      <c r="BY12005" t="s">
        <v>1565</v>
      </c>
      <c r="BZ12005" t="s">
        <v>1567</v>
      </c>
    </row>
    <row r="12010" spans="1:169" x14ac:dyDescent="0.2">
      <c r="A12010">
        <f t="array" ref="A12010:BZ12054">_xll.GDOT_Convolution(KUR8000:KYD8090,KUR8091:KYD8168,KYE8000:KZW8090,KYE8091:KZW11168)</f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  <c r="H12010">
        <v>0</v>
      </c>
      <c r="I12010">
        <v>0</v>
      </c>
      <c r="J12010">
        <v>0</v>
      </c>
      <c r="K12010">
        <v>0</v>
      </c>
      <c r="L12010">
        <v>0</v>
      </c>
      <c r="M12010">
        <v>0</v>
      </c>
      <c r="N12010">
        <v>0</v>
      </c>
      <c r="O12010">
        <v>0</v>
      </c>
      <c r="P12010">
        <v>0</v>
      </c>
      <c r="Q12010">
        <v>0</v>
      </c>
      <c r="R12010">
        <v>0</v>
      </c>
      <c r="S12010">
        <v>0</v>
      </c>
      <c r="T12010">
        <v>0</v>
      </c>
      <c r="U12010">
        <v>0</v>
      </c>
      <c r="V12010">
        <v>0</v>
      </c>
      <c r="W12010">
        <v>0</v>
      </c>
      <c r="X12010">
        <v>0</v>
      </c>
      <c r="Y12010">
        <v>0</v>
      </c>
      <c r="Z12010">
        <v>0</v>
      </c>
      <c r="AA12010">
        <v>0</v>
      </c>
      <c r="AB12010">
        <v>0</v>
      </c>
      <c r="AC12010">
        <v>0</v>
      </c>
      <c r="AD12010">
        <v>0</v>
      </c>
      <c r="AE12010">
        <v>0</v>
      </c>
      <c r="AF12010">
        <v>0</v>
      </c>
      <c r="AG12010">
        <v>0</v>
      </c>
      <c r="AH12010">
        <v>0</v>
      </c>
      <c r="AI12010">
        <v>0</v>
      </c>
      <c r="AJ12010">
        <v>0</v>
      </c>
      <c r="AK12010">
        <v>0</v>
      </c>
      <c r="AL12010">
        <v>0</v>
      </c>
      <c r="AM12010">
        <v>0</v>
      </c>
      <c r="AN12010">
        <v>0</v>
      </c>
      <c r="AO12010">
        <v>0</v>
      </c>
      <c r="AP12010">
        <v>0</v>
      </c>
      <c r="AQ12010">
        <v>0</v>
      </c>
      <c r="AR12010">
        <v>0</v>
      </c>
      <c r="AS12010">
        <v>0</v>
      </c>
      <c r="AT12010">
        <v>0</v>
      </c>
      <c r="AU12010">
        <v>0</v>
      </c>
      <c r="AV12010">
        <v>0</v>
      </c>
      <c r="AW12010">
        <v>0</v>
      </c>
      <c r="AX12010">
        <v>0</v>
      </c>
      <c r="AY12010">
        <v>0</v>
      </c>
      <c r="AZ12010">
        <v>0</v>
      </c>
      <c r="BA12010">
        <v>0</v>
      </c>
      <c r="BB12010">
        <v>0</v>
      </c>
      <c r="BC12010">
        <v>0</v>
      </c>
      <c r="BD12010">
        <v>0</v>
      </c>
      <c r="BE12010">
        <v>0</v>
      </c>
      <c r="BF12010">
        <v>0</v>
      </c>
      <c r="BG12010">
        <v>0</v>
      </c>
      <c r="BH12010">
        <v>0</v>
      </c>
      <c r="BI12010">
        <v>0</v>
      </c>
      <c r="BJ12010">
        <v>0</v>
      </c>
      <c r="BK12010">
        <v>0</v>
      </c>
      <c r="BL12010">
        <v>0</v>
      </c>
      <c r="BM12010">
        <v>0</v>
      </c>
      <c r="BN12010">
        <v>0</v>
      </c>
      <c r="BO12010">
        <v>0</v>
      </c>
      <c r="BP12010">
        <v>0</v>
      </c>
      <c r="BQ12010">
        <v>0</v>
      </c>
      <c r="BR12010">
        <v>0</v>
      </c>
      <c r="BS12010">
        <v>0</v>
      </c>
      <c r="BT12010">
        <v>0</v>
      </c>
      <c r="BU12010">
        <v>0</v>
      </c>
      <c r="BV12010">
        <v>0</v>
      </c>
      <c r="BW12010">
        <v>0</v>
      </c>
      <c r="BX12010">
        <v>0</v>
      </c>
      <c r="BY12010">
        <v>0</v>
      </c>
      <c r="BZ12010">
        <v>0</v>
      </c>
    </row>
    <row r="12011" spans="1:169" x14ac:dyDescent="0.2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  <c r="H12011">
        <v>0</v>
      </c>
      <c r="I12011">
        <v>0</v>
      </c>
      <c r="J12011">
        <v>0</v>
      </c>
      <c r="K12011">
        <v>0</v>
      </c>
      <c r="L12011">
        <v>0</v>
      </c>
      <c r="M12011">
        <v>0</v>
      </c>
      <c r="N12011">
        <v>0</v>
      </c>
      <c r="O12011">
        <v>0</v>
      </c>
      <c r="P12011">
        <v>0</v>
      </c>
      <c r="Q12011">
        <v>0</v>
      </c>
      <c r="R12011">
        <v>0</v>
      </c>
      <c r="S12011">
        <v>0</v>
      </c>
      <c r="T12011">
        <v>0</v>
      </c>
      <c r="U12011">
        <v>0</v>
      </c>
      <c r="V12011">
        <v>0</v>
      </c>
      <c r="W12011">
        <v>0</v>
      </c>
      <c r="X12011">
        <v>0</v>
      </c>
      <c r="Y12011">
        <v>0</v>
      </c>
      <c r="Z12011">
        <v>0</v>
      </c>
      <c r="AA12011">
        <v>0</v>
      </c>
      <c r="AB12011">
        <v>0</v>
      </c>
      <c r="AC12011">
        <v>0</v>
      </c>
      <c r="AD12011">
        <v>0</v>
      </c>
      <c r="AE12011">
        <v>0</v>
      </c>
      <c r="AF12011">
        <v>0</v>
      </c>
      <c r="AG12011">
        <v>0</v>
      </c>
      <c r="AH12011">
        <v>0</v>
      </c>
      <c r="AI12011">
        <v>0</v>
      </c>
      <c r="AJ12011">
        <v>0</v>
      </c>
      <c r="AK12011">
        <v>0</v>
      </c>
      <c r="AL12011">
        <v>0</v>
      </c>
      <c r="AM12011">
        <v>0</v>
      </c>
      <c r="AN12011">
        <v>0</v>
      </c>
      <c r="AO12011">
        <v>0</v>
      </c>
      <c r="AP12011">
        <v>0</v>
      </c>
      <c r="AQ12011">
        <v>0</v>
      </c>
      <c r="AR12011">
        <v>0</v>
      </c>
      <c r="AS12011">
        <v>0</v>
      </c>
      <c r="AT12011">
        <v>0</v>
      </c>
      <c r="AU12011">
        <v>0</v>
      </c>
      <c r="AV12011">
        <v>0</v>
      </c>
      <c r="AW12011">
        <v>0</v>
      </c>
      <c r="AX12011">
        <v>0</v>
      </c>
      <c r="AY12011">
        <v>0</v>
      </c>
      <c r="AZ12011">
        <v>0</v>
      </c>
      <c r="BA12011">
        <v>0</v>
      </c>
      <c r="BB12011">
        <v>0</v>
      </c>
      <c r="BC12011">
        <v>0</v>
      </c>
      <c r="BD12011">
        <v>0</v>
      </c>
      <c r="BE12011">
        <v>0</v>
      </c>
      <c r="BF12011">
        <v>0</v>
      </c>
      <c r="BG12011">
        <v>0</v>
      </c>
      <c r="BH12011">
        <v>0</v>
      </c>
      <c r="BI12011">
        <v>0</v>
      </c>
      <c r="BJ12011">
        <v>0</v>
      </c>
      <c r="BK12011">
        <v>0</v>
      </c>
      <c r="BL12011">
        <v>0</v>
      </c>
      <c r="BM12011">
        <v>0</v>
      </c>
      <c r="BN12011">
        <v>0</v>
      </c>
      <c r="BO12011">
        <v>0</v>
      </c>
      <c r="BP12011">
        <v>0</v>
      </c>
      <c r="BQ12011">
        <v>0</v>
      </c>
      <c r="BR12011">
        <v>0</v>
      </c>
      <c r="BS12011">
        <v>0</v>
      </c>
      <c r="BT12011">
        <v>0</v>
      </c>
      <c r="BU12011">
        <v>0</v>
      </c>
      <c r="BV12011">
        <v>0</v>
      </c>
      <c r="BW12011">
        <v>0</v>
      </c>
      <c r="BX12011">
        <v>0</v>
      </c>
      <c r="BY12011">
        <v>0</v>
      </c>
      <c r="BZ12011">
        <v>0</v>
      </c>
    </row>
    <row r="12012" spans="1:169" x14ac:dyDescent="0.2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  <c r="H12012">
        <v>0</v>
      </c>
      <c r="I12012">
        <v>0</v>
      </c>
      <c r="J12012">
        <v>0</v>
      </c>
      <c r="K12012">
        <v>0</v>
      </c>
      <c r="L12012">
        <v>0</v>
      </c>
      <c r="M12012">
        <v>0</v>
      </c>
      <c r="N12012">
        <v>0</v>
      </c>
      <c r="O12012">
        <v>0</v>
      </c>
      <c r="P12012">
        <v>0</v>
      </c>
      <c r="Q12012">
        <v>0</v>
      </c>
      <c r="R12012">
        <v>0</v>
      </c>
      <c r="S12012">
        <v>0</v>
      </c>
      <c r="T12012">
        <v>0</v>
      </c>
      <c r="U12012">
        <v>0</v>
      </c>
      <c r="V12012">
        <v>0</v>
      </c>
      <c r="W12012">
        <v>0</v>
      </c>
      <c r="X12012">
        <v>0</v>
      </c>
      <c r="Y12012">
        <v>0</v>
      </c>
      <c r="Z12012">
        <v>0</v>
      </c>
      <c r="AA12012">
        <v>0</v>
      </c>
      <c r="AB12012">
        <v>0</v>
      </c>
      <c r="AC12012">
        <v>0</v>
      </c>
      <c r="AD12012">
        <v>0</v>
      </c>
      <c r="AE12012">
        <v>0</v>
      </c>
      <c r="AF12012">
        <v>0</v>
      </c>
      <c r="AG12012">
        <v>0</v>
      </c>
      <c r="AH12012">
        <v>0</v>
      </c>
      <c r="AI12012">
        <v>0</v>
      </c>
      <c r="AJ12012">
        <v>0</v>
      </c>
      <c r="AK12012">
        <v>0</v>
      </c>
      <c r="AL12012">
        <v>0</v>
      </c>
      <c r="AM12012">
        <v>0</v>
      </c>
      <c r="AN12012">
        <v>0</v>
      </c>
      <c r="AO12012">
        <v>0</v>
      </c>
      <c r="AP12012">
        <v>0</v>
      </c>
      <c r="AQ12012">
        <v>0</v>
      </c>
      <c r="AR12012">
        <v>0</v>
      </c>
      <c r="AS12012">
        <v>0</v>
      </c>
      <c r="AT12012">
        <v>0</v>
      </c>
      <c r="AU12012">
        <v>0</v>
      </c>
      <c r="AV12012">
        <v>0</v>
      </c>
      <c r="AW12012">
        <v>0</v>
      </c>
      <c r="AX12012">
        <v>0</v>
      </c>
      <c r="AY12012">
        <v>0</v>
      </c>
      <c r="AZ12012">
        <v>0</v>
      </c>
      <c r="BA12012">
        <v>0</v>
      </c>
      <c r="BB12012">
        <v>0</v>
      </c>
      <c r="BC12012">
        <v>0</v>
      </c>
      <c r="BD12012">
        <v>0</v>
      </c>
      <c r="BE12012">
        <v>0</v>
      </c>
      <c r="BF12012">
        <v>0</v>
      </c>
      <c r="BG12012">
        <v>0</v>
      </c>
      <c r="BH12012">
        <v>0</v>
      </c>
      <c r="BI12012">
        <v>0</v>
      </c>
      <c r="BJ12012">
        <v>0</v>
      </c>
      <c r="BK12012">
        <v>0</v>
      </c>
      <c r="BL12012">
        <v>0</v>
      </c>
      <c r="BM12012">
        <v>0</v>
      </c>
      <c r="BN12012">
        <v>0</v>
      </c>
      <c r="BO12012">
        <v>0</v>
      </c>
      <c r="BP12012">
        <v>0</v>
      </c>
      <c r="BQ12012">
        <v>0</v>
      </c>
      <c r="BR12012">
        <v>0</v>
      </c>
      <c r="BS12012">
        <v>0</v>
      </c>
      <c r="BT12012">
        <v>0</v>
      </c>
      <c r="BU12012">
        <v>0</v>
      </c>
      <c r="BV12012">
        <v>0</v>
      </c>
      <c r="BW12012">
        <v>0</v>
      </c>
      <c r="BX12012">
        <v>0</v>
      </c>
      <c r="BY12012">
        <v>0</v>
      </c>
      <c r="BZ12012">
        <v>0</v>
      </c>
    </row>
    <row r="12013" spans="1:169" x14ac:dyDescent="0.2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  <c r="H12013">
        <v>0</v>
      </c>
      <c r="I12013">
        <v>0</v>
      </c>
      <c r="J12013">
        <v>0</v>
      </c>
      <c r="K12013">
        <v>0</v>
      </c>
      <c r="L12013">
        <v>0</v>
      </c>
      <c r="M12013">
        <v>0</v>
      </c>
      <c r="N12013">
        <v>0</v>
      </c>
      <c r="O12013">
        <v>0</v>
      </c>
      <c r="P12013">
        <v>0</v>
      </c>
      <c r="Q12013">
        <v>0</v>
      </c>
      <c r="R12013">
        <v>0</v>
      </c>
      <c r="S12013">
        <v>0</v>
      </c>
      <c r="T12013">
        <v>0</v>
      </c>
      <c r="U12013">
        <v>0</v>
      </c>
      <c r="V12013">
        <v>0</v>
      </c>
      <c r="W12013">
        <v>0</v>
      </c>
      <c r="X12013">
        <v>0</v>
      </c>
      <c r="Y12013">
        <v>0</v>
      </c>
      <c r="Z12013">
        <v>0</v>
      </c>
      <c r="AA12013">
        <v>0</v>
      </c>
      <c r="AB12013">
        <v>0</v>
      </c>
      <c r="AC12013">
        <v>0</v>
      </c>
      <c r="AD12013">
        <v>0</v>
      </c>
      <c r="AE12013">
        <v>0</v>
      </c>
      <c r="AF12013">
        <v>0</v>
      </c>
      <c r="AG12013">
        <v>0</v>
      </c>
      <c r="AH12013">
        <v>0</v>
      </c>
      <c r="AI12013">
        <v>0</v>
      </c>
      <c r="AJ12013">
        <v>0</v>
      </c>
      <c r="AK12013">
        <v>0</v>
      </c>
      <c r="AL12013">
        <v>0</v>
      </c>
      <c r="AM12013">
        <v>0</v>
      </c>
      <c r="AN12013">
        <v>0</v>
      </c>
      <c r="AO12013">
        <v>0</v>
      </c>
      <c r="AP12013">
        <v>0</v>
      </c>
      <c r="AQ12013">
        <v>0</v>
      </c>
      <c r="AR12013">
        <v>0</v>
      </c>
      <c r="AS12013">
        <v>0</v>
      </c>
      <c r="AT12013">
        <v>0</v>
      </c>
      <c r="AU12013">
        <v>0</v>
      </c>
      <c r="AV12013">
        <v>0</v>
      </c>
      <c r="AW12013">
        <v>0</v>
      </c>
      <c r="AX12013">
        <v>0</v>
      </c>
      <c r="AY12013">
        <v>0</v>
      </c>
      <c r="AZ12013">
        <v>0</v>
      </c>
      <c r="BA12013">
        <v>0</v>
      </c>
      <c r="BB12013">
        <v>0</v>
      </c>
      <c r="BC12013">
        <v>0</v>
      </c>
      <c r="BD12013">
        <v>0</v>
      </c>
      <c r="BE12013">
        <v>0</v>
      </c>
      <c r="BF12013">
        <v>0</v>
      </c>
      <c r="BG12013">
        <v>0</v>
      </c>
      <c r="BH12013">
        <v>0</v>
      </c>
      <c r="BI12013">
        <v>0</v>
      </c>
      <c r="BJ12013">
        <v>0</v>
      </c>
      <c r="BK12013">
        <v>0</v>
      </c>
      <c r="BL12013">
        <v>0</v>
      </c>
      <c r="BM12013">
        <v>0</v>
      </c>
      <c r="BN12013">
        <v>0</v>
      </c>
      <c r="BO12013">
        <v>0</v>
      </c>
      <c r="BP12013">
        <v>0</v>
      </c>
      <c r="BQ12013">
        <v>0</v>
      </c>
      <c r="BR12013">
        <v>0</v>
      </c>
      <c r="BS12013">
        <v>0</v>
      </c>
      <c r="BT12013">
        <v>0</v>
      </c>
      <c r="BU12013">
        <v>0</v>
      </c>
      <c r="BV12013">
        <v>0</v>
      </c>
      <c r="BW12013">
        <v>0</v>
      </c>
      <c r="BX12013">
        <v>0</v>
      </c>
      <c r="BY12013">
        <v>0</v>
      </c>
      <c r="BZ12013">
        <v>0</v>
      </c>
    </row>
    <row r="12014" spans="1:169" x14ac:dyDescent="0.2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  <c r="H12014">
        <v>0</v>
      </c>
      <c r="I12014">
        <v>0</v>
      </c>
      <c r="J12014">
        <v>0</v>
      </c>
      <c r="K12014">
        <v>0</v>
      </c>
      <c r="L12014">
        <v>0</v>
      </c>
      <c r="M12014">
        <v>0</v>
      </c>
      <c r="N12014">
        <v>0</v>
      </c>
      <c r="O12014">
        <v>0</v>
      </c>
      <c r="P12014">
        <v>0</v>
      </c>
      <c r="Q12014">
        <v>0</v>
      </c>
      <c r="R12014">
        <v>0</v>
      </c>
      <c r="S12014">
        <v>0</v>
      </c>
      <c r="T12014">
        <v>0</v>
      </c>
      <c r="U12014">
        <v>0</v>
      </c>
      <c r="V12014">
        <v>0</v>
      </c>
      <c r="W12014">
        <v>0</v>
      </c>
      <c r="X12014">
        <v>0</v>
      </c>
      <c r="Y12014">
        <v>0</v>
      </c>
      <c r="Z12014">
        <v>0</v>
      </c>
      <c r="AA12014">
        <v>0</v>
      </c>
      <c r="AB12014">
        <v>0</v>
      </c>
      <c r="AC12014">
        <v>0</v>
      </c>
      <c r="AD12014">
        <v>0</v>
      </c>
      <c r="AE12014">
        <v>0</v>
      </c>
      <c r="AF12014">
        <v>0</v>
      </c>
      <c r="AG12014">
        <v>0</v>
      </c>
      <c r="AH12014">
        <v>0</v>
      </c>
      <c r="AI12014">
        <v>0</v>
      </c>
      <c r="AJ12014">
        <v>0</v>
      </c>
      <c r="AK12014">
        <v>0</v>
      </c>
      <c r="AL12014">
        <v>0</v>
      </c>
      <c r="AM12014">
        <v>0</v>
      </c>
      <c r="AN12014">
        <v>0</v>
      </c>
      <c r="AO12014">
        <v>0</v>
      </c>
      <c r="AP12014">
        <v>0</v>
      </c>
      <c r="AQ12014">
        <v>0</v>
      </c>
      <c r="AR12014">
        <v>0</v>
      </c>
      <c r="AS12014">
        <v>0</v>
      </c>
      <c r="AT12014">
        <v>0</v>
      </c>
      <c r="AU12014">
        <v>0</v>
      </c>
      <c r="AV12014">
        <v>0</v>
      </c>
      <c r="AW12014">
        <v>0</v>
      </c>
      <c r="AX12014">
        <v>0</v>
      </c>
      <c r="AY12014">
        <v>0</v>
      </c>
      <c r="AZ12014">
        <v>0</v>
      </c>
      <c r="BA12014">
        <v>0</v>
      </c>
      <c r="BB12014">
        <v>0</v>
      </c>
      <c r="BC12014">
        <v>0</v>
      </c>
      <c r="BD12014">
        <v>0</v>
      </c>
      <c r="BE12014">
        <v>0</v>
      </c>
      <c r="BF12014">
        <v>0</v>
      </c>
      <c r="BG12014">
        <v>0</v>
      </c>
      <c r="BH12014">
        <v>0</v>
      </c>
      <c r="BI12014">
        <v>0</v>
      </c>
      <c r="BJ12014">
        <v>0</v>
      </c>
      <c r="BK12014">
        <v>0</v>
      </c>
      <c r="BL12014">
        <v>0</v>
      </c>
      <c r="BM12014">
        <v>0</v>
      </c>
      <c r="BN12014">
        <v>0</v>
      </c>
      <c r="BO12014">
        <v>0</v>
      </c>
      <c r="BP12014">
        <v>0</v>
      </c>
      <c r="BQ12014">
        <v>0</v>
      </c>
      <c r="BR12014">
        <v>0</v>
      </c>
      <c r="BS12014">
        <v>0</v>
      </c>
      <c r="BT12014">
        <v>0</v>
      </c>
      <c r="BU12014">
        <v>0</v>
      </c>
      <c r="BV12014">
        <v>0</v>
      </c>
      <c r="BW12014">
        <v>0</v>
      </c>
      <c r="BX12014">
        <v>0</v>
      </c>
      <c r="BY12014">
        <v>0</v>
      </c>
      <c r="BZ12014">
        <v>0</v>
      </c>
    </row>
    <row r="12015" spans="1:169" x14ac:dyDescent="0.2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  <c r="H12015">
        <v>0</v>
      </c>
      <c r="I12015">
        <v>0</v>
      </c>
      <c r="J12015">
        <v>0</v>
      </c>
      <c r="K12015">
        <v>0</v>
      </c>
      <c r="L12015">
        <v>0</v>
      </c>
      <c r="M12015">
        <v>0</v>
      </c>
      <c r="N12015">
        <v>0</v>
      </c>
      <c r="O12015">
        <v>0</v>
      </c>
      <c r="P12015">
        <v>0</v>
      </c>
      <c r="Q12015">
        <v>0</v>
      </c>
      <c r="R12015">
        <v>0</v>
      </c>
      <c r="S12015">
        <v>0</v>
      </c>
      <c r="T12015">
        <v>0</v>
      </c>
      <c r="U12015">
        <v>0</v>
      </c>
      <c r="V12015">
        <v>0</v>
      </c>
      <c r="W12015">
        <v>0</v>
      </c>
      <c r="X12015">
        <v>0</v>
      </c>
      <c r="Y12015">
        <v>0</v>
      </c>
      <c r="Z12015">
        <v>0</v>
      </c>
      <c r="AA12015">
        <v>0</v>
      </c>
      <c r="AB12015">
        <v>0</v>
      </c>
      <c r="AC12015">
        <v>0</v>
      </c>
      <c r="AD12015">
        <v>0</v>
      </c>
      <c r="AE12015">
        <v>0</v>
      </c>
      <c r="AF12015">
        <v>0</v>
      </c>
      <c r="AG12015">
        <v>0</v>
      </c>
      <c r="AH12015">
        <v>0</v>
      </c>
      <c r="AI12015">
        <v>0</v>
      </c>
      <c r="AJ12015">
        <v>0</v>
      </c>
      <c r="AK12015">
        <v>0</v>
      </c>
      <c r="AL12015">
        <v>0</v>
      </c>
      <c r="AM12015">
        <v>0</v>
      </c>
      <c r="AN12015">
        <v>0</v>
      </c>
      <c r="AO12015">
        <v>0</v>
      </c>
      <c r="AP12015">
        <v>0</v>
      </c>
      <c r="AQ12015">
        <v>0</v>
      </c>
      <c r="AR12015">
        <v>0</v>
      </c>
      <c r="AS12015">
        <v>0</v>
      </c>
      <c r="AT12015">
        <v>0</v>
      </c>
      <c r="AU12015">
        <v>0</v>
      </c>
      <c r="AV12015">
        <v>0</v>
      </c>
      <c r="AW12015">
        <v>0</v>
      </c>
      <c r="AX12015">
        <v>0</v>
      </c>
      <c r="AY12015">
        <v>0</v>
      </c>
      <c r="AZ12015">
        <v>0</v>
      </c>
      <c r="BA12015">
        <v>0</v>
      </c>
      <c r="BB12015">
        <v>0</v>
      </c>
      <c r="BC12015">
        <v>0</v>
      </c>
      <c r="BD12015">
        <v>0</v>
      </c>
      <c r="BE12015">
        <v>0</v>
      </c>
      <c r="BF12015">
        <v>0</v>
      </c>
      <c r="BG12015">
        <v>0</v>
      </c>
      <c r="BH12015">
        <v>0</v>
      </c>
      <c r="BI12015">
        <v>0</v>
      </c>
      <c r="BJ12015">
        <v>0</v>
      </c>
      <c r="BK12015">
        <v>0</v>
      </c>
      <c r="BL12015">
        <v>0</v>
      </c>
      <c r="BM12015">
        <v>0</v>
      </c>
      <c r="BN12015">
        <v>0</v>
      </c>
      <c r="BO12015">
        <v>0</v>
      </c>
      <c r="BP12015">
        <v>0</v>
      </c>
      <c r="BQ12015">
        <v>0</v>
      </c>
      <c r="BR12015">
        <v>0</v>
      </c>
      <c r="BS12015">
        <v>0</v>
      </c>
      <c r="BT12015">
        <v>0</v>
      </c>
      <c r="BU12015">
        <v>0</v>
      </c>
      <c r="BV12015">
        <v>0</v>
      </c>
      <c r="BW12015">
        <v>0</v>
      </c>
      <c r="BX12015">
        <v>0</v>
      </c>
      <c r="BY12015">
        <v>0</v>
      </c>
      <c r="BZ12015">
        <v>0</v>
      </c>
    </row>
    <row r="12016" spans="1:169" x14ac:dyDescent="0.2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  <c r="H12016">
        <v>0</v>
      </c>
      <c r="I12016">
        <v>0</v>
      </c>
      <c r="J12016">
        <v>0</v>
      </c>
      <c r="K12016">
        <v>0</v>
      </c>
      <c r="L12016">
        <v>0</v>
      </c>
      <c r="M12016">
        <v>0</v>
      </c>
      <c r="N12016">
        <v>0</v>
      </c>
      <c r="O12016">
        <v>0</v>
      </c>
      <c r="P12016">
        <v>0</v>
      </c>
      <c r="Q12016">
        <v>0</v>
      </c>
      <c r="R12016">
        <v>0</v>
      </c>
      <c r="S12016">
        <v>0</v>
      </c>
      <c r="T12016">
        <v>0</v>
      </c>
      <c r="U12016">
        <v>0</v>
      </c>
      <c r="V12016">
        <v>0</v>
      </c>
      <c r="W12016">
        <v>0</v>
      </c>
      <c r="X12016">
        <v>0</v>
      </c>
      <c r="Y12016">
        <v>0</v>
      </c>
      <c r="Z12016">
        <v>0</v>
      </c>
      <c r="AA12016">
        <v>0</v>
      </c>
      <c r="AB12016">
        <v>0</v>
      </c>
      <c r="AC12016">
        <v>0</v>
      </c>
      <c r="AD12016">
        <v>0</v>
      </c>
      <c r="AE12016">
        <v>0</v>
      </c>
      <c r="AF12016">
        <v>0</v>
      </c>
      <c r="AG12016">
        <v>0</v>
      </c>
      <c r="AH12016">
        <v>0</v>
      </c>
      <c r="AI12016">
        <v>0</v>
      </c>
      <c r="AJ12016">
        <v>0</v>
      </c>
      <c r="AK12016">
        <v>0</v>
      </c>
      <c r="AL12016">
        <v>0</v>
      </c>
      <c r="AM12016">
        <v>0</v>
      </c>
      <c r="AN12016">
        <v>0</v>
      </c>
      <c r="AO12016">
        <v>0</v>
      </c>
      <c r="AP12016">
        <v>0</v>
      </c>
      <c r="AQ12016">
        <v>0</v>
      </c>
      <c r="AR12016">
        <v>0</v>
      </c>
      <c r="AS12016">
        <v>0</v>
      </c>
      <c r="AT12016">
        <v>0</v>
      </c>
      <c r="AU12016">
        <v>0</v>
      </c>
      <c r="AV12016">
        <v>0</v>
      </c>
      <c r="AW12016">
        <v>0</v>
      </c>
      <c r="AX12016">
        <v>0</v>
      </c>
      <c r="AY12016">
        <v>0</v>
      </c>
      <c r="AZ12016">
        <v>0</v>
      </c>
      <c r="BA12016">
        <v>0</v>
      </c>
      <c r="BB12016">
        <v>0</v>
      </c>
      <c r="BC12016">
        <v>0</v>
      </c>
      <c r="BD12016">
        <v>0</v>
      </c>
      <c r="BE12016">
        <v>0</v>
      </c>
      <c r="BF12016">
        <v>0</v>
      </c>
      <c r="BG12016">
        <v>0</v>
      </c>
      <c r="BH12016">
        <v>0</v>
      </c>
      <c r="BI12016">
        <v>0</v>
      </c>
      <c r="BJ12016">
        <v>0</v>
      </c>
      <c r="BK12016">
        <v>0</v>
      </c>
      <c r="BL12016">
        <v>0</v>
      </c>
      <c r="BM12016">
        <v>0</v>
      </c>
      <c r="BN12016">
        <v>0</v>
      </c>
      <c r="BO12016">
        <v>0</v>
      </c>
      <c r="BP12016">
        <v>0</v>
      </c>
      <c r="BQ12016">
        <v>0</v>
      </c>
      <c r="BR12016">
        <v>0</v>
      </c>
      <c r="BS12016">
        <v>0</v>
      </c>
      <c r="BT12016">
        <v>0</v>
      </c>
      <c r="BU12016">
        <v>0</v>
      </c>
      <c r="BV12016">
        <v>0</v>
      </c>
      <c r="BW12016">
        <v>0</v>
      </c>
      <c r="BX12016">
        <v>0</v>
      </c>
      <c r="BY12016">
        <v>0</v>
      </c>
      <c r="BZ12016">
        <v>0</v>
      </c>
    </row>
    <row r="12017" spans="1:78" x14ac:dyDescent="0.2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  <c r="H12017">
        <v>0</v>
      </c>
      <c r="I12017">
        <v>0</v>
      </c>
      <c r="J12017">
        <v>0</v>
      </c>
      <c r="K12017">
        <v>0</v>
      </c>
      <c r="L12017">
        <v>0</v>
      </c>
      <c r="M12017">
        <v>0</v>
      </c>
      <c r="N12017">
        <v>0</v>
      </c>
      <c r="O12017">
        <v>0</v>
      </c>
      <c r="P12017">
        <v>0</v>
      </c>
      <c r="Q12017">
        <v>0</v>
      </c>
      <c r="R12017">
        <v>0</v>
      </c>
      <c r="S12017">
        <v>0</v>
      </c>
      <c r="T12017">
        <v>0</v>
      </c>
      <c r="U12017">
        <v>0</v>
      </c>
      <c r="V12017">
        <v>0</v>
      </c>
      <c r="W12017">
        <v>0</v>
      </c>
      <c r="X12017">
        <v>0</v>
      </c>
      <c r="Y12017">
        <v>0</v>
      </c>
      <c r="Z12017">
        <v>0</v>
      </c>
      <c r="AA12017">
        <v>0</v>
      </c>
      <c r="AB12017">
        <v>0</v>
      </c>
      <c r="AC12017">
        <v>0</v>
      </c>
      <c r="AD12017">
        <v>0</v>
      </c>
      <c r="AE12017">
        <v>0</v>
      </c>
      <c r="AF12017">
        <v>0</v>
      </c>
      <c r="AG12017">
        <v>0</v>
      </c>
      <c r="AH12017">
        <v>0</v>
      </c>
      <c r="AI12017">
        <v>0</v>
      </c>
      <c r="AJ12017">
        <v>0</v>
      </c>
      <c r="AK12017">
        <v>0</v>
      </c>
      <c r="AL12017">
        <v>0</v>
      </c>
      <c r="AM12017">
        <v>0</v>
      </c>
      <c r="AN12017">
        <v>0</v>
      </c>
      <c r="AO12017">
        <v>0</v>
      </c>
      <c r="AP12017">
        <v>0</v>
      </c>
      <c r="AQ12017">
        <v>0</v>
      </c>
      <c r="AR12017">
        <v>0</v>
      </c>
      <c r="AS12017">
        <v>0</v>
      </c>
      <c r="AT12017">
        <v>0</v>
      </c>
      <c r="AU12017">
        <v>0</v>
      </c>
      <c r="AV12017">
        <v>0</v>
      </c>
      <c r="AW12017">
        <v>0</v>
      </c>
      <c r="AX12017">
        <v>0</v>
      </c>
      <c r="AY12017">
        <v>0</v>
      </c>
      <c r="AZ12017">
        <v>0</v>
      </c>
      <c r="BA12017">
        <v>0</v>
      </c>
      <c r="BB12017">
        <v>0</v>
      </c>
      <c r="BC12017">
        <v>0</v>
      </c>
      <c r="BD12017">
        <v>0</v>
      </c>
      <c r="BE12017">
        <v>0</v>
      </c>
      <c r="BF12017">
        <v>0</v>
      </c>
      <c r="BG12017">
        <v>0</v>
      </c>
      <c r="BH12017">
        <v>0</v>
      </c>
      <c r="BI12017">
        <v>0</v>
      </c>
      <c r="BJ12017">
        <v>0</v>
      </c>
      <c r="BK12017">
        <v>0</v>
      </c>
      <c r="BL12017">
        <v>0</v>
      </c>
      <c r="BM12017">
        <v>0</v>
      </c>
      <c r="BN12017">
        <v>0</v>
      </c>
      <c r="BO12017">
        <v>0</v>
      </c>
      <c r="BP12017">
        <v>0</v>
      </c>
      <c r="BQ12017">
        <v>0</v>
      </c>
      <c r="BR12017">
        <v>0</v>
      </c>
      <c r="BS12017">
        <v>0</v>
      </c>
      <c r="BT12017">
        <v>0</v>
      </c>
      <c r="BU12017">
        <v>0</v>
      </c>
      <c r="BV12017">
        <v>0</v>
      </c>
      <c r="BW12017">
        <v>0</v>
      </c>
      <c r="BX12017">
        <v>0</v>
      </c>
      <c r="BY12017">
        <v>0</v>
      </c>
      <c r="BZ12017">
        <v>0</v>
      </c>
    </row>
    <row r="12018" spans="1:78" x14ac:dyDescent="0.2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  <c r="H12018">
        <v>0</v>
      </c>
      <c r="I12018">
        <v>0</v>
      </c>
      <c r="J12018">
        <v>0</v>
      </c>
      <c r="K12018">
        <v>0</v>
      </c>
      <c r="L12018">
        <v>0</v>
      </c>
      <c r="M12018">
        <v>0</v>
      </c>
      <c r="N12018">
        <v>0</v>
      </c>
      <c r="O12018">
        <v>0</v>
      </c>
      <c r="P12018">
        <v>0</v>
      </c>
      <c r="Q12018">
        <v>0</v>
      </c>
      <c r="R12018">
        <v>0</v>
      </c>
      <c r="S12018">
        <v>0</v>
      </c>
      <c r="T12018">
        <v>0</v>
      </c>
      <c r="U12018">
        <v>0</v>
      </c>
      <c r="V12018">
        <v>0</v>
      </c>
      <c r="W12018">
        <v>0</v>
      </c>
      <c r="X12018">
        <v>0</v>
      </c>
      <c r="Y12018">
        <v>0</v>
      </c>
      <c r="Z12018">
        <v>0</v>
      </c>
      <c r="AA12018">
        <v>0</v>
      </c>
      <c r="AB12018">
        <v>0</v>
      </c>
      <c r="AC12018">
        <v>0</v>
      </c>
      <c r="AD12018">
        <v>0</v>
      </c>
      <c r="AE12018">
        <v>0</v>
      </c>
      <c r="AF12018">
        <v>0</v>
      </c>
      <c r="AG12018">
        <v>0</v>
      </c>
      <c r="AH12018">
        <v>0</v>
      </c>
      <c r="AI12018">
        <v>0</v>
      </c>
      <c r="AJ12018">
        <v>0</v>
      </c>
      <c r="AK12018">
        <v>0</v>
      </c>
      <c r="AL12018">
        <v>0</v>
      </c>
      <c r="AM12018">
        <v>0</v>
      </c>
      <c r="AN12018">
        <v>0</v>
      </c>
      <c r="AO12018">
        <v>0</v>
      </c>
      <c r="AP12018">
        <v>0</v>
      </c>
      <c r="AQ12018">
        <v>0</v>
      </c>
      <c r="AR12018">
        <v>0</v>
      </c>
      <c r="AS12018">
        <v>0</v>
      </c>
      <c r="AT12018">
        <v>0</v>
      </c>
      <c r="AU12018">
        <v>0</v>
      </c>
      <c r="AV12018">
        <v>0</v>
      </c>
      <c r="AW12018">
        <v>0</v>
      </c>
      <c r="AX12018">
        <v>0</v>
      </c>
      <c r="AY12018">
        <v>0</v>
      </c>
      <c r="AZ12018">
        <v>0</v>
      </c>
      <c r="BA12018">
        <v>0</v>
      </c>
      <c r="BB12018">
        <v>0</v>
      </c>
      <c r="BC12018">
        <v>0</v>
      </c>
      <c r="BD12018">
        <v>0</v>
      </c>
      <c r="BE12018">
        <v>0</v>
      </c>
      <c r="BF12018">
        <v>0</v>
      </c>
      <c r="BG12018">
        <v>0</v>
      </c>
      <c r="BH12018">
        <v>0</v>
      </c>
      <c r="BI12018">
        <v>0</v>
      </c>
      <c r="BJ12018">
        <v>0</v>
      </c>
      <c r="BK12018">
        <v>0</v>
      </c>
      <c r="BL12018">
        <v>0</v>
      </c>
      <c r="BM12018">
        <v>0</v>
      </c>
      <c r="BN12018">
        <v>0</v>
      </c>
      <c r="BO12018">
        <v>0</v>
      </c>
      <c r="BP12018">
        <v>0</v>
      </c>
      <c r="BQ12018">
        <v>0</v>
      </c>
      <c r="BR12018">
        <v>0</v>
      </c>
      <c r="BS12018">
        <v>0</v>
      </c>
      <c r="BT12018">
        <v>0</v>
      </c>
      <c r="BU12018">
        <v>0</v>
      </c>
      <c r="BV12018">
        <v>0</v>
      </c>
      <c r="BW12018">
        <v>0</v>
      </c>
      <c r="BX12018">
        <v>0</v>
      </c>
      <c r="BY12018">
        <v>0</v>
      </c>
      <c r="BZ12018">
        <v>0</v>
      </c>
    </row>
    <row r="12019" spans="1:78" x14ac:dyDescent="0.2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  <c r="H12019">
        <v>0</v>
      </c>
      <c r="I12019">
        <v>0</v>
      </c>
      <c r="J12019">
        <v>0</v>
      </c>
      <c r="K12019">
        <v>0</v>
      </c>
      <c r="L12019">
        <v>0</v>
      </c>
      <c r="M12019">
        <v>0</v>
      </c>
      <c r="N12019">
        <v>0</v>
      </c>
      <c r="O12019">
        <v>0</v>
      </c>
      <c r="P12019">
        <v>0</v>
      </c>
      <c r="Q12019">
        <v>0</v>
      </c>
      <c r="R12019">
        <v>0</v>
      </c>
      <c r="S12019">
        <v>0</v>
      </c>
      <c r="T12019">
        <v>0</v>
      </c>
      <c r="U12019">
        <v>0</v>
      </c>
      <c r="V12019">
        <v>0</v>
      </c>
      <c r="W12019">
        <v>0</v>
      </c>
      <c r="X12019">
        <v>0</v>
      </c>
      <c r="Y12019">
        <v>0</v>
      </c>
      <c r="Z12019">
        <v>0</v>
      </c>
      <c r="AA12019">
        <v>0</v>
      </c>
      <c r="AB12019">
        <v>0</v>
      </c>
      <c r="AC12019">
        <v>0</v>
      </c>
      <c r="AD12019">
        <v>0</v>
      </c>
      <c r="AE12019">
        <v>0</v>
      </c>
      <c r="AF12019">
        <v>0</v>
      </c>
      <c r="AG12019">
        <v>0</v>
      </c>
      <c r="AH12019">
        <v>0</v>
      </c>
      <c r="AI12019">
        <v>0</v>
      </c>
      <c r="AJ12019">
        <v>0</v>
      </c>
      <c r="AK12019">
        <v>0</v>
      </c>
      <c r="AL12019">
        <v>0</v>
      </c>
      <c r="AM12019">
        <v>0</v>
      </c>
      <c r="AN12019">
        <v>0</v>
      </c>
      <c r="AO12019">
        <v>0</v>
      </c>
      <c r="AP12019">
        <v>0</v>
      </c>
      <c r="AQ12019">
        <v>0</v>
      </c>
      <c r="AR12019">
        <v>0</v>
      </c>
      <c r="AS12019">
        <v>0</v>
      </c>
      <c r="AT12019">
        <v>0</v>
      </c>
      <c r="AU12019">
        <v>0</v>
      </c>
      <c r="AV12019">
        <v>0</v>
      </c>
      <c r="AW12019">
        <v>0</v>
      </c>
      <c r="AX12019">
        <v>0</v>
      </c>
      <c r="AY12019">
        <v>0</v>
      </c>
      <c r="AZ12019">
        <v>0</v>
      </c>
      <c r="BA12019">
        <v>0</v>
      </c>
      <c r="BB12019">
        <v>0</v>
      </c>
      <c r="BC12019">
        <v>0</v>
      </c>
      <c r="BD12019">
        <v>0</v>
      </c>
      <c r="BE12019">
        <v>0</v>
      </c>
      <c r="BF12019">
        <v>0</v>
      </c>
      <c r="BG12019">
        <v>0</v>
      </c>
      <c r="BH12019">
        <v>0</v>
      </c>
      <c r="BI12019">
        <v>0</v>
      </c>
      <c r="BJ12019">
        <v>0</v>
      </c>
      <c r="BK12019">
        <v>0</v>
      </c>
      <c r="BL12019">
        <v>0</v>
      </c>
      <c r="BM12019">
        <v>0</v>
      </c>
      <c r="BN12019">
        <v>0</v>
      </c>
      <c r="BO12019">
        <v>0</v>
      </c>
      <c r="BP12019">
        <v>0</v>
      </c>
      <c r="BQ12019">
        <v>0</v>
      </c>
      <c r="BR12019">
        <v>0</v>
      </c>
      <c r="BS12019">
        <v>0</v>
      </c>
      <c r="BT12019">
        <v>0</v>
      </c>
      <c r="BU12019">
        <v>0</v>
      </c>
      <c r="BV12019">
        <v>0</v>
      </c>
      <c r="BW12019">
        <v>0</v>
      </c>
      <c r="BX12019">
        <v>0</v>
      </c>
      <c r="BY12019">
        <v>0</v>
      </c>
      <c r="BZ12019">
        <v>0</v>
      </c>
    </row>
    <row r="12020" spans="1:78" x14ac:dyDescent="0.2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  <c r="H12020">
        <v>0</v>
      </c>
      <c r="I12020">
        <v>0</v>
      </c>
      <c r="J12020">
        <v>0</v>
      </c>
      <c r="K12020">
        <v>0</v>
      </c>
      <c r="L12020">
        <v>0</v>
      </c>
      <c r="M12020">
        <v>0</v>
      </c>
      <c r="N12020">
        <v>0</v>
      </c>
      <c r="O12020">
        <v>0</v>
      </c>
      <c r="P12020">
        <v>0</v>
      </c>
      <c r="Q12020">
        <v>0</v>
      </c>
      <c r="R12020">
        <v>0</v>
      </c>
      <c r="S12020">
        <v>0</v>
      </c>
      <c r="T12020">
        <v>0</v>
      </c>
      <c r="U12020">
        <v>0</v>
      </c>
      <c r="V12020">
        <v>0</v>
      </c>
      <c r="W12020">
        <v>0</v>
      </c>
      <c r="X12020">
        <v>0</v>
      </c>
      <c r="Y12020">
        <v>0</v>
      </c>
      <c r="Z12020">
        <v>0</v>
      </c>
      <c r="AA12020">
        <v>0</v>
      </c>
      <c r="AB12020">
        <v>0</v>
      </c>
      <c r="AC12020">
        <v>0</v>
      </c>
      <c r="AD12020">
        <v>0</v>
      </c>
      <c r="AE12020">
        <v>0</v>
      </c>
      <c r="AF12020">
        <v>0</v>
      </c>
      <c r="AG12020">
        <v>0</v>
      </c>
      <c r="AH12020">
        <v>0</v>
      </c>
      <c r="AI12020">
        <v>0</v>
      </c>
      <c r="AJ12020">
        <v>0</v>
      </c>
      <c r="AK12020">
        <v>0</v>
      </c>
      <c r="AL12020">
        <v>0</v>
      </c>
      <c r="AM12020">
        <v>0</v>
      </c>
      <c r="AN12020">
        <v>0</v>
      </c>
      <c r="AO12020">
        <v>0</v>
      </c>
      <c r="AP12020">
        <v>0</v>
      </c>
      <c r="AQ12020">
        <v>0</v>
      </c>
      <c r="AR12020">
        <v>0</v>
      </c>
      <c r="AS12020">
        <v>0</v>
      </c>
      <c r="AT12020">
        <v>0</v>
      </c>
      <c r="AU12020">
        <v>0</v>
      </c>
      <c r="AV12020">
        <v>0</v>
      </c>
      <c r="AW12020">
        <v>0</v>
      </c>
      <c r="AX12020">
        <v>0</v>
      </c>
      <c r="AY12020">
        <v>0</v>
      </c>
      <c r="AZ12020">
        <v>0</v>
      </c>
      <c r="BA12020">
        <v>0</v>
      </c>
      <c r="BB12020">
        <v>0</v>
      </c>
      <c r="BC12020">
        <v>0</v>
      </c>
      <c r="BD12020">
        <v>0</v>
      </c>
      <c r="BE12020">
        <v>0</v>
      </c>
      <c r="BF12020">
        <v>0</v>
      </c>
      <c r="BG12020">
        <v>0</v>
      </c>
      <c r="BH12020">
        <v>0</v>
      </c>
      <c r="BI12020">
        <v>0</v>
      </c>
      <c r="BJ12020">
        <v>0</v>
      </c>
      <c r="BK12020">
        <v>0</v>
      </c>
      <c r="BL12020">
        <v>0</v>
      </c>
      <c r="BM12020">
        <v>0</v>
      </c>
      <c r="BN12020">
        <v>0</v>
      </c>
      <c r="BO12020">
        <v>0</v>
      </c>
      <c r="BP12020">
        <v>0</v>
      </c>
      <c r="BQ12020">
        <v>0</v>
      </c>
      <c r="BR12020">
        <v>0</v>
      </c>
      <c r="BS12020">
        <v>0</v>
      </c>
      <c r="BT12020">
        <v>0</v>
      </c>
      <c r="BU12020">
        <v>0</v>
      </c>
      <c r="BV12020">
        <v>0</v>
      </c>
      <c r="BW12020">
        <v>0</v>
      </c>
      <c r="BX12020">
        <v>0</v>
      </c>
      <c r="BY12020">
        <v>0</v>
      </c>
      <c r="BZ12020">
        <v>0</v>
      </c>
    </row>
    <row r="12021" spans="1:78" x14ac:dyDescent="0.2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  <c r="H12021">
        <v>0</v>
      </c>
      <c r="I12021">
        <v>0</v>
      </c>
      <c r="J12021">
        <v>0</v>
      </c>
      <c r="K12021">
        <v>0</v>
      </c>
      <c r="L12021">
        <v>0</v>
      </c>
      <c r="M12021">
        <v>0</v>
      </c>
      <c r="N12021">
        <v>0</v>
      </c>
      <c r="O12021">
        <v>0</v>
      </c>
      <c r="P12021">
        <v>0</v>
      </c>
      <c r="Q12021">
        <v>0</v>
      </c>
      <c r="R12021">
        <v>0</v>
      </c>
      <c r="S12021">
        <v>0</v>
      </c>
      <c r="T12021">
        <v>0</v>
      </c>
      <c r="U12021">
        <v>0</v>
      </c>
      <c r="V12021">
        <v>0</v>
      </c>
      <c r="W12021">
        <v>0</v>
      </c>
      <c r="X12021">
        <v>0</v>
      </c>
      <c r="Y12021">
        <v>0</v>
      </c>
      <c r="Z12021">
        <v>0</v>
      </c>
      <c r="AA12021">
        <v>0</v>
      </c>
      <c r="AB12021">
        <v>0</v>
      </c>
      <c r="AC12021">
        <v>0</v>
      </c>
      <c r="AD12021">
        <v>0</v>
      </c>
      <c r="AE12021">
        <v>0</v>
      </c>
      <c r="AF12021">
        <v>0</v>
      </c>
      <c r="AG12021">
        <v>0</v>
      </c>
      <c r="AH12021">
        <v>0</v>
      </c>
      <c r="AI12021">
        <v>0</v>
      </c>
      <c r="AJ12021">
        <v>0</v>
      </c>
      <c r="AK12021">
        <v>0</v>
      </c>
      <c r="AL12021">
        <v>0</v>
      </c>
      <c r="AM12021">
        <v>0</v>
      </c>
      <c r="AN12021">
        <v>0</v>
      </c>
      <c r="AO12021">
        <v>0</v>
      </c>
      <c r="AP12021">
        <v>0</v>
      </c>
      <c r="AQ12021">
        <v>0</v>
      </c>
      <c r="AR12021">
        <v>0</v>
      </c>
      <c r="AS12021">
        <v>0</v>
      </c>
      <c r="AT12021">
        <v>0</v>
      </c>
      <c r="AU12021">
        <v>0</v>
      </c>
      <c r="AV12021">
        <v>0</v>
      </c>
      <c r="AW12021">
        <v>0</v>
      </c>
      <c r="AX12021">
        <v>0</v>
      </c>
      <c r="AY12021">
        <v>0</v>
      </c>
      <c r="AZ12021">
        <v>0</v>
      </c>
      <c r="BA12021">
        <v>0</v>
      </c>
      <c r="BB12021">
        <v>0</v>
      </c>
      <c r="BC12021">
        <v>0</v>
      </c>
      <c r="BD12021">
        <v>0</v>
      </c>
      <c r="BE12021">
        <v>0</v>
      </c>
      <c r="BF12021">
        <v>0</v>
      </c>
      <c r="BG12021">
        <v>0</v>
      </c>
      <c r="BH12021">
        <v>0</v>
      </c>
      <c r="BI12021">
        <v>0</v>
      </c>
      <c r="BJ12021">
        <v>0</v>
      </c>
      <c r="BK12021">
        <v>0</v>
      </c>
      <c r="BL12021">
        <v>0</v>
      </c>
      <c r="BM12021">
        <v>0</v>
      </c>
      <c r="BN12021">
        <v>0</v>
      </c>
      <c r="BO12021">
        <v>0</v>
      </c>
      <c r="BP12021">
        <v>0</v>
      </c>
      <c r="BQ12021">
        <v>0</v>
      </c>
      <c r="BR12021">
        <v>0</v>
      </c>
      <c r="BS12021">
        <v>0</v>
      </c>
      <c r="BT12021">
        <v>0</v>
      </c>
      <c r="BU12021">
        <v>0</v>
      </c>
      <c r="BV12021">
        <v>0</v>
      </c>
      <c r="BW12021">
        <v>0</v>
      </c>
      <c r="BX12021">
        <v>0</v>
      </c>
      <c r="BY12021">
        <v>0</v>
      </c>
      <c r="BZ12021">
        <v>0</v>
      </c>
    </row>
    <row r="12022" spans="1:78" x14ac:dyDescent="0.2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  <c r="H12022">
        <v>0</v>
      </c>
      <c r="I12022">
        <v>0</v>
      </c>
      <c r="J12022">
        <v>0</v>
      </c>
      <c r="K12022">
        <v>0</v>
      </c>
      <c r="L12022">
        <v>0</v>
      </c>
      <c r="M12022">
        <v>0</v>
      </c>
      <c r="N12022">
        <v>0</v>
      </c>
      <c r="O12022">
        <v>0</v>
      </c>
      <c r="P12022">
        <v>0</v>
      </c>
      <c r="Q12022">
        <v>0</v>
      </c>
      <c r="R12022">
        <v>0</v>
      </c>
      <c r="S12022">
        <v>0</v>
      </c>
      <c r="T12022">
        <v>0</v>
      </c>
      <c r="U12022">
        <v>0</v>
      </c>
      <c r="V12022">
        <v>0</v>
      </c>
      <c r="W12022">
        <v>0</v>
      </c>
      <c r="X12022">
        <v>0</v>
      </c>
      <c r="Y12022">
        <v>0</v>
      </c>
      <c r="Z12022">
        <v>0</v>
      </c>
      <c r="AA12022">
        <v>0</v>
      </c>
      <c r="AB12022">
        <v>0</v>
      </c>
      <c r="AC12022">
        <v>0</v>
      </c>
      <c r="AD12022">
        <v>0</v>
      </c>
      <c r="AE12022">
        <v>0</v>
      </c>
      <c r="AF12022">
        <v>0</v>
      </c>
      <c r="AG12022">
        <v>0</v>
      </c>
      <c r="AH12022">
        <v>0</v>
      </c>
      <c r="AI12022">
        <v>0</v>
      </c>
      <c r="AJ12022">
        <v>0</v>
      </c>
      <c r="AK12022">
        <v>0</v>
      </c>
      <c r="AL12022">
        <v>0</v>
      </c>
      <c r="AM12022">
        <v>0</v>
      </c>
      <c r="AN12022">
        <v>0</v>
      </c>
      <c r="AO12022">
        <v>0</v>
      </c>
      <c r="AP12022">
        <v>0</v>
      </c>
      <c r="AQ12022">
        <v>0</v>
      </c>
      <c r="AR12022">
        <v>0</v>
      </c>
      <c r="AS12022">
        <v>0</v>
      </c>
      <c r="AT12022">
        <v>0</v>
      </c>
      <c r="AU12022">
        <v>0</v>
      </c>
      <c r="AV12022">
        <v>0</v>
      </c>
      <c r="AW12022">
        <v>0</v>
      </c>
      <c r="AX12022">
        <v>0</v>
      </c>
      <c r="AY12022">
        <v>0</v>
      </c>
      <c r="AZ12022">
        <v>0</v>
      </c>
      <c r="BA12022">
        <v>0</v>
      </c>
      <c r="BB12022">
        <v>0</v>
      </c>
      <c r="BC12022">
        <v>0</v>
      </c>
      <c r="BD12022">
        <v>0</v>
      </c>
      <c r="BE12022">
        <v>0</v>
      </c>
      <c r="BF12022">
        <v>0</v>
      </c>
      <c r="BG12022">
        <v>0</v>
      </c>
      <c r="BH12022">
        <v>0</v>
      </c>
      <c r="BI12022">
        <v>0</v>
      </c>
      <c r="BJ12022">
        <v>0</v>
      </c>
      <c r="BK12022">
        <v>0</v>
      </c>
      <c r="BL12022">
        <v>0</v>
      </c>
      <c r="BM12022">
        <v>0</v>
      </c>
      <c r="BN12022">
        <v>0</v>
      </c>
      <c r="BO12022">
        <v>0</v>
      </c>
      <c r="BP12022">
        <v>0</v>
      </c>
      <c r="BQ12022">
        <v>0</v>
      </c>
      <c r="BR12022">
        <v>0</v>
      </c>
      <c r="BS12022">
        <v>0</v>
      </c>
      <c r="BT12022">
        <v>0</v>
      </c>
      <c r="BU12022">
        <v>0</v>
      </c>
      <c r="BV12022">
        <v>0</v>
      </c>
      <c r="BW12022">
        <v>0</v>
      </c>
      <c r="BX12022">
        <v>0</v>
      </c>
      <c r="BY12022">
        <v>0</v>
      </c>
      <c r="BZ12022">
        <v>0</v>
      </c>
    </row>
    <row r="12023" spans="1:78" x14ac:dyDescent="0.2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  <c r="H12023">
        <v>0</v>
      </c>
      <c r="I12023">
        <v>0</v>
      </c>
      <c r="J12023">
        <v>0</v>
      </c>
      <c r="K12023">
        <v>0</v>
      </c>
      <c r="L12023">
        <v>0</v>
      </c>
      <c r="M12023">
        <v>0</v>
      </c>
      <c r="N12023">
        <v>0</v>
      </c>
      <c r="O12023">
        <v>0</v>
      </c>
      <c r="P12023">
        <v>0</v>
      </c>
      <c r="Q12023">
        <v>0</v>
      </c>
      <c r="R12023">
        <v>0</v>
      </c>
      <c r="S12023">
        <v>0</v>
      </c>
      <c r="T12023">
        <v>0</v>
      </c>
      <c r="U12023">
        <v>0</v>
      </c>
      <c r="V12023">
        <v>0</v>
      </c>
      <c r="W12023">
        <v>0</v>
      </c>
      <c r="X12023">
        <v>0</v>
      </c>
      <c r="Y12023">
        <v>0</v>
      </c>
      <c r="Z12023">
        <v>0</v>
      </c>
      <c r="AA12023">
        <v>0</v>
      </c>
      <c r="AB12023">
        <v>0</v>
      </c>
      <c r="AC12023">
        <v>0</v>
      </c>
      <c r="AD12023">
        <v>0</v>
      </c>
      <c r="AE12023">
        <v>0</v>
      </c>
      <c r="AF12023">
        <v>0</v>
      </c>
      <c r="AG12023">
        <v>0</v>
      </c>
      <c r="AH12023">
        <v>0</v>
      </c>
      <c r="AI12023">
        <v>0</v>
      </c>
      <c r="AJ12023">
        <v>0</v>
      </c>
      <c r="AK12023">
        <v>0</v>
      </c>
      <c r="AL12023">
        <v>0</v>
      </c>
      <c r="AM12023">
        <v>0</v>
      </c>
      <c r="AN12023">
        <v>0</v>
      </c>
      <c r="AO12023">
        <v>0</v>
      </c>
      <c r="AP12023">
        <v>0</v>
      </c>
      <c r="AQ12023">
        <v>0</v>
      </c>
      <c r="AR12023">
        <v>0</v>
      </c>
      <c r="AS12023">
        <v>0</v>
      </c>
      <c r="AT12023">
        <v>0</v>
      </c>
      <c r="AU12023">
        <v>0</v>
      </c>
      <c r="AV12023">
        <v>0</v>
      </c>
      <c r="AW12023">
        <v>0</v>
      </c>
      <c r="AX12023">
        <v>0</v>
      </c>
      <c r="AY12023">
        <v>0</v>
      </c>
      <c r="AZ12023">
        <v>0</v>
      </c>
      <c r="BA12023">
        <v>0</v>
      </c>
      <c r="BB12023">
        <v>0</v>
      </c>
      <c r="BC12023">
        <v>0</v>
      </c>
      <c r="BD12023">
        <v>0</v>
      </c>
      <c r="BE12023">
        <v>0</v>
      </c>
      <c r="BF12023">
        <v>0</v>
      </c>
      <c r="BG12023">
        <v>0</v>
      </c>
      <c r="BH12023">
        <v>0</v>
      </c>
      <c r="BI12023">
        <v>0</v>
      </c>
      <c r="BJ12023">
        <v>0</v>
      </c>
      <c r="BK12023">
        <v>0</v>
      </c>
      <c r="BL12023">
        <v>0</v>
      </c>
      <c r="BM12023">
        <v>0</v>
      </c>
      <c r="BN12023">
        <v>0</v>
      </c>
      <c r="BO12023">
        <v>0</v>
      </c>
      <c r="BP12023">
        <v>0</v>
      </c>
      <c r="BQ12023">
        <v>0</v>
      </c>
      <c r="BR12023">
        <v>0</v>
      </c>
      <c r="BS12023">
        <v>0</v>
      </c>
      <c r="BT12023">
        <v>0</v>
      </c>
      <c r="BU12023">
        <v>0</v>
      </c>
      <c r="BV12023">
        <v>0</v>
      </c>
      <c r="BW12023">
        <v>0</v>
      </c>
      <c r="BX12023">
        <v>0</v>
      </c>
      <c r="BY12023">
        <v>0</v>
      </c>
      <c r="BZ12023">
        <v>0</v>
      </c>
    </row>
    <row r="12024" spans="1:78" x14ac:dyDescent="0.2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  <c r="H12024">
        <v>0</v>
      </c>
      <c r="I12024">
        <v>0</v>
      </c>
      <c r="J12024">
        <v>0</v>
      </c>
      <c r="K12024">
        <v>0</v>
      </c>
      <c r="L12024">
        <v>0</v>
      </c>
      <c r="M12024">
        <v>0</v>
      </c>
      <c r="N12024">
        <v>0</v>
      </c>
      <c r="O12024">
        <v>0</v>
      </c>
      <c r="P12024">
        <v>0</v>
      </c>
      <c r="Q12024">
        <v>0</v>
      </c>
      <c r="R12024">
        <v>0</v>
      </c>
      <c r="S12024">
        <v>0</v>
      </c>
      <c r="T12024">
        <v>0</v>
      </c>
      <c r="U12024">
        <v>0</v>
      </c>
      <c r="V12024">
        <v>0</v>
      </c>
      <c r="W12024">
        <v>0</v>
      </c>
      <c r="X12024">
        <v>0</v>
      </c>
      <c r="Y12024">
        <v>0</v>
      </c>
      <c r="Z12024">
        <v>0</v>
      </c>
      <c r="AA12024">
        <v>0</v>
      </c>
      <c r="AB12024">
        <v>0</v>
      </c>
      <c r="AC12024">
        <v>0</v>
      </c>
      <c r="AD12024">
        <v>0</v>
      </c>
      <c r="AE12024">
        <v>0</v>
      </c>
      <c r="AF12024">
        <v>0</v>
      </c>
      <c r="AG12024">
        <v>0</v>
      </c>
      <c r="AH12024">
        <v>0</v>
      </c>
      <c r="AI12024">
        <v>0</v>
      </c>
      <c r="AJ12024">
        <v>0</v>
      </c>
      <c r="AK12024">
        <v>0</v>
      </c>
      <c r="AL12024">
        <v>0</v>
      </c>
      <c r="AM12024">
        <v>0</v>
      </c>
      <c r="AN12024">
        <v>0</v>
      </c>
      <c r="AO12024">
        <v>0</v>
      </c>
      <c r="AP12024">
        <v>0</v>
      </c>
      <c r="AQ12024">
        <v>0</v>
      </c>
      <c r="AR12024">
        <v>0</v>
      </c>
      <c r="AS12024">
        <v>0</v>
      </c>
      <c r="AT12024">
        <v>0</v>
      </c>
      <c r="AU12024">
        <v>0</v>
      </c>
      <c r="AV12024">
        <v>0</v>
      </c>
      <c r="AW12024">
        <v>0</v>
      </c>
      <c r="AX12024">
        <v>0</v>
      </c>
      <c r="AY12024">
        <v>0</v>
      </c>
      <c r="AZ12024">
        <v>0</v>
      </c>
      <c r="BA12024">
        <v>0</v>
      </c>
      <c r="BB12024">
        <v>0</v>
      </c>
      <c r="BC12024">
        <v>0</v>
      </c>
      <c r="BD12024">
        <v>0</v>
      </c>
      <c r="BE12024">
        <v>0</v>
      </c>
      <c r="BF12024">
        <v>0</v>
      </c>
      <c r="BG12024">
        <v>0</v>
      </c>
      <c r="BH12024">
        <v>0</v>
      </c>
      <c r="BI12024">
        <v>0</v>
      </c>
      <c r="BJ12024">
        <v>0</v>
      </c>
      <c r="BK12024">
        <v>0</v>
      </c>
      <c r="BL12024">
        <v>0</v>
      </c>
      <c r="BM12024">
        <v>0</v>
      </c>
      <c r="BN12024">
        <v>0</v>
      </c>
      <c r="BO12024">
        <v>0</v>
      </c>
      <c r="BP12024">
        <v>0</v>
      </c>
      <c r="BQ12024">
        <v>0</v>
      </c>
      <c r="BR12024">
        <v>0</v>
      </c>
      <c r="BS12024">
        <v>0</v>
      </c>
      <c r="BT12024">
        <v>0</v>
      </c>
      <c r="BU12024">
        <v>0</v>
      </c>
      <c r="BV12024">
        <v>0</v>
      </c>
      <c r="BW12024">
        <v>0</v>
      </c>
      <c r="BX12024">
        <v>0</v>
      </c>
      <c r="BY12024">
        <v>0</v>
      </c>
      <c r="BZ12024">
        <v>0</v>
      </c>
    </row>
    <row r="12025" spans="1:78" x14ac:dyDescent="0.2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  <c r="H12025">
        <v>0</v>
      </c>
      <c r="I12025">
        <v>0</v>
      </c>
      <c r="J12025">
        <v>0</v>
      </c>
      <c r="K12025">
        <v>0</v>
      </c>
      <c r="L12025">
        <v>0</v>
      </c>
      <c r="M12025">
        <v>0</v>
      </c>
      <c r="N12025">
        <v>0</v>
      </c>
      <c r="O12025">
        <v>0</v>
      </c>
      <c r="P12025">
        <v>0</v>
      </c>
      <c r="Q12025">
        <v>0</v>
      </c>
      <c r="R12025">
        <v>0</v>
      </c>
      <c r="S12025">
        <v>0</v>
      </c>
      <c r="T12025">
        <v>0</v>
      </c>
      <c r="U12025">
        <v>0</v>
      </c>
      <c r="V12025">
        <v>0</v>
      </c>
      <c r="W12025">
        <v>0</v>
      </c>
      <c r="X12025">
        <v>0</v>
      </c>
      <c r="Y12025">
        <v>0</v>
      </c>
      <c r="Z12025">
        <v>0</v>
      </c>
      <c r="AA12025">
        <v>0</v>
      </c>
      <c r="AB12025">
        <v>0</v>
      </c>
      <c r="AC12025">
        <v>0</v>
      </c>
      <c r="AD12025">
        <v>0</v>
      </c>
      <c r="AE12025">
        <v>0</v>
      </c>
      <c r="AF12025">
        <v>0</v>
      </c>
      <c r="AG12025">
        <v>0</v>
      </c>
      <c r="AH12025">
        <v>0</v>
      </c>
      <c r="AI12025">
        <v>0</v>
      </c>
      <c r="AJ12025">
        <v>0</v>
      </c>
      <c r="AK12025">
        <v>0</v>
      </c>
      <c r="AL12025">
        <v>0</v>
      </c>
      <c r="AM12025">
        <v>0</v>
      </c>
      <c r="AN12025">
        <v>0</v>
      </c>
      <c r="AO12025">
        <v>0</v>
      </c>
      <c r="AP12025">
        <v>0</v>
      </c>
      <c r="AQ12025">
        <v>0</v>
      </c>
      <c r="AR12025">
        <v>0</v>
      </c>
      <c r="AS12025">
        <v>0</v>
      </c>
      <c r="AT12025">
        <v>0</v>
      </c>
      <c r="AU12025">
        <v>0</v>
      </c>
      <c r="AV12025">
        <v>0</v>
      </c>
      <c r="AW12025">
        <v>0</v>
      </c>
      <c r="AX12025">
        <v>0</v>
      </c>
      <c r="AY12025">
        <v>0</v>
      </c>
      <c r="AZ12025">
        <v>0</v>
      </c>
      <c r="BA12025">
        <v>0</v>
      </c>
      <c r="BB12025">
        <v>0</v>
      </c>
      <c r="BC12025">
        <v>0</v>
      </c>
      <c r="BD12025">
        <v>0</v>
      </c>
      <c r="BE12025">
        <v>0</v>
      </c>
      <c r="BF12025">
        <v>0</v>
      </c>
      <c r="BG12025">
        <v>0</v>
      </c>
      <c r="BH12025">
        <v>0</v>
      </c>
      <c r="BI12025">
        <v>0</v>
      </c>
      <c r="BJ12025">
        <v>0</v>
      </c>
      <c r="BK12025">
        <v>0</v>
      </c>
      <c r="BL12025">
        <v>0</v>
      </c>
      <c r="BM12025">
        <v>0</v>
      </c>
      <c r="BN12025">
        <v>0</v>
      </c>
      <c r="BO12025">
        <v>0</v>
      </c>
      <c r="BP12025">
        <v>0</v>
      </c>
      <c r="BQ12025">
        <v>0</v>
      </c>
      <c r="BR12025">
        <v>0</v>
      </c>
      <c r="BS12025">
        <v>0</v>
      </c>
      <c r="BT12025">
        <v>0</v>
      </c>
      <c r="BU12025">
        <v>0</v>
      </c>
      <c r="BV12025">
        <v>0</v>
      </c>
      <c r="BW12025">
        <v>0</v>
      </c>
      <c r="BX12025">
        <v>0</v>
      </c>
      <c r="BY12025">
        <v>0</v>
      </c>
      <c r="BZ12025">
        <v>0</v>
      </c>
    </row>
    <row r="12026" spans="1:78" x14ac:dyDescent="0.2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  <c r="H12026">
        <v>0</v>
      </c>
      <c r="I12026">
        <v>0</v>
      </c>
      <c r="J12026">
        <v>0</v>
      </c>
      <c r="K12026">
        <v>0</v>
      </c>
      <c r="L12026">
        <v>0</v>
      </c>
      <c r="M12026">
        <v>0</v>
      </c>
      <c r="N12026">
        <v>0</v>
      </c>
      <c r="O12026">
        <v>0</v>
      </c>
      <c r="P12026">
        <v>0</v>
      </c>
      <c r="Q12026">
        <v>0</v>
      </c>
      <c r="R12026">
        <v>0</v>
      </c>
      <c r="S12026">
        <v>0</v>
      </c>
      <c r="T12026">
        <v>0</v>
      </c>
      <c r="U12026">
        <v>0</v>
      </c>
      <c r="V12026">
        <v>0</v>
      </c>
      <c r="W12026">
        <v>0</v>
      </c>
      <c r="X12026">
        <v>0</v>
      </c>
      <c r="Y12026">
        <v>0</v>
      </c>
      <c r="Z12026">
        <v>0</v>
      </c>
      <c r="AA12026">
        <v>0</v>
      </c>
      <c r="AB12026">
        <v>0</v>
      </c>
      <c r="AC12026">
        <v>0</v>
      </c>
      <c r="AD12026">
        <v>0</v>
      </c>
      <c r="AE12026">
        <v>0</v>
      </c>
      <c r="AF12026">
        <v>0</v>
      </c>
      <c r="AG12026">
        <v>0</v>
      </c>
      <c r="AH12026">
        <v>0</v>
      </c>
      <c r="AI12026">
        <v>0</v>
      </c>
      <c r="AJ12026">
        <v>0</v>
      </c>
      <c r="AK12026">
        <v>0</v>
      </c>
      <c r="AL12026">
        <v>0</v>
      </c>
      <c r="AM12026">
        <v>0</v>
      </c>
      <c r="AN12026">
        <v>0</v>
      </c>
      <c r="AO12026">
        <v>0</v>
      </c>
      <c r="AP12026">
        <v>0</v>
      </c>
      <c r="AQ12026">
        <v>0</v>
      </c>
      <c r="AR12026">
        <v>0</v>
      </c>
      <c r="AS12026">
        <v>0</v>
      </c>
      <c r="AT12026">
        <v>0</v>
      </c>
      <c r="AU12026">
        <v>0</v>
      </c>
      <c r="AV12026">
        <v>0</v>
      </c>
      <c r="AW12026">
        <v>0</v>
      </c>
      <c r="AX12026">
        <v>0</v>
      </c>
      <c r="AY12026">
        <v>0</v>
      </c>
      <c r="AZ12026">
        <v>0</v>
      </c>
      <c r="BA12026">
        <v>0</v>
      </c>
      <c r="BB12026">
        <v>0</v>
      </c>
      <c r="BC12026">
        <v>0</v>
      </c>
      <c r="BD12026">
        <v>0</v>
      </c>
      <c r="BE12026">
        <v>0</v>
      </c>
      <c r="BF12026">
        <v>0</v>
      </c>
      <c r="BG12026">
        <v>0</v>
      </c>
      <c r="BH12026">
        <v>0</v>
      </c>
      <c r="BI12026">
        <v>0</v>
      </c>
      <c r="BJ12026">
        <v>0</v>
      </c>
      <c r="BK12026">
        <v>0</v>
      </c>
      <c r="BL12026">
        <v>0</v>
      </c>
      <c r="BM12026">
        <v>0</v>
      </c>
      <c r="BN12026">
        <v>0</v>
      </c>
      <c r="BO12026">
        <v>0</v>
      </c>
      <c r="BP12026">
        <v>0</v>
      </c>
      <c r="BQ12026">
        <v>0</v>
      </c>
      <c r="BR12026">
        <v>0</v>
      </c>
      <c r="BS12026">
        <v>0</v>
      </c>
      <c r="BT12026">
        <v>0</v>
      </c>
      <c r="BU12026">
        <v>0</v>
      </c>
      <c r="BV12026">
        <v>0</v>
      </c>
      <c r="BW12026">
        <v>0</v>
      </c>
      <c r="BX12026">
        <v>0</v>
      </c>
      <c r="BY12026">
        <v>0</v>
      </c>
      <c r="BZ12026">
        <v>0</v>
      </c>
    </row>
    <row r="12027" spans="1:78" x14ac:dyDescent="0.2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  <c r="H12027">
        <v>0</v>
      </c>
      <c r="I12027">
        <v>0</v>
      </c>
      <c r="J12027">
        <v>0</v>
      </c>
      <c r="K12027">
        <v>0</v>
      </c>
      <c r="L12027">
        <v>0</v>
      </c>
      <c r="M12027">
        <v>0</v>
      </c>
      <c r="N12027">
        <v>0</v>
      </c>
      <c r="O12027">
        <v>0</v>
      </c>
      <c r="P12027">
        <v>0</v>
      </c>
      <c r="Q12027">
        <v>0</v>
      </c>
      <c r="R12027">
        <v>0</v>
      </c>
      <c r="S12027">
        <v>0</v>
      </c>
      <c r="T12027">
        <v>0</v>
      </c>
      <c r="U12027">
        <v>0</v>
      </c>
      <c r="V12027">
        <v>0</v>
      </c>
      <c r="W12027">
        <v>0</v>
      </c>
      <c r="X12027">
        <v>0</v>
      </c>
      <c r="Y12027">
        <v>0</v>
      </c>
      <c r="Z12027">
        <v>0</v>
      </c>
      <c r="AA12027">
        <v>0</v>
      </c>
      <c r="AB12027">
        <v>0</v>
      </c>
      <c r="AC12027">
        <v>0</v>
      </c>
      <c r="AD12027">
        <v>0</v>
      </c>
      <c r="AE12027">
        <v>0</v>
      </c>
      <c r="AF12027">
        <v>0</v>
      </c>
      <c r="AG12027">
        <v>0</v>
      </c>
      <c r="AH12027">
        <v>0</v>
      </c>
      <c r="AI12027">
        <v>0</v>
      </c>
      <c r="AJ12027">
        <v>0</v>
      </c>
      <c r="AK12027">
        <v>0</v>
      </c>
      <c r="AL12027">
        <v>0</v>
      </c>
      <c r="AM12027">
        <v>0</v>
      </c>
      <c r="AN12027">
        <v>0</v>
      </c>
      <c r="AO12027">
        <v>0</v>
      </c>
      <c r="AP12027">
        <v>0</v>
      </c>
      <c r="AQ12027">
        <v>0</v>
      </c>
      <c r="AR12027">
        <v>0</v>
      </c>
      <c r="AS12027">
        <v>0</v>
      </c>
      <c r="AT12027">
        <v>0</v>
      </c>
      <c r="AU12027">
        <v>0</v>
      </c>
      <c r="AV12027">
        <v>0</v>
      </c>
      <c r="AW12027">
        <v>0</v>
      </c>
      <c r="AX12027">
        <v>0</v>
      </c>
      <c r="AY12027">
        <v>0</v>
      </c>
      <c r="AZ12027">
        <v>0</v>
      </c>
      <c r="BA12027">
        <v>0</v>
      </c>
      <c r="BB12027">
        <v>0</v>
      </c>
      <c r="BC12027">
        <v>0</v>
      </c>
      <c r="BD12027">
        <v>0</v>
      </c>
      <c r="BE12027">
        <v>0</v>
      </c>
      <c r="BF12027">
        <v>0</v>
      </c>
      <c r="BG12027">
        <v>0</v>
      </c>
      <c r="BH12027">
        <v>0</v>
      </c>
      <c r="BI12027">
        <v>0</v>
      </c>
      <c r="BJ12027">
        <v>0</v>
      </c>
      <c r="BK12027">
        <v>0</v>
      </c>
      <c r="BL12027">
        <v>0</v>
      </c>
      <c r="BM12027">
        <v>0</v>
      </c>
      <c r="BN12027">
        <v>0</v>
      </c>
      <c r="BO12027">
        <v>0</v>
      </c>
      <c r="BP12027">
        <v>0</v>
      </c>
      <c r="BQ12027">
        <v>0</v>
      </c>
      <c r="BR12027">
        <v>0</v>
      </c>
      <c r="BS12027">
        <v>0</v>
      </c>
      <c r="BT12027">
        <v>0</v>
      </c>
      <c r="BU12027">
        <v>0</v>
      </c>
      <c r="BV12027">
        <v>0</v>
      </c>
      <c r="BW12027">
        <v>0</v>
      </c>
      <c r="BX12027">
        <v>0</v>
      </c>
      <c r="BY12027">
        <v>0</v>
      </c>
      <c r="BZ12027">
        <v>0</v>
      </c>
    </row>
    <row r="12028" spans="1:78" x14ac:dyDescent="0.2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  <c r="H12028">
        <v>0</v>
      </c>
      <c r="I12028">
        <v>0</v>
      </c>
      <c r="J12028">
        <v>0</v>
      </c>
      <c r="K12028">
        <v>0</v>
      </c>
      <c r="L12028">
        <v>0</v>
      </c>
      <c r="M12028">
        <v>0</v>
      </c>
      <c r="N12028">
        <v>0</v>
      </c>
      <c r="O12028">
        <v>0</v>
      </c>
      <c r="P12028">
        <v>0</v>
      </c>
      <c r="Q12028">
        <v>0</v>
      </c>
      <c r="R12028">
        <v>0</v>
      </c>
      <c r="S12028">
        <v>0</v>
      </c>
      <c r="T12028">
        <v>0</v>
      </c>
      <c r="U12028">
        <v>0</v>
      </c>
      <c r="V12028">
        <v>0</v>
      </c>
      <c r="W12028">
        <v>0</v>
      </c>
      <c r="X12028">
        <v>0</v>
      </c>
      <c r="Y12028">
        <v>0</v>
      </c>
      <c r="Z12028">
        <v>0</v>
      </c>
      <c r="AA12028">
        <v>0</v>
      </c>
      <c r="AB12028">
        <v>0</v>
      </c>
      <c r="AC12028">
        <v>0</v>
      </c>
      <c r="AD12028">
        <v>0</v>
      </c>
      <c r="AE12028">
        <v>0</v>
      </c>
      <c r="AF12028">
        <v>0</v>
      </c>
      <c r="AG12028">
        <v>0</v>
      </c>
      <c r="AH12028">
        <v>0</v>
      </c>
      <c r="AI12028">
        <v>0</v>
      </c>
      <c r="AJ12028">
        <v>0</v>
      </c>
      <c r="AK12028">
        <v>0</v>
      </c>
      <c r="AL12028">
        <v>0</v>
      </c>
      <c r="AM12028">
        <v>0</v>
      </c>
      <c r="AN12028">
        <v>0</v>
      </c>
      <c r="AO12028">
        <v>0</v>
      </c>
      <c r="AP12028">
        <v>0</v>
      </c>
      <c r="AQ12028">
        <v>0</v>
      </c>
      <c r="AR12028">
        <v>0</v>
      </c>
      <c r="AS12028">
        <v>0</v>
      </c>
      <c r="AT12028">
        <v>0</v>
      </c>
      <c r="AU12028">
        <v>0</v>
      </c>
      <c r="AV12028">
        <v>0</v>
      </c>
      <c r="AW12028">
        <v>0</v>
      </c>
      <c r="AX12028">
        <v>0</v>
      </c>
      <c r="AY12028">
        <v>0</v>
      </c>
      <c r="AZ12028">
        <v>0</v>
      </c>
      <c r="BA12028">
        <v>0</v>
      </c>
      <c r="BB12028">
        <v>0</v>
      </c>
      <c r="BC12028">
        <v>0</v>
      </c>
      <c r="BD12028">
        <v>0</v>
      </c>
      <c r="BE12028">
        <v>0</v>
      </c>
      <c r="BF12028">
        <v>0</v>
      </c>
      <c r="BG12028">
        <v>0</v>
      </c>
      <c r="BH12028">
        <v>0</v>
      </c>
      <c r="BI12028">
        <v>0</v>
      </c>
      <c r="BJ12028">
        <v>0</v>
      </c>
      <c r="BK12028">
        <v>0</v>
      </c>
      <c r="BL12028">
        <v>0</v>
      </c>
      <c r="BM12028">
        <v>0</v>
      </c>
      <c r="BN12028">
        <v>0</v>
      </c>
      <c r="BO12028">
        <v>0</v>
      </c>
      <c r="BP12028">
        <v>0</v>
      </c>
      <c r="BQ12028">
        <v>0</v>
      </c>
      <c r="BR12028">
        <v>0</v>
      </c>
      <c r="BS12028">
        <v>0</v>
      </c>
      <c r="BT12028">
        <v>0</v>
      </c>
      <c r="BU12028">
        <v>0</v>
      </c>
      <c r="BV12028">
        <v>0</v>
      </c>
      <c r="BW12028">
        <v>0</v>
      </c>
      <c r="BX12028">
        <v>0</v>
      </c>
      <c r="BY12028">
        <v>0</v>
      </c>
      <c r="BZ12028">
        <v>0</v>
      </c>
    </row>
    <row r="12029" spans="1:78" x14ac:dyDescent="0.2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  <c r="H12029">
        <v>0</v>
      </c>
      <c r="I12029">
        <v>0</v>
      </c>
      <c r="J12029">
        <v>0</v>
      </c>
      <c r="K12029">
        <v>0</v>
      </c>
      <c r="L12029">
        <v>0</v>
      </c>
      <c r="M12029">
        <v>0</v>
      </c>
      <c r="N12029">
        <v>0</v>
      </c>
      <c r="O12029">
        <v>0</v>
      </c>
      <c r="P12029">
        <v>0</v>
      </c>
      <c r="Q12029">
        <v>0</v>
      </c>
      <c r="R12029">
        <v>0</v>
      </c>
      <c r="S12029">
        <v>0</v>
      </c>
      <c r="T12029">
        <v>0</v>
      </c>
      <c r="U12029">
        <v>0</v>
      </c>
      <c r="V12029">
        <v>0</v>
      </c>
      <c r="W12029">
        <v>0</v>
      </c>
      <c r="X12029">
        <v>0</v>
      </c>
      <c r="Y12029">
        <v>0</v>
      </c>
      <c r="Z12029">
        <v>0</v>
      </c>
      <c r="AA12029">
        <v>0</v>
      </c>
      <c r="AB12029">
        <v>0</v>
      </c>
      <c r="AC12029">
        <v>0</v>
      </c>
      <c r="AD12029">
        <v>0</v>
      </c>
      <c r="AE12029">
        <v>0</v>
      </c>
      <c r="AF12029">
        <v>0</v>
      </c>
      <c r="AG12029">
        <v>0</v>
      </c>
      <c r="AH12029">
        <v>0</v>
      </c>
      <c r="AI12029">
        <v>0</v>
      </c>
      <c r="AJ12029">
        <v>0</v>
      </c>
      <c r="AK12029">
        <v>0</v>
      </c>
      <c r="AL12029">
        <v>0</v>
      </c>
      <c r="AM12029">
        <v>0</v>
      </c>
      <c r="AN12029">
        <v>0</v>
      </c>
      <c r="AO12029">
        <v>0</v>
      </c>
      <c r="AP12029">
        <v>0</v>
      </c>
      <c r="AQ12029">
        <v>0</v>
      </c>
      <c r="AR12029">
        <v>0</v>
      </c>
      <c r="AS12029">
        <v>0</v>
      </c>
      <c r="AT12029">
        <v>0</v>
      </c>
      <c r="AU12029">
        <v>0</v>
      </c>
      <c r="AV12029">
        <v>0</v>
      </c>
      <c r="AW12029">
        <v>0</v>
      </c>
      <c r="AX12029">
        <v>0</v>
      </c>
      <c r="AY12029">
        <v>0</v>
      </c>
      <c r="AZ12029">
        <v>0</v>
      </c>
      <c r="BA12029">
        <v>0</v>
      </c>
      <c r="BB12029">
        <v>0</v>
      </c>
      <c r="BC12029">
        <v>0</v>
      </c>
      <c r="BD12029">
        <v>0</v>
      </c>
      <c r="BE12029">
        <v>0</v>
      </c>
      <c r="BF12029">
        <v>0</v>
      </c>
      <c r="BG12029">
        <v>0</v>
      </c>
      <c r="BH12029">
        <v>0</v>
      </c>
      <c r="BI12029">
        <v>0</v>
      </c>
      <c r="BJ12029">
        <v>0</v>
      </c>
      <c r="BK12029">
        <v>0</v>
      </c>
      <c r="BL12029">
        <v>0</v>
      </c>
      <c r="BM12029">
        <v>0</v>
      </c>
      <c r="BN12029">
        <v>0</v>
      </c>
      <c r="BO12029">
        <v>0</v>
      </c>
      <c r="BP12029">
        <v>0</v>
      </c>
      <c r="BQ12029">
        <v>0</v>
      </c>
      <c r="BR12029">
        <v>0</v>
      </c>
      <c r="BS12029">
        <v>0</v>
      </c>
      <c r="BT12029">
        <v>0</v>
      </c>
      <c r="BU12029">
        <v>0</v>
      </c>
      <c r="BV12029">
        <v>0</v>
      </c>
      <c r="BW12029">
        <v>0</v>
      </c>
      <c r="BX12029">
        <v>0</v>
      </c>
      <c r="BY12029">
        <v>0</v>
      </c>
      <c r="BZ12029">
        <v>0</v>
      </c>
    </row>
    <row r="12030" spans="1:78" x14ac:dyDescent="0.2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  <c r="H12030">
        <v>0</v>
      </c>
      <c r="I12030">
        <v>0</v>
      </c>
      <c r="J12030">
        <v>0</v>
      </c>
      <c r="K12030">
        <v>0</v>
      </c>
      <c r="L12030">
        <v>0</v>
      </c>
      <c r="M12030">
        <v>0</v>
      </c>
      <c r="N12030">
        <v>0</v>
      </c>
      <c r="O12030">
        <v>0</v>
      </c>
      <c r="P12030">
        <v>0</v>
      </c>
      <c r="Q12030">
        <v>0</v>
      </c>
      <c r="R12030">
        <v>0</v>
      </c>
      <c r="S12030">
        <v>0</v>
      </c>
      <c r="T12030">
        <v>0</v>
      </c>
      <c r="U12030">
        <v>0</v>
      </c>
      <c r="V12030">
        <v>0</v>
      </c>
      <c r="W12030">
        <v>0</v>
      </c>
      <c r="X12030">
        <v>0</v>
      </c>
      <c r="Y12030">
        <v>0</v>
      </c>
      <c r="Z12030">
        <v>0</v>
      </c>
      <c r="AA12030">
        <v>0</v>
      </c>
      <c r="AB12030">
        <v>0</v>
      </c>
      <c r="AC12030">
        <v>0</v>
      </c>
      <c r="AD12030">
        <v>0</v>
      </c>
      <c r="AE12030">
        <v>0</v>
      </c>
      <c r="AF12030">
        <v>0</v>
      </c>
      <c r="AG12030">
        <v>0</v>
      </c>
      <c r="AH12030">
        <v>0</v>
      </c>
      <c r="AI12030">
        <v>0</v>
      </c>
      <c r="AJ12030">
        <v>0</v>
      </c>
      <c r="AK12030">
        <v>0</v>
      </c>
      <c r="AL12030">
        <v>0</v>
      </c>
      <c r="AM12030">
        <v>0</v>
      </c>
      <c r="AN12030">
        <v>0</v>
      </c>
      <c r="AO12030">
        <v>0</v>
      </c>
      <c r="AP12030">
        <v>0</v>
      </c>
      <c r="AQ12030">
        <v>0</v>
      </c>
      <c r="AR12030">
        <v>0</v>
      </c>
      <c r="AS12030">
        <v>0</v>
      </c>
      <c r="AT12030">
        <v>0</v>
      </c>
      <c r="AU12030">
        <v>0</v>
      </c>
      <c r="AV12030">
        <v>0</v>
      </c>
      <c r="AW12030">
        <v>0</v>
      </c>
      <c r="AX12030">
        <v>0</v>
      </c>
      <c r="AY12030">
        <v>0</v>
      </c>
      <c r="AZ12030">
        <v>0</v>
      </c>
      <c r="BA12030">
        <v>0</v>
      </c>
      <c r="BB12030">
        <v>0</v>
      </c>
      <c r="BC12030">
        <v>0</v>
      </c>
      <c r="BD12030">
        <v>0</v>
      </c>
      <c r="BE12030">
        <v>0</v>
      </c>
      <c r="BF12030">
        <v>0</v>
      </c>
      <c r="BG12030">
        <v>0</v>
      </c>
      <c r="BH12030">
        <v>0</v>
      </c>
      <c r="BI12030">
        <v>0</v>
      </c>
      <c r="BJ12030">
        <v>0</v>
      </c>
      <c r="BK12030">
        <v>0</v>
      </c>
      <c r="BL12030">
        <v>0</v>
      </c>
      <c r="BM12030">
        <v>0</v>
      </c>
      <c r="BN12030">
        <v>0</v>
      </c>
      <c r="BO12030">
        <v>0</v>
      </c>
      <c r="BP12030">
        <v>0</v>
      </c>
      <c r="BQ12030">
        <v>0</v>
      </c>
      <c r="BR12030">
        <v>0</v>
      </c>
      <c r="BS12030">
        <v>0</v>
      </c>
      <c r="BT12030">
        <v>0</v>
      </c>
      <c r="BU12030">
        <v>0</v>
      </c>
      <c r="BV12030">
        <v>0</v>
      </c>
      <c r="BW12030">
        <v>0</v>
      </c>
      <c r="BX12030">
        <v>0</v>
      </c>
      <c r="BY12030">
        <v>0</v>
      </c>
      <c r="BZ12030">
        <v>0</v>
      </c>
    </row>
    <row r="12031" spans="1:78" x14ac:dyDescent="0.2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  <c r="H12031">
        <v>0</v>
      </c>
      <c r="I12031">
        <v>0</v>
      </c>
      <c r="J12031">
        <v>0</v>
      </c>
      <c r="K12031">
        <v>0</v>
      </c>
      <c r="L12031">
        <v>0</v>
      </c>
      <c r="M12031">
        <v>0</v>
      </c>
      <c r="N12031">
        <v>0</v>
      </c>
      <c r="O12031">
        <v>0</v>
      </c>
      <c r="P12031">
        <v>0</v>
      </c>
      <c r="Q12031">
        <v>0</v>
      </c>
      <c r="R12031">
        <v>0</v>
      </c>
      <c r="S12031">
        <v>0</v>
      </c>
      <c r="T12031">
        <v>0</v>
      </c>
      <c r="U12031">
        <v>0</v>
      </c>
      <c r="V12031">
        <v>0</v>
      </c>
      <c r="W12031">
        <v>0</v>
      </c>
      <c r="X12031">
        <v>0</v>
      </c>
      <c r="Y12031">
        <v>0</v>
      </c>
      <c r="Z12031">
        <v>0</v>
      </c>
      <c r="AA12031">
        <v>0</v>
      </c>
      <c r="AB12031">
        <v>0</v>
      </c>
      <c r="AC12031">
        <v>0</v>
      </c>
      <c r="AD12031">
        <v>0</v>
      </c>
      <c r="AE12031">
        <v>0</v>
      </c>
      <c r="AF12031">
        <v>0</v>
      </c>
      <c r="AG12031">
        <v>0</v>
      </c>
      <c r="AH12031">
        <v>0</v>
      </c>
      <c r="AI12031">
        <v>0</v>
      </c>
      <c r="AJ12031">
        <v>0</v>
      </c>
      <c r="AK12031">
        <v>0</v>
      </c>
      <c r="AL12031">
        <v>0</v>
      </c>
      <c r="AM12031">
        <v>0</v>
      </c>
      <c r="AN12031">
        <v>0</v>
      </c>
      <c r="AO12031">
        <v>0</v>
      </c>
      <c r="AP12031">
        <v>0</v>
      </c>
      <c r="AQ12031">
        <v>0</v>
      </c>
      <c r="AR12031">
        <v>0</v>
      </c>
      <c r="AS12031">
        <v>0</v>
      </c>
      <c r="AT12031">
        <v>0</v>
      </c>
      <c r="AU12031">
        <v>0</v>
      </c>
      <c r="AV12031">
        <v>0</v>
      </c>
      <c r="AW12031">
        <v>0</v>
      </c>
      <c r="AX12031">
        <v>0</v>
      </c>
      <c r="AY12031">
        <v>0</v>
      </c>
      <c r="AZ12031">
        <v>0</v>
      </c>
      <c r="BA12031">
        <v>0</v>
      </c>
      <c r="BB12031">
        <v>0</v>
      </c>
      <c r="BC12031">
        <v>0</v>
      </c>
      <c r="BD12031">
        <v>0</v>
      </c>
      <c r="BE12031">
        <v>0</v>
      </c>
      <c r="BF12031">
        <v>0</v>
      </c>
      <c r="BG12031">
        <v>0</v>
      </c>
      <c r="BH12031">
        <v>0</v>
      </c>
      <c r="BI12031">
        <v>0</v>
      </c>
      <c r="BJ12031">
        <v>0</v>
      </c>
      <c r="BK12031">
        <v>0</v>
      </c>
      <c r="BL12031">
        <v>0</v>
      </c>
      <c r="BM12031">
        <v>0</v>
      </c>
      <c r="BN12031">
        <v>0</v>
      </c>
      <c r="BO12031">
        <v>0</v>
      </c>
      <c r="BP12031">
        <v>0</v>
      </c>
      <c r="BQ12031">
        <v>0</v>
      </c>
      <c r="BR12031">
        <v>0</v>
      </c>
      <c r="BS12031">
        <v>0</v>
      </c>
      <c r="BT12031">
        <v>0</v>
      </c>
      <c r="BU12031">
        <v>0</v>
      </c>
      <c r="BV12031">
        <v>0</v>
      </c>
      <c r="BW12031">
        <v>0</v>
      </c>
      <c r="BX12031">
        <v>0</v>
      </c>
      <c r="BY12031">
        <v>0</v>
      </c>
      <c r="BZ12031">
        <v>0</v>
      </c>
    </row>
    <row r="12032" spans="1:78" x14ac:dyDescent="0.2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  <c r="H12032">
        <v>0</v>
      </c>
      <c r="I12032">
        <v>0</v>
      </c>
      <c r="J12032">
        <v>0</v>
      </c>
      <c r="K12032">
        <v>0</v>
      </c>
      <c r="L12032">
        <v>0</v>
      </c>
      <c r="M12032">
        <v>0</v>
      </c>
      <c r="N12032">
        <v>0</v>
      </c>
      <c r="O12032">
        <v>0</v>
      </c>
      <c r="P12032">
        <v>0</v>
      </c>
      <c r="Q12032">
        <v>0</v>
      </c>
      <c r="R12032">
        <v>0</v>
      </c>
      <c r="S12032">
        <v>0</v>
      </c>
      <c r="T12032">
        <v>0</v>
      </c>
      <c r="U12032">
        <v>0</v>
      </c>
      <c r="V12032">
        <v>0</v>
      </c>
      <c r="W12032">
        <v>0</v>
      </c>
      <c r="X12032">
        <v>0</v>
      </c>
      <c r="Y12032">
        <v>0</v>
      </c>
      <c r="Z12032">
        <v>0</v>
      </c>
      <c r="AA12032">
        <v>0</v>
      </c>
      <c r="AB12032">
        <v>0</v>
      </c>
      <c r="AC12032">
        <v>0</v>
      </c>
      <c r="AD12032">
        <v>0</v>
      </c>
      <c r="AE12032">
        <v>0</v>
      </c>
      <c r="AF12032">
        <v>0</v>
      </c>
      <c r="AG12032">
        <v>0</v>
      </c>
      <c r="AH12032">
        <v>0</v>
      </c>
      <c r="AI12032">
        <v>0</v>
      </c>
      <c r="AJ12032">
        <v>0</v>
      </c>
      <c r="AK12032">
        <v>0</v>
      </c>
      <c r="AL12032">
        <v>0</v>
      </c>
      <c r="AM12032">
        <v>0</v>
      </c>
      <c r="AN12032">
        <v>0</v>
      </c>
      <c r="AO12032">
        <v>0</v>
      </c>
      <c r="AP12032">
        <v>0</v>
      </c>
      <c r="AQ12032">
        <v>0</v>
      </c>
      <c r="AR12032">
        <v>0</v>
      </c>
      <c r="AS12032">
        <v>0</v>
      </c>
      <c r="AT12032">
        <v>0</v>
      </c>
      <c r="AU12032">
        <v>0</v>
      </c>
      <c r="AV12032">
        <v>0</v>
      </c>
      <c r="AW12032">
        <v>0</v>
      </c>
      <c r="AX12032">
        <v>0</v>
      </c>
      <c r="AY12032">
        <v>0</v>
      </c>
      <c r="AZ12032">
        <v>0</v>
      </c>
      <c r="BA12032">
        <v>0</v>
      </c>
      <c r="BB12032">
        <v>0</v>
      </c>
      <c r="BC12032">
        <v>0</v>
      </c>
      <c r="BD12032">
        <v>0</v>
      </c>
      <c r="BE12032">
        <v>0</v>
      </c>
      <c r="BF12032">
        <v>0</v>
      </c>
      <c r="BG12032">
        <v>0</v>
      </c>
      <c r="BH12032">
        <v>0</v>
      </c>
      <c r="BI12032">
        <v>0</v>
      </c>
      <c r="BJ12032">
        <v>0</v>
      </c>
      <c r="BK12032">
        <v>0</v>
      </c>
      <c r="BL12032">
        <v>0</v>
      </c>
      <c r="BM12032">
        <v>0</v>
      </c>
      <c r="BN12032">
        <v>0</v>
      </c>
      <c r="BO12032">
        <v>0</v>
      </c>
      <c r="BP12032">
        <v>0</v>
      </c>
      <c r="BQ12032">
        <v>0</v>
      </c>
      <c r="BR12032">
        <v>0</v>
      </c>
      <c r="BS12032">
        <v>0</v>
      </c>
      <c r="BT12032">
        <v>0</v>
      </c>
      <c r="BU12032">
        <v>0</v>
      </c>
      <c r="BV12032">
        <v>0</v>
      </c>
      <c r="BW12032">
        <v>0</v>
      </c>
      <c r="BX12032">
        <v>0</v>
      </c>
      <c r="BY12032">
        <v>0</v>
      </c>
      <c r="BZ12032">
        <v>0</v>
      </c>
    </row>
    <row r="12033" spans="1:78" x14ac:dyDescent="0.2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  <c r="H12033">
        <v>0</v>
      </c>
      <c r="I12033">
        <v>0</v>
      </c>
      <c r="J12033">
        <v>0</v>
      </c>
      <c r="K12033">
        <v>0</v>
      </c>
      <c r="L12033">
        <v>0</v>
      </c>
      <c r="M12033">
        <v>0</v>
      </c>
      <c r="N12033">
        <v>0</v>
      </c>
      <c r="O12033">
        <v>0</v>
      </c>
      <c r="P12033">
        <v>0</v>
      </c>
      <c r="Q12033">
        <v>0</v>
      </c>
      <c r="R12033">
        <v>0</v>
      </c>
      <c r="S12033">
        <v>0</v>
      </c>
      <c r="T12033">
        <v>0</v>
      </c>
      <c r="U12033">
        <v>0</v>
      </c>
      <c r="V12033">
        <v>0</v>
      </c>
      <c r="W12033">
        <v>0</v>
      </c>
      <c r="X12033">
        <v>0</v>
      </c>
      <c r="Y12033">
        <v>0</v>
      </c>
      <c r="Z12033">
        <v>0</v>
      </c>
      <c r="AA12033">
        <v>0</v>
      </c>
      <c r="AB12033">
        <v>0</v>
      </c>
      <c r="AC12033">
        <v>0</v>
      </c>
      <c r="AD12033">
        <v>0</v>
      </c>
      <c r="AE12033">
        <v>0</v>
      </c>
      <c r="AF12033">
        <v>0</v>
      </c>
      <c r="AG12033">
        <v>0</v>
      </c>
      <c r="AH12033">
        <v>0</v>
      </c>
      <c r="AI12033">
        <v>0</v>
      </c>
      <c r="AJ12033">
        <v>0</v>
      </c>
      <c r="AK12033">
        <v>0</v>
      </c>
      <c r="AL12033">
        <v>0</v>
      </c>
      <c r="AM12033">
        <v>0</v>
      </c>
      <c r="AN12033">
        <v>0</v>
      </c>
      <c r="AO12033">
        <v>0</v>
      </c>
      <c r="AP12033">
        <v>0</v>
      </c>
      <c r="AQ12033">
        <v>0</v>
      </c>
      <c r="AR12033">
        <v>0</v>
      </c>
      <c r="AS12033">
        <v>0</v>
      </c>
      <c r="AT12033">
        <v>0</v>
      </c>
      <c r="AU12033">
        <v>0</v>
      </c>
      <c r="AV12033">
        <v>0</v>
      </c>
      <c r="AW12033">
        <v>0</v>
      </c>
      <c r="AX12033">
        <v>0</v>
      </c>
      <c r="AY12033">
        <v>0</v>
      </c>
      <c r="AZ12033">
        <v>0</v>
      </c>
      <c r="BA12033">
        <v>0</v>
      </c>
      <c r="BB12033">
        <v>0</v>
      </c>
      <c r="BC12033">
        <v>0</v>
      </c>
      <c r="BD12033">
        <v>0</v>
      </c>
      <c r="BE12033">
        <v>0</v>
      </c>
      <c r="BF12033">
        <v>0</v>
      </c>
      <c r="BG12033">
        <v>0</v>
      </c>
      <c r="BH12033">
        <v>0</v>
      </c>
      <c r="BI12033">
        <v>0</v>
      </c>
      <c r="BJ12033">
        <v>0</v>
      </c>
      <c r="BK12033">
        <v>0</v>
      </c>
      <c r="BL12033">
        <v>0</v>
      </c>
      <c r="BM12033">
        <v>0</v>
      </c>
      <c r="BN12033">
        <v>0</v>
      </c>
      <c r="BO12033">
        <v>0</v>
      </c>
      <c r="BP12033">
        <v>0</v>
      </c>
      <c r="BQ12033">
        <v>0</v>
      </c>
      <c r="BR12033">
        <v>0</v>
      </c>
      <c r="BS12033">
        <v>0</v>
      </c>
      <c r="BT12033">
        <v>0</v>
      </c>
      <c r="BU12033">
        <v>0</v>
      </c>
      <c r="BV12033">
        <v>0</v>
      </c>
      <c r="BW12033">
        <v>0</v>
      </c>
      <c r="BX12033">
        <v>0</v>
      </c>
      <c r="BY12033">
        <v>0</v>
      </c>
      <c r="BZ12033">
        <v>0</v>
      </c>
    </row>
    <row r="12034" spans="1:78" x14ac:dyDescent="0.2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  <c r="H12034">
        <v>0</v>
      </c>
      <c r="I12034">
        <v>0</v>
      </c>
      <c r="J12034">
        <v>0</v>
      </c>
      <c r="K12034">
        <v>0</v>
      </c>
      <c r="L12034">
        <v>0</v>
      </c>
      <c r="M12034">
        <v>0</v>
      </c>
      <c r="N12034">
        <v>0</v>
      </c>
      <c r="O12034">
        <v>0</v>
      </c>
      <c r="P12034">
        <v>0</v>
      </c>
      <c r="Q12034">
        <v>0</v>
      </c>
      <c r="R12034">
        <v>0</v>
      </c>
      <c r="S12034">
        <v>0</v>
      </c>
      <c r="T12034">
        <v>0</v>
      </c>
      <c r="U12034">
        <v>0</v>
      </c>
      <c r="V12034">
        <v>0</v>
      </c>
      <c r="W12034">
        <v>0</v>
      </c>
      <c r="X12034">
        <v>0</v>
      </c>
      <c r="Y12034">
        <v>0</v>
      </c>
      <c r="Z12034">
        <v>0</v>
      </c>
      <c r="AA12034">
        <v>0</v>
      </c>
      <c r="AB12034">
        <v>0</v>
      </c>
      <c r="AC12034">
        <v>0</v>
      </c>
      <c r="AD12034">
        <v>0</v>
      </c>
      <c r="AE12034">
        <v>0</v>
      </c>
      <c r="AF12034">
        <v>0</v>
      </c>
      <c r="AG12034">
        <v>0</v>
      </c>
      <c r="AH12034">
        <v>0</v>
      </c>
      <c r="AI12034">
        <v>0</v>
      </c>
      <c r="AJ12034">
        <v>0</v>
      </c>
      <c r="AK12034">
        <v>0</v>
      </c>
      <c r="AL12034">
        <v>0</v>
      </c>
      <c r="AM12034">
        <v>0</v>
      </c>
      <c r="AN12034">
        <v>0</v>
      </c>
      <c r="AO12034">
        <v>0</v>
      </c>
      <c r="AP12034">
        <v>0</v>
      </c>
      <c r="AQ12034">
        <v>0</v>
      </c>
      <c r="AR12034">
        <v>0</v>
      </c>
      <c r="AS12034">
        <v>0</v>
      </c>
      <c r="AT12034">
        <v>0</v>
      </c>
      <c r="AU12034">
        <v>0</v>
      </c>
      <c r="AV12034">
        <v>0</v>
      </c>
      <c r="AW12034">
        <v>0</v>
      </c>
      <c r="AX12034">
        <v>0</v>
      </c>
      <c r="AY12034">
        <v>0</v>
      </c>
      <c r="AZ12034">
        <v>0</v>
      </c>
      <c r="BA12034">
        <v>0</v>
      </c>
      <c r="BB12034">
        <v>0</v>
      </c>
      <c r="BC12034">
        <v>0</v>
      </c>
      <c r="BD12034">
        <v>0</v>
      </c>
      <c r="BE12034">
        <v>0</v>
      </c>
      <c r="BF12034">
        <v>0</v>
      </c>
      <c r="BG12034">
        <v>0</v>
      </c>
      <c r="BH12034">
        <v>0</v>
      </c>
      <c r="BI12034">
        <v>0</v>
      </c>
      <c r="BJ12034">
        <v>0</v>
      </c>
      <c r="BK12034">
        <v>0</v>
      </c>
      <c r="BL12034">
        <v>0</v>
      </c>
      <c r="BM12034">
        <v>0</v>
      </c>
      <c r="BN12034">
        <v>0</v>
      </c>
      <c r="BO12034">
        <v>0</v>
      </c>
      <c r="BP12034">
        <v>0</v>
      </c>
      <c r="BQ12034">
        <v>0</v>
      </c>
      <c r="BR12034">
        <v>0</v>
      </c>
      <c r="BS12034">
        <v>0</v>
      </c>
      <c r="BT12034">
        <v>0</v>
      </c>
      <c r="BU12034">
        <v>0</v>
      </c>
      <c r="BV12034">
        <v>0</v>
      </c>
      <c r="BW12034">
        <v>0</v>
      </c>
      <c r="BX12034">
        <v>0</v>
      </c>
      <c r="BY12034">
        <v>0</v>
      </c>
      <c r="BZ12034">
        <v>0</v>
      </c>
    </row>
    <row r="12035" spans="1:78" x14ac:dyDescent="0.2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  <c r="H12035">
        <v>0</v>
      </c>
      <c r="I12035">
        <v>0</v>
      </c>
      <c r="J12035">
        <v>0</v>
      </c>
      <c r="K12035">
        <v>0</v>
      </c>
      <c r="L12035">
        <v>0</v>
      </c>
      <c r="M12035">
        <v>0</v>
      </c>
      <c r="N12035">
        <v>0</v>
      </c>
      <c r="O12035">
        <v>0</v>
      </c>
      <c r="P12035">
        <v>0</v>
      </c>
      <c r="Q12035">
        <v>0</v>
      </c>
      <c r="R12035">
        <v>0</v>
      </c>
      <c r="S12035">
        <v>0</v>
      </c>
      <c r="T12035">
        <v>0</v>
      </c>
      <c r="U12035">
        <v>0</v>
      </c>
      <c r="V12035">
        <v>0</v>
      </c>
      <c r="W12035">
        <v>0</v>
      </c>
      <c r="X12035">
        <v>0</v>
      </c>
      <c r="Y12035">
        <v>0</v>
      </c>
      <c r="Z12035">
        <v>0</v>
      </c>
      <c r="AA12035">
        <v>0</v>
      </c>
      <c r="AB12035">
        <v>0</v>
      </c>
      <c r="AC12035">
        <v>0</v>
      </c>
      <c r="AD12035">
        <v>0</v>
      </c>
      <c r="AE12035">
        <v>0</v>
      </c>
      <c r="AF12035">
        <v>0</v>
      </c>
      <c r="AG12035">
        <v>0</v>
      </c>
      <c r="AH12035">
        <v>0</v>
      </c>
      <c r="AI12035">
        <v>0</v>
      </c>
      <c r="AJ12035">
        <v>0</v>
      </c>
      <c r="AK12035">
        <v>0</v>
      </c>
      <c r="AL12035">
        <v>0</v>
      </c>
      <c r="AM12035">
        <v>0</v>
      </c>
      <c r="AN12035">
        <v>0</v>
      </c>
      <c r="AO12035">
        <v>0</v>
      </c>
      <c r="AP12035">
        <v>0</v>
      </c>
      <c r="AQ12035">
        <v>0</v>
      </c>
      <c r="AR12035">
        <v>0</v>
      </c>
      <c r="AS12035">
        <v>0</v>
      </c>
      <c r="AT12035">
        <v>0</v>
      </c>
      <c r="AU12035">
        <v>0</v>
      </c>
      <c r="AV12035">
        <v>0</v>
      </c>
      <c r="AW12035">
        <v>0</v>
      </c>
      <c r="AX12035">
        <v>0</v>
      </c>
      <c r="AY12035">
        <v>0</v>
      </c>
      <c r="AZ12035">
        <v>0</v>
      </c>
      <c r="BA12035">
        <v>0</v>
      </c>
      <c r="BB12035">
        <v>0</v>
      </c>
      <c r="BC12035">
        <v>0</v>
      </c>
      <c r="BD12035">
        <v>0</v>
      </c>
      <c r="BE12035">
        <v>0</v>
      </c>
      <c r="BF12035">
        <v>0</v>
      </c>
      <c r="BG12035">
        <v>0</v>
      </c>
      <c r="BH12035">
        <v>0</v>
      </c>
      <c r="BI12035">
        <v>0</v>
      </c>
      <c r="BJ12035">
        <v>0</v>
      </c>
      <c r="BK12035">
        <v>0</v>
      </c>
      <c r="BL12035">
        <v>0</v>
      </c>
      <c r="BM12035">
        <v>0</v>
      </c>
      <c r="BN12035">
        <v>0</v>
      </c>
      <c r="BO12035">
        <v>0</v>
      </c>
      <c r="BP12035">
        <v>0</v>
      </c>
      <c r="BQ12035">
        <v>0</v>
      </c>
      <c r="BR12035">
        <v>0</v>
      </c>
      <c r="BS12035">
        <v>0</v>
      </c>
      <c r="BT12035">
        <v>0</v>
      </c>
      <c r="BU12035">
        <v>0</v>
      </c>
      <c r="BV12035">
        <v>0</v>
      </c>
      <c r="BW12035">
        <v>0</v>
      </c>
      <c r="BX12035">
        <v>0</v>
      </c>
      <c r="BY12035">
        <v>0</v>
      </c>
      <c r="BZ12035">
        <v>0</v>
      </c>
    </row>
    <row r="12036" spans="1:78" x14ac:dyDescent="0.2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  <c r="H12036">
        <v>0</v>
      </c>
      <c r="I12036">
        <v>0</v>
      </c>
      <c r="J12036">
        <v>0</v>
      </c>
      <c r="K12036">
        <v>0</v>
      </c>
      <c r="L12036">
        <v>0</v>
      </c>
      <c r="M12036">
        <v>0</v>
      </c>
      <c r="N12036">
        <v>0</v>
      </c>
      <c r="O12036">
        <v>0</v>
      </c>
      <c r="P12036">
        <v>0</v>
      </c>
      <c r="Q12036">
        <v>0</v>
      </c>
      <c r="R12036">
        <v>0</v>
      </c>
      <c r="S12036">
        <v>0</v>
      </c>
      <c r="T12036">
        <v>0</v>
      </c>
      <c r="U12036">
        <v>0</v>
      </c>
      <c r="V12036">
        <v>0</v>
      </c>
      <c r="W12036">
        <v>0</v>
      </c>
      <c r="X12036">
        <v>0</v>
      </c>
      <c r="Y12036">
        <v>0</v>
      </c>
      <c r="Z12036">
        <v>0</v>
      </c>
      <c r="AA12036">
        <v>0</v>
      </c>
      <c r="AB12036">
        <v>0</v>
      </c>
      <c r="AC12036">
        <v>0</v>
      </c>
      <c r="AD12036">
        <v>0</v>
      </c>
      <c r="AE12036">
        <v>0</v>
      </c>
      <c r="AF12036">
        <v>0</v>
      </c>
      <c r="AG12036">
        <v>0</v>
      </c>
      <c r="AH12036">
        <v>0</v>
      </c>
      <c r="AI12036">
        <v>0</v>
      </c>
      <c r="AJ12036">
        <v>0</v>
      </c>
      <c r="AK12036">
        <v>0</v>
      </c>
      <c r="AL12036">
        <v>0</v>
      </c>
      <c r="AM12036">
        <v>0</v>
      </c>
      <c r="AN12036">
        <v>0</v>
      </c>
      <c r="AO12036">
        <v>0</v>
      </c>
      <c r="AP12036">
        <v>0</v>
      </c>
      <c r="AQ12036">
        <v>0</v>
      </c>
      <c r="AR12036">
        <v>0</v>
      </c>
      <c r="AS12036">
        <v>0</v>
      </c>
      <c r="AT12036">
        <v>0</v>
      </c>
      <c r="AU12036">
        <v>0</v>
      </c>
      <c r="AV12036">
        <v>0</v>
      </c>
      <c r="AW12036">
        <v>0</v>
      </c>
      <c r="AX12036">
        <v>0</v>
      </c>
      <c r="AY12036">
        <v>0</v>
      </c>
      <c r="AZ12036">
        <v>0</v>
      </c>
      <c r="BA12036">
        <v>0</v>
      </c>
      <c r="BB12036">
        <v>0</v>
      </c>
      <c r="BC12036">
        <v>0</v>
      </c>
      <c r="BD12036">
        <v>0</v>
      </c>
      <c r="BE12036">
        <v>0</v>
      </c>
      <c r="BF12036">
        <v>0</v>
      </c>
      <c r="BG12036">
        <v>0</v>
      </c>
      <c r="BH12036">
        <v>0</v>
      </c>
      <c r="BI12036">
        <v>0</v>
      </c>
      <c r="BJ12036">
        <v>0</v>
      </c>
      <c r="BK12036">
        <v>0</v>
      </c>
      <c r="BL12036">
        <v>0</v>
      </c>
      <c r="BM12036">
        <v>0</v>
      </c>
      <c r="BN12036">
        <v>0</v>
      </c>
      <c r="BO12036">
        <v>0</v>
      </c>
      <c r="BP12036">
        <v>0</v>
      </c>
      <c r="BQ12036">
        <v>0</v>
      </c>
      <c r="BR12036">
        <v>0</v>
      </c>
      <c r="BS12036">
        <v>0</v>
      </c>
      <c r="BT12036">
        <v>0</v>
      </c>
      <c r="BU12036">
        <v>0</v>
      </c>
      <c r="BV12036">
        <v>0</v>
      </c>
      <c r="BW12036">
        <v>0</v>
      </c>
      <c r="BX12036">
        <v>0</v>
      </c>
      <c r="BY12036">
        <v>0</v>
      </c>
      <c r="BZ12036">
        <v>0</v>
      </c>
    </row>
    <row r="12037" spans="1:78" x14ac:dyDescent="0.2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  <c r="H12037">
        <v>0</v>
      </c>
      <c r="I12037">
        <v>0</v>
      </c>
      <c r="J12037">
        <v>0</v>
      </c>
      <c r="K12037">
        <v>0</v>
      </c>
      <c r="L12037">
        <v>0</v>
      </c>
      <c r="M12037">
        <v>0</v>
      </c>
      <c r="N12037">
        <v>0</v>
      </c>
      <c r="O12037">
        <v>0</v>
      </c>
      <c r="P12037">
        <v>0</v>
      </c>
      <c r="Q12037">
        <v>0</v>
      </c>
      <c r="R12037">
        <v>0</v>
      </c>
      <c r="S12037">
        <v>0</v>
      </c>
      <c r="T12037">
        <v>0</v>
      </c>
      <c r="U12037">
        <v>0</v>
      </c>
      <c r="V12037">
        <v>0</v>
      </c>
      <c r="W12037">
        <v>0</v>
      </c>
      <c r="X12037">
        <v>0</v>
      </c>
      <c r="Y12037">
        <v>0</v>
      </c>
      <c r="Z12037">
        <v>0</v>
      </c>
      <c r="AA12037">
        <v>0</v>
      </c>
      <c r="AB12037">
        <v>0</v>
      </c>
      <c r="AC12037">
        <v>0</v>
      </c>
      <c r="AD12037">
        <v>0</v>
      </c>
      <c r="AE12037">
        <v>0</v>
      </c>
      <c r="AF12037">
        <v>0</v>
      </c>
      <c r="AG12037">
        <v>0</v>
      </c>
      <c r="AH12037">
        <v>0</v>
      </c>
      <c r="AI12037">
        <v>0</v>
      </c>
      <c r="AJ12037">
        <v>0</v>
      </c>
      <c r="AK12037">
        <v>0</v>
      </c>
      <c r="AL12037">
        <v>0</v>
      </c>
      <c r="AM12037">
        <v>0</v>
      </c>
      <c r="AN12037">
        <v>0</v>
      </c>
      <c r="AO12037">
        <v>0</v>
      </c>
      <c r="AP12037">
        <v>0</v>
      </c>
      <c r="AQ12037">
        <v>0</v>
      </c>
      <c r="AR12037">
        <v>0</v>
      </c>
      <c r="AS12037">
        <v>0</v>
      </c>
      <c r="AT12037">
        <v>0</v>
      </c>
      <c r="AU12037">
        <v>0</v>
      </c>
      <c r="AV12037">
        <v>0</v>
      </c>
      <c r="AW12037">
        <v>0</v>
      </c>
      <c r="AX12037">
        <v>0</v>
      </c>
      <c r="AY12037">
        <v>0</v>
      </c>
      <c r="AZ12037">
        <v>0</v>
      </c>
      <c r="BA12037">
        <v>0</v>
      </c>
      <c r="BB12037">
        <v>0</v>
      </c>
      <c r="BC12037">
        <v>0</v>
      </c>
      <c r="BD12037">
        <v>0</v>
      </c>
      <c r="BE12037">
        <v>0</v>
      </c>
      <c r="BF12037">
        <v>0</v>
      </c>
      <c r="BG12037">
        <v>0</v>
      </c>
      <c r="BH12037">
        <v>0</v>
      </c>
      <c r="BI12037">
        <v>0</v>
      </c>
      <c r="BJ12037">
        <v>0</v>
      </c>
      <c r="BK12037">
        <v>0</v>
      </c>
      <c r="BL12037">
        <v>0</v>
      </c>
      <c r="BM12037">
        <v>0</v>
      </c>
      <c r="BN12037">
        <v>0</v>
      </c>
      <c r="BO12037">
        <v>0</v>
      </c>
      <c r="BP12037">
        <v>0</v>
      </c>
      <c r="BQ12037">
        <v>0</v>
      </c>
      <c r="BR12037">
        <v>0</v>
      </c>
      <c r="BS12037">
        <v>0</v>
      </c>
      <c r="BT12037">
        <v>0</v>
      </c>
      <c r="BU12037">
        <v>0</v>
      </c>
      <c r="BV12037">
        <v>0</v>
      </c>
      <c r="BW12037">
        <v>0</v>
      </c>
      <c r="BX12037">
        <v>0</v>
      </c>
      <c r="BY12037">
        <v>0</v>
      </c>
      <c r="BZ12037">
        <v>0</v>
      </c>
    </row>
    <row r="12038" spans="1:78" x14ac:dyDescent="0.2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  <c r="H12038">
        <v>0</v>
      </c>
      <c r="I12038">
        <v>0</v>
      </c>
      <c r="J12038">
        <v>0</v>
      </c>
      <c r="K12038">
        <v>0</v>
      </c>
      <c r="L12038">
        <v>0</v>
      </c>
      <c r="M12038">
        <v>0</v>
      </c>
      <c r="N12038">
        <v>0</v>
      </c>
      <c r="O12038">
        <v>0</v>
      </c>
      <c r="P12038">
        <v>0</v>
      </c>
      <c r="Q12038">
        <v>0</v>
      </c>
      <c r="R12038">
        <v>0</v>
      </c>
      <c r="S12038">
        <v>0</v>
      </c>
      <c r="T12038">
        <v>0</v>
      </c>
      <c r="U12038">
        <v>0</v>
      </c>
      <c r="V12038">
        <v>0</v>
      </c>
      <c r="W12038">
        <v>0</v>
      </c>
      <c r="X12038">
        <v>0</v>
      </c>
      <c r="Y12038">
        <v>0</v>
      </c>
      <c r="Z12038">
        <v>0</v>
      </c>
      <c r="AA12038">
        <v>0</v>
      </c>
      <c r="AB12038">
        <v>0</v>
      </c>
      <c r="AC12038">
        <v>0</v>
      </c>
      <c r="AD12038">
        <v>0</v>
      </c>
      <c r="AE12038">
        <v>0</v>
      </c>
      <c r="AF12038">
        <v>0</v>
      </c>
      <c r="AG12038">
        <v>0</v>
      </c>
      <c r="AH12038">
        <v>0</v>
      </c>
      <c r="AI12038">
        <v>0</v>
      </c>
      <c r="AJ12038">
        <v>0</v>
      </c>
      <c r="AK12038">
        <v>0</v>
      </c>
      <c r="AL12038">
        <v>0</v>
      </c>
      <c r="AM12038">
        <v>0</v>
      </c>
      <c r="AN12038">
        <v>0</v>
      </c>
      <c r="AO12038">
        <v>0</v>
      </c>
      <c r="AP12038">
        <v>0</v>
      </c>
      <c r="AQ12038">
        <v>0</v>
      </c>
      <c r="AR12038">
        <v>0</v>
      </c>
      <c r="AS12038">
        <v>0</v>
      </c>
      <c r="AT12038">
        <v>0</v>
      </c>
      <c r="AU12038">
        <v>0</v>
      </c>
      <c r="AV12038">
        <v>0</v>
      </c>
      <c r="AW12038">
        <v>0</v>
      </c>
      <c r="AX12038">
        <v>0</v>
      </c>
      <c r="AY12038">
        <v>0</v>
      </c>
      <c r="AZ12038">
        <v>0</v>
      </c>
      <c r="BA12038">
        <v>0</v>
      </c>
      <c r="BB12038">
        <v>0</v>
      </c>
      <c r="BC12038">
        <v>0</v>
      </c>
      <c r="BD12038">
        <v>0</v>
      </c>
      <c r="BE12038">
        <v>0</v>
      </c>
      <c r="BF12038">
        <v>0</v>
      </c>
      <c r="BG12038">
        <v>0</v>
      </c>
      <c r="BH12038">
        <v>0</v>
      </c>
      <c r="BI12038">
        <v>0</v>
      </c>
      <c r="BJ12038">
        <v>0</v>
      </c>
      <c r="BK12038">
        <v>0</v>
      </c>
      <c r="BL12038">
        <v>0</v>
      </c>
      <c r="BM12038">
        <v>0</v>
      </c>
      <c r="BN12038">
        <v>0</v>
      </c>
      <c r="BO12038">
        <v>0</v>
      </c>
      <c r="BP12038">
        <v>0</v>
      </c>
      <c r="BQ12038">
        <v>0</v>
      </c>
      <c r="BR12038">
        <v>0</v>
      </c>
      <c r="BS12038">
        <v>0</v>
      </c>
      <c r="BT12038">
        <v>0</v>
      </c>
      <c r="BU12038">
        <v>0</v>
      </c>
      <c r="BV12038">
        <v>0</v>
      </c>
      <c r="BW12038">
        <v>0</v>
      </c>
      <c r="BX12038">
        <v>0</v>
      </c>
      <c r="BY12038">
        <v>0</v>
      </c>
      <c r="BZ12038">
        <v>0</v>
      </c>
    </row>
    <row r="12039" spans="1:78" x14ac:dyDescent="0.2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  <c r="H12039">
        <v>0</v>
      </c>
      <c r="I12039">
        <v>0</v>
      </c>
      <c r="J12039">
        <v>0</v>
      </c>
      <c r="K12039">
        <v>0</v>
      </c>
      <c r="L12039">
        <v>0</v>
      </c>
      <c r="M12039">
        <v>0</v>
      </c>
      <c r="N12039">
        <v>0</v>
      </c>
      <c r="O12039">
        <v>0</v>
      </c>
      <c r="P12039">
        <v>0</v>
      </c>
      <c r="Q12039">
        <v>0</v>
      </c>
      <c r="R12039">
        <v>0</v>
      </c>
      <c r="S12039">
        <v>0</v>
      </c>
      <c r="T12039">
        <v>0</v>
      </c>
      <c r="U12039">
        <v>0</v>
      </c>
      <c r="V12039">
        <v>0</v>
      </c>
      <c r="W12039">
        <v>0</v>
      </c>
      <c r="X12039">
        <v>0</v>
      </c>
      <c r="Y12039">
        <v>0</v>
      </c>
      <c r="Z12039">
        <v>0</v>
      </c>
      <c r="AA12039">
        <v>0</v>
      </c>
      <c r="AB12039">
        <v>0</v>
      </c>
      <c r="AC12039">
        <v>0</v>
      </c>
      <c r="AD12039">
        <v>0</v>
      </c>
      <c r="AE12039">
        <v>0</v>
      </c>
      <c r="AF12039">
        <v>0</v>
      </c>
      <c r="AG12039">
        <v>0</v>
      </c>
      <c r="AH12039">
        <v>0</v>
      </c>
      <c r="AI12039">
        <v>0</v>
      </c>
      <c r="AJ12039">
        <v>0</v>
      </c>
      <c r="AK12039">
        <v>0</v>
      </c>
      <c r="AL12039">
        <v>0</v>
      </c>
      <c r="AM12039">
        <v>0</v>
      </c>
      <c r="AN12039">
        <v>0</v>
      </c>
      <c r="AO12039">
        <v>0</v>
      </c>
      <c r="AP12039">
        <v>0</v>
      </c>
      <c r="AQ12039">
        <v>0</v>
      </c>
      <c r="AR12039">
        <v>0</v>
      </c>
      <c r="AS12039">
        <v>0</v>
      </c>
      <c r="AT12039">
        <v>0</v>
      </c>
      <c r="AU12039">
        <v>0</v>
      </c>
      <c r="AV12039">
        <v>0</v>
      </c>
      <c r="AW12039">
        <v>0</v>
      </c>
      <c r="AX12039">
        <v>0</v>
      </c>
      <c r="AY12039">
        <v>0</v>
      </c>
      <c r="AZ12039">
        <v>0</v>
      </c>
      <c r="BA12039">
        <v>0</v>
      </c>
      <c r="BB12039">
        <v>0</v>
      </c>
      <c r="BC12039">
        <v>0</v>
      </c>
      <c r="BD12039">
        <v>0</v>
      </c>
      <c r="BE12039">
        <v>0</v>
      </c>
      <c r="BF12039">
        <v>0</v>
      </c>
      <c r="BG12039">
        <v>0</v>
      </c>
      <c r="BH12039">
        <v>0</v>
      </c>
      <c r="BI12039">
        <v>0</v>
      </c>
      <c r="BJ12039">
        <v>0</v>
      </c>
      <c r="BK12039">
        <v>0</v>
      </c>
      <c r="BL12039">
        <v>0</v>
      </c>
      <c r="BM12039">
        <v>0</v>
      </c>
      <c r="BN12039">
        <v>0</v>
      </c>
      <c r="BO12039">
        <v>0</v>
      </c>
      <c r="BP12039">
        <v>0</v>
      </c>
      <c r="BQ12039">
        <v>0</v>
      </c>
      <c r="BR12039">
        <v>0</v>
      </c>
      <c r="BS12039">
        <v>0</v>
      </c>
      <c r="BT12039">
        <v>0</v>
      </c>
      <c r="BU12039">
        <v>0</v>
      </c>
      <c r="BV12039">
        <v>0</v>
      </c>
      <c r="BW12039">
        <v>0</v>
      </c>
      <c r="BX12039">
        <v>0</v>
      </c>
      <c r="BY12039">
        <v>0</v>
      </c>
      <c r="BZ12039">
        <v>0</v>
      </c>
    </row>
    <row r="12040" spans="1:78" x14ac:dyDescent="0.2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  <c r="H12040">
        <v>0</v>
      </c>
      <c r="I12040">
        <v>0</v>
      </c>
      <c r="J12040">
        <v>0</v>
      </c>
      <c r="K12040">
        <v>0</v>
      </c>
      <c r="L12040">
        <v>0</v>
      </c>
      <c r="M12040">
        <v>0</v>
      </c>
      <c r="N12040">
        <v>0</v>
      </c>
      <c r="O12040">
        <v>0</v>
      </c>
      <c r="P12040">
        <v>0</v>
      </c>
      <c r="Q12040">
        <v>0</v>
      </c>
      <c r="R12040">
        <v>0</v>
      </c>
      <c r="S12040">
        <v>0</v>
      </c>
      <c r="T12040">
        <v>0</v>
      </c>
      <c r="U12040">
        <v>0</v>
      </c>
      <c r="V12040">
        <v>0</v>
      </c>
      <c r="W12040">
        <v>0</v>
      </c>
      <c r="X12040">
        <v>0</v>
      </c>
      <c r="Y12040">
        <v>0</v>
      </c>
      <c r="Z12040">
        <v>0</v>
      </c>
      <c r="AA12040">
        <v>0</v>
      </c>
      <c r="AB12040">
        <v>0</v>
      </c>
      <c r="AC12040">
        <v>0</v>
      </c>
      <c r="AD12040">
        <v>0</v>
      </c>
      <c r="AE12040">
        <v>0</v>
      </c>
      <c r="AF12040">
        <v>0</v>
      </c>
      <c r="AG12040">
        <v>0</v>
      </c>
      <c r="AH12040">
        <v>0</v>
      </c>
      <c r="AI12040">
        <v>0</v>
      </c>
      <c r="AJ12040">
        <v>0</v>
      </c>
      <c r="AK12040">
        <v>0</v>
      </c>
      <c r="AL12040">
        <v>0</v>
      </c>
      <c r="AM12040">
        <v>0</v>
      </c>
      <c r="AN12040">
        <v>0</v>
      </c>
      <c r="AO12040">
        <v>0</v>
      </c>
      <c r="AP12040">
        <v>0</v>
      </c>
      <c r="AQ12040">
        <v>0</v>
      </c>
      <c r="AR12040">
        <v>0</v>
      </c>
      <c r="AS12040">
        <v>0</v>
      </c>
      <c r="AT12040">
        <v>0</v>
      </c>
      <c r="AU12040">
        <v>0</v>
      </c>
      <c r="AV12040">
        <v>0</v>
      </c>
      <c r="AW12040">
        <v>0</v>
      </c>
      <c r="AX12040">
        <v>0</v>
      </c>
      <c r="AY12040">
        <v>0</v>
      </c>
      <c r="AZ12040">
        <v>0</v>
      </c>
      <c r="BA12040">
        <v>0</v>
      </c>
      <c r="BB12040">
        <v>0</v>
      </c>
      <c r="BC12040">
        <v>0</v>
      </c>
      <c r="BD12040">
        <v>0</v>
      </c>
      <c r="BE12040">
        <v>0</v>
      </c>
      <c r="BF12040">
        <v>0</v>
      </c>
      <c r="BG12040">
        <v>0</v>
      </c>
      <c r="BH12040">
        <v>0</v>
      </c>
      <c r="BI12040">
        <v>0</v>
      </c>
      <c r="BJ12040">
        <v>0</v>
      </c>
      <c r="BK12040">
        <v>0</v>
      </c>
      <c r="BL12040">
        <v>0</v>
      </c>
      <c r="BM12040">
        <v>0</v>
      </c>
      <c r="BN12040">
        <v>0</v>
      </c>
      <c r="BO12040">
        <v>0</v>
      </c>
      <c r="BP12040">
        <v>0</v>
      </c>
      <c r="BQ12040">
        <v>0</v>
      </c>
      <c r="BR12040">
        <v>0</v>
      </c>
      <c r="BS12040">
        <v>0</v>
      </c>
      <c r="BT12040">
        <v>0</v>
      </c>
      <c r="BU12040">
        <v>0</v>
      </c>
      <c r="BV12040">
        <v>0</v>
      </c>
      <c r="BW12040">
        <v>0</v>
      </c>
      <c r="BX12040">
        <v>0</v>
      </c>
      <c r="BY12040">
        <v>0</v>
      </c>
      <c r="BZ12040">
        <v>0</v>
      </c>
    </row>
    <row r="12041" spans="1:78" x14ac:dyDescent="0.2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  <c r="H12041">
        <v>0</v>
      </c>
      <c r="I12041">
        <v>0</v>
      </c>
      <c r="J12041">
        <v>0</v>
      </c>
      <c r="K12041">
        <v>0</v>
      </c>
      <c r="L12041">
        <v>0</v>
      </c>
      <c r="M12041">
        <v>0</v>
      </c>
      <c r="N12041">
        <v>0</v>
      </c>
      <c r="O12041">
        <v>0</v>
      </c>
      <c r="P12041">
        <v>0</v>
      </c>
      <c r="Q12041">
        <v>0</v>
      </c>
      <c r="R12041">
        <v>0</v>
      </c>
      <c r="S12041">
        <v>0</v>
      </c>
      <c r="T12041">
        <v>0</v>
      </c>
      <c r="U12041">
        <v>0</v>
      </c>
      <c r="V12041">
        <v>0</v>
      </c>
      <c r="W12041">
        <v>0</v>
      </c>
      <c r="X12041">
        <v>0</v>
      </c>
      <c r="Y12041">
        <v>0</v>
      </c>
      <c r="Z12041">
        <v>0</v>
      </c>
      <c r="AA12041">
        <v>0</v>
      </c>
      <c r="AB12041">
        <v>0</v>
      </c>
      <c r="AC12041">
        <v>0</v>
      </c>
      <c r="AD12041">
        <v>0</v>
      </c>
      <c r="AE12041">
        <v>0</v>
      </c>
      <c r="AF12041">
        <v>0</v>
      </c>
      <c r="AG12041">
        <v>0</v>
      </c>
      <c r="AH12041">
        <v>0</v>
      </c>
      <c r="AI12041">
        <v>0</v>
      </c>
      <c r="AJ12041">
        <v>0</v>
      </c>
      <c r="AK12041">
        <v>0</v>
      </c>
      <c r="AL12041">
        <v>0</v>
      </c>
      <c r="AM12041">
        <v>0</v>
      </c>
      <c r="AN12041">
        <v>0</v>
      </c>
      <c r="AO12041">
        <v>0</v>
      </c>
      <c r="AP12041">
        <v>0</v>
      </c>
      <c r="AQ12041">
        <v>0</v>
      </c>
      <c r="AR12041">
        <v>0</v>
      </c>
      <c r="AS12041">
        <v>0</v>
      </c>
      <c r="AT12041">
        <v>0</v>
      </c>
      <c r="AU12041">
        <v>0</v>
      </c>
      <c r="AV12041">
        <v>0</v>
      </c>
      <c r="AW12041">
        <v>0</v>
      </c>
      <c r="AX12041">
        <v>0</v>
      </c>
      <c r="AY12041">
        <v>0</v>
      </c>
      <c r="AZ12041">
        <v>0</v>
      </c>
      <c r="BA12041">
        <v>0</v>
      </c>
      <c r="BB12041">
        <v>0</v>
      </c>
      <c r="BC12041">
        <v>0</v>
      </c>
      <c r="BD12041">
        <v>0</v>
      </c>
      <c r="BE12041">
        <v>0</v>
      </c>
      <c r="BF12041">
        <v>0</v>
      </c>
      <c r="BG12041">
        <v>0</v>
      </c>
      <c r="BH12041">
        <v>0</v>
      </c>
      <c r="BI12041">
        <v>0</v>
      </c>
      <c r="BJ12041">
        <v>0</v>
      </c>
      <c r="BK12041">
        <v>0</v>
      </c>
      <c r="BL12041">
        <v>0</v>
      </c>
      <c r="BM12041">
        <v>0</v>
      </c>
      <c r="BN12041">
        <v>0</v>
      </c>
      <c r="BO12041">
        <v>0</v>
      </c>
      <c r="BP12041">
        <v>0</v>
      </c>
      <c r="BQ12041">
        <v>0</v>
      </c>
      <c r="BR12041">
        <v>0</v>
      </c>
      <c r="BS12041">
        <v>0</v>
      </c>
      <c r="BT12041">
        <v>0</v>
      </c>
      <c r="BU12041">
        <v>0</v>
      </c>
      <c r="BV12041">
        <v>0</v>
      </c>
      <c r="BW12041">
        <v>0</v>
      </c>
      <c r="BX12041">
        <v>0</v>
      </c>
      <c r="BY12041">
        <v>0</v>
      </c>
      <c r="BZ12041">
        <v>0</v>
      </c>
    </row>
    <row r="12042" spans="1:78" x14ac:dyDescent="0.2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  <c r="H12042">
        <v>0</v>
      </c>
      <c r="I12042">
        <v>0</v>
      </c>
      <c r="J12042">
        <v>0</v>
      </c>
      <c r="K12042">
        <v>0</v>
      </c>
      <c r="L12042">
        <v>0</v>
      </c>
      <c r="M12042">
        <v>0</v>
      </c>
      <c r="N12042">
        <v>0</v>
      </c>
      <c r="O12042">
        <v>0</v>
      </c>
      <c r="P12042">
        <v>0</v>
      </c>
      <c r="Q12042">
        <v>0</v>
      </c>
      <c r="R12042">
        <v>0</v>
      </c>
      <c r="S12042">
        <v>0</v>
      </c>
      <c r="T12042">
        <v>0</v>
      </c>
      <c r="U12042">
        <v>0</v>
      </c>
      <c r="V12042">
        <v>0</v>
      </c>
      <c r="W12042">
        <v>0</v>
      </c>
      <c r="X12042">
        <v>0</v>
      </c>
      <c r="Y12042">
        <v>0</v>
      </c>
      <c r="Z12042">
        <v>0</v>
      </c>
      <c r="AA12042">
        <v>0</v>
      </c>
      <c r="AB12042">
        <v>0</v>
      </c>
      <c r="AC12042">
        <v>0</v>
      </c>
      <c r="AD12042">
        <v>0</v>
      </c>
      <c r="AE12042">
        <v>0</v>
      </c>
      <c r="AF12042">
        <v>0</v>
      </c>
      <c r="AG12042">
        <v>0</v>
      </c>
      <c r="AH12042">
        <v>0</v>
      </c>
      <c r="AI12042">
        <v>0</v>
      </c>
      <c r="AJ12042">
        <v>0</v>
      </c>
      <c r="AK12042">
        <v>0</v>
      </c>
      <c r="AL12042">
        <v>0</v>
      </c>
      <c r="AM12042">
        <v>0</v>
      </c>
      <c r="AN12042">
        <v>0</v>
      </c>
      <c r="AO12042">
        <v>0</v>
      </c>
      <c r="AP12042">
        <v>0</v>
      </c>
      <c r="AQ12042">
        <v>0</v>
      </c>
      <c r="AR12042">
        <v>0</v>
      </c>
      <c r="AS12042">
        <v>0</v>
      </c>
      <c r="AT12042">
        <v>0</v>
      </c>
      <c r="AU12042">
        <v>0</v>
      </c>
      <c r="AV12042">
        <v>0</v>
      </c>
      <c r="AW12042">
        <v>0</v>
      </c>
      <c r="AX12042">
        <v>0</v>
      </c>
      <c r="AY12042">
        <v>0</v>
      </c>
      <c r="AZ12042">
        <v>0</v>
      </c>
      <c r="BA12042">
        <v>0</v>
      </c>
      <c r="BB12042">
        <v>0</v>
      </c>
      <c r="BC12042">
        <v>0</v>
      </c>
      <c r="BD12042">
        <v>0</v>
      </c>
      <c r="BE12042">
        <v>0</v>
      </c>
      <c r="BF12042">
        <v>0</v>
      </c>
      <c r="BG12042">
        <v>0</v>
      </c>
      <c r="BH12042">
        <v>0</v>
      </c>
      <c r="BI12042">
        <v>0</v>
      </c>
      <c r="BJ12042">
        <v>0</v>
      </c>
      <c r="BK12042">
        <v>0</v>
      </c>
      <c r="BL12042">
        <v>0</v>
      </c>
      <c r="BM12042">
        <v>0</v>
      </c>
      <c r="BN12042">
        <v>0</v>
      </c>
      <c r="BO12042">
        <v>0</v>
      </c>
      <c r="BP12042">
        <v>0</v>
      </c>
      <c r="BQ12042">
        <v>0</v>
      </c>
      <c r="BR12042">
        <v>0</v>
      </c>
      <c r="BS12042">
        <v>0</v>
      </c>
      <c r="BT12042">
        <v>0</v>
      </c>
      <c r="BU12042">
        <v>0</v>
      </c>
      <c r="BV12042">
        <v>0</v>
      </c>
      <c r="BW12042">
        <v>0</v>
      </c>
      <c r="BX12042">
        <v>0</v>
      </c>
      <c r="BY12042">
        <v>0</v>
      </c>
      <c r="BZ12042">
        <v>0</v>
      </c>
    </row>
    <row r="12043" spans="1:78" x14ac:dyDescent="0.2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  <c r="H12043">
        <v>0</v>
      </c>
      <c r="I12043">
        <v>0</v>
      </c>
      <c r="J12043">
        <v>0</v>
      </c>
      <c r="K12043">
        <v>0</v>
      </c>
      <c r="L12043">
        <v>0</v>
      </c>
      <c r="M12043">
        <v>0</v>
      </c>
      <c r="N12043">
        <v>0</v>
      </c>
      <c r="O12043">
        <v>0</v>
      </c>
      <c r="P12043">
        <v>0</v>
      </c>
      <c r="Q12043">
        <v>0</v>
      </c>
      <c r="R12043">
        <v>0</v>
      </c>
      <c r="S12043">
        <v>0</v>
      </c>
      <c r="T12043">
        <v>0</v>
      </c>
      <c r="U12043">
        <v>0</v>
      </c>
      <c r="V12043">
        <v>0</v>
      </c>
      <c r="W12043">
        <v>0</v>
      </c>
      <c r="X12043">
        <v>0</v>
      </c>
      <c r="Y12043">
        <v>0</v>
      </c>
      <c r="Z12043">
        <v>0</v>
      </c>
      <c r="AA12043">
        <v>0</v>
      </c>
      <c r="AB12043">
        <v>0</v>
      </c>
      <c r="AC12043">
        <v>0</v>
      </c>
      <c r="AD12043">
        <v>0</v>
      </c>
      <c r="AE12043">
        <v>0</v>
      </c>
      <c r="AF12043">
        <v>0</v>
      </c>
      <c r="AG12043">
        <v>0</v>
      </c>
      <c r="AH12043">
        <v>0</v>
      </c>
      <c r="AI12043">
        <v>0</v>
      </c>
      <c r="AJ12043">
        <v>0</v>
      </c>
      <c r="AK12043">
        <v>0</v>
      </c>
      <c r="AL12043">
        <v>0</v>
      </c>
      <c r="AM12043">
        <v>0</v>
      </c>
      <c r="AN12043">
        <v>0</v>
      </c>
      <c r="AO12043">
        <v>0</v>
      </c>
      <c r="AP12043">
        <v>0</v>
      </c>
      <c r="AQ12043">
        <v>0</v>
      </c>
      <c r="AR12043">
        <v>0</v>
      </c>
      <c r="AS12043">
        <v>0</v>
      </c>
      <c r="AT12043">
        <v>0</v>
      </c>
      <c r="AU12043">
        <v>0</v>
      </c>
      <c r="AV12043">
        <v>0</v>
      </c>
      <c r="AW12043">
        <v>0</v>
      </c>
      <c r="AX12043">
        <v>0</v>
      </c>
      <c r="AY12043">
        <v>0</v>
      </c>
      <c r="AZ12043">
        <v>0</v>
      </c>
      <c r="BA12043">
        <v>0</v>
      </c>
      <c r="BB12043">
        <v>0</v>
      </c>
      <c r="BC12043">
        <v>0</v>
      </c>
      <c r="BD12043">
        <v>0</v>
      </c>
      <c r="BE12043">
        <v>0</v>
      </c>
      <c r="BF12043">
        <v>0</v>
      </c>
      <c r="BG12043">
        <v>0</v>
      </c>
      <c r="BH12043">
        <v>0</v>
      </c>
      <c r="BI12043">
        <v>0</v>
      </c>
      <c r="BJ12043">
        <v>0</v>
      </c>
      <c r="BK12043">
        <v>0</v>
      </c>
      <c r="BL12043">
        <v>0</v>
      </c>
      <c r="BM12043">
        <v>0</v>
      </c>
      <c r="BN12043">
        <v>0</v>
      </c>
      <c r="BO12043">
        <v>0</v>
      </c>
      <c r="BP12043">
        <v>0</v>
      </c>
      <c r="BQ12043">
        <v>0</v>
      </c>
      <c r="BR12043">
        <v>0</v>
      </c>
      <c r="BS12043">
        <v>0</v>
      </c>
      <c r="BT12043">
        <v>0</v>
      </c>
      <c r="BU12043">
        <v>0</v>
      </c>
      <c r="BV12043">
        <v>0</v>
      </c>
      <c r="BW12043">
        <v>0</v>
      </c>
      <c r="BX12043">
        <v>0</v>
      </c>
      <c r="BY12043">
        <v>0</v>
      </c>
      <c r="BZ12043">
        <v>0</v>
      </c>
    </row>
    <row r="12044" spans="1:78" x14ac:dyDescent="0.2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  <c r="H12044">
        <v>0</v>
      </c>
      <c r="I12044">
        <v>0</v>
      </c>
      <c r="J12044">
        <v>0</v>
      </c>
      <c r="K12044">
        <v>0</v>
      </c>
      <c r="L12044">
        <v>0</v>
      </c>
      <c r="M12044">
        <v>0</v>
      </c>
      <c r="N12044">
        <v>0</v>
      </c>
      <c r="O12044">
        <v>0</v>
      </c>
      <c r="P12044">
        <v>0</v>
      </c>
      <c r="Q12044">
        <v>0</v>
      </c>
      <c r="R12044">
        <v>0</v>
      </c>
      <c r="S12044">
        <v>0</v>
      </c>
      <c r="T12044">
        <v>0</v>
      </c>
      <c r="U12044">
        <v>0</v>
      </c>
      <c r="V12044">
        <v>0</v>
      </c>
      <c r="W12044">
        <v>0</v>
      </c>
      <c r="X12044">
        <v>0</v>
      </c>
      <c r="Y12044">
        <v>0</v>
      </c>
      <c r="Z12044">
        <v>0</v>
      </c>
      <c r="AA12044">
        <v>0</v>
      </c>
      <c r="AB12044">
        <v>0</v>
      </c>
      <c r="AC12044">
        <v>0</v>
      </c>
      <c r="AD12044">
        <v>0</v>
      </c>
      <c r="AE12044">
        <v>0</v>
      </c>
      <c r="AF12044">
        <v>0</v>
      </c>
      <c r="AG12044">
        <v>0</v>
      </c>
      <c r="AH12044">
        <v>0</v>
      </c>
      <c r="AI12044">
        <v>0</v>
      </c>
      <c r="AJ12044">
        <v>0</v>
      </c>
      <c r="AK12044">
        <v>0</v>
      </c>
      <c r="AL12044">
        <v>0</v>
      </c>
      <c r="AM12044">
        <v>0</v>
      </c>
      <c r="AN12044">
        <v>0</v>
      </c>
      <c r="AO12044">
        <v>0</v>
      </c>
      <c r="AP12044">
        <v>0</v>
      </c>
      <c r="AQ12044">
        <v>0</v>
      </c>
      <c r="AR12044">
        <v>0</v>
      </c>
      <c r="AS12044">
        <v>0</v>
      </c>
      <c r="AT12044">
        <v>0</v>
      </c>
      <c r="AU12044">
        <v>0</v>
      </c>
      <c r="AV12044">
        <v>0</v>
      </c>
      <c r="AW12044">
        <v>0</v>
      </c>
      <c r="AX12044">
        <v>0</v>
      </c>
      <c r="AY12044">
        <v>0</v>
      </c>
      <c r="AZ12044">
        <v>0</v>
      </c>
      <c r="BA12044">
        <v>0</v>
      </c>
      <c r="BB12044">
        <v>0</v>
      </c>
      <c r="BC12044">
        <v>0</v>
      </c>
      <c r="BD12044">
        <v>0</v>
      </c>
      <c r="BE12044">
        <v>0</v>
      </c>
      <c r="BF12044">
        <v>0</v>
      </c>
      <c r="BG12044">
        <v>0</v>
      </c>
      <c r="BH12044">
        <v>0</v>
      </c>
      <c r="BI12044">
        <v>0</v>
      </c>
      <c r="BJ12044">
        <v>0</v>
      </c>
      <c r="BK12044">
        <v>0</v>
      </c>
      <c r="BL12044">
        <v>0</v>
      </c>
      <c r="BM12044">
        <v>0</v>
      </c>
      <c r="BN12044">
        <v>0</v>
      </c>
      <c r="BO12044">
        <v>0</v>
      </c>
      <c r="BP12044">
        <v>0</v>
      </c>
      <c r="BQ12044">
        <v>0</v>
      </c>
      <c r="BR12044">
        <v>0</v>
      </c>
      <c r="BS12044">
        <v>0</v>
      </c>
      <c r="BT12044">
        <v>0</v>
      </c>
      <c r="BU12044">
        <v>0</v>
      </c>
      <c r="BV12044">
        <v>0</v>
      </c>
      <c r="BW12044">
        <v>0</v>
      </c>
      <c r="BX12044">
        <v>0</v>
      </c>
      <c r="BY12044">
        <v>0</v>
      </c>
      <c r="BZ12044">
        <v>0</v>
      </c>
    </row>
    <row r="12045" spans="1:78" x14ac:dyDescent="0.2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  <c r="H12045">
        <v>0</v>
      </c>
      <c r="I12045">
        <v>0</v>
      </c>
      <c r="J12045">
        <v>0</v>
      </c>
      <c r="K12045">
        <v>0</v>
      </c>
      <c r="L12045">
        <v>0</v>
      </c>
      <c r="M12045">
        <v>0</v>
      </c>
      <c r="N12045">
        <v>0</v>
      </c>
      <c r="O12045">
        <v>0</v>
      </c>
      <c r="P12045">
        <v>0</v>
      </c>
      <c r="Q12045">
        <v>0</v>
      </c>
      <c r="R12045">
        <v>0</v>
      </c>
      <c r="S12045">
        <v>0</v>
      </c>
      <c r="T12045">
        <v>0</v>
      </c>
      <c r="U12045">
        <v>0</v>
      </c>
      <c r="V12045">
        <v>0</v>
      </c>
      <c r="W12045">
        <v>0</v>
      </c>
      <c r="X12045">
        <v>0</v>
      </c>
      <c r="Y12045">
        <v>0</v>
      </c>
      <c r="Z12045">
        <v>0</v>
      </c>
      <c r="AA12045">
        <v>0</v>
      </c>
      <c r="AB12045">
        <v>0</v>
      </c>
      <c r="AC12045">
        <v>0</v>
      </c>
      <c r="AD12045">
        <v>0</v>
      </c>
      <c r="AE12045">
        <v>0</v>
      </c>
      <c r="AF12045">
        <v>0</v>
      </c>
      <c r="AG12045">
        <v>0</v>
      </c>
      <c r="AH12045">
        <v>0</v>
      </c>
      <c r="AI12045">
        <v>0</v>
      </c>
      <c r="AJ12045">
        <v>0</v>
      </c>
      <c r="AK12045">
        <v>0</v>
      </c>
      <c r="AL12045">
        <v>0</v>
      </c>
      <c r="AM12045">
        <v>0</v>
      </c>
      <c r="AN12045">
        <v>0</v>
      </c>
      <c r="AO12045">
        <v>0</v>
      </c>
      <c r="AP12045">
        <v>0</v>
      </c>
      <c r="AQ12045">
        <v>0</v>
      </c>
      <c r="AR12045">
        <v>0</v>
      </c>
      <c r="AS12045">
        <v>0</v>
      </c>
      <c r="AT12045">
        <v>0</v>
      </c>
      <c r="AU12045">
        <v>0</v>
      </c>
      <c r="AV12045">
        <v>0</v>
      </c>
      <c r="AW12045">
        <v>0</v>
      </c>
      <c r="AX12045">
        <v>0</v>
      </c>
      <c r="AY12045">
        <v>0</v>
      </c>
      <c r="AZ12045">
        <v>0</v>
      </c>
      <c r="BA12045">
        <v>0</v>
      </c>
      <c r="BB12045">
        <v>0</v>
      </c>
      <c r="BC12045">
        <v>0</v>
      </c>
      <c r="BD12045">
        <v>0</v>
      </c>
      <c r="BE12045">
        <v>0</v>
      </c>
      <c r="BF12045">
        <v>0</v>
      </c>
      <c r="BG12045">
        <v>0</v>
      </c>
      <c r="BH12045">
        <v>0</v>
      </c>
      <c r="BI12045">
        <v>0</v>
      </c>
      <c r="BJ12045">
        <v>0</v>
      </c>
      <c r="BK12045">
        <v>0</v>
      </c>
      <c r="BL12045">
        <v>0</v>
      </c>
      <c r="BM12045">
        <v>0</v>
      </c>
      <c r="BN12045">
        <v>0</v>
      </c>
      <c r="BO12045">
        <v>0</v>
      </c>
      <c r="BP12045">
        <v>0</v>
      </c>
      <c r="BQ12045">
        <v>0</v>
      </c>
      <c r="BR12045">
        <v>0</v>
      </c>
      <c r="BS12045">
        <v>0</v>
      </c>
      <c r="BT12045">
        <v>0</v>
      </c>
      <c r="BU12045">
        <v>0</v>
      </c>
      <c r="BV12045">
        <v>0</v>
      </c>
      <c r="BW12045">
        <v>0</v>
      </c>
      <c r="BX12045">
        <v>0</v>
      </c>
      <c r="BY12045">
        <v>0</v>
      </c>
      <c r="BZ12045">
        <v>0</v>
      </c>
    </row>
    <row r="12046" spans="1:78" x14ac:dyDescent="0.2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  <c r="H12046">
        <v>0</v>
      </c>
      <c r="I12046">
        <v>0</v>
      </c>
      <c r="J12046">
        <v>0</v>
      </c>
      <c r="K12046">
        <v>0</v>
      </c>
      <c r="L12046">
        <v>0</v>
      </c>
      <c r="M12046">
        <v>0</v>
      </c>
      <c r="N12046">
        <v>0</v>
      </c>
      <c r="O12046">
        <v>0</v>
      </c>
      <c r="P12046">
        <v>0</v>
      </c>
      <c r="Q12046">
        <v>0</v>
      </c>
      <c r="R12046">
        <v>0</v>
      </c>
      <c r="S12046">
        <v>0</v>
      </c>
      <c r="T12046">
        <v>0</v>
      </c>
      <c r="U12046">
        <v>0</v>
      </c>
      <c r="V12046">
        <v>0</v>
      </c>
      <c r="W12046">
        <v>0</v>
      </c>
      <c r="X12046">
        <v>0</v>
      </c>
      <c r="Y12046">
        <v>0</v>
      </c>
      <c r="Z12046">
        <v>0</v>
      </c>
      <c r="AA12046">
        <v>0</v>
      </c>
      <c r="AB12046">
        <v>0</v>
      </c>
      <c r="AC12046">
        <v>0</v>
      </c>
      <c r="AD12046">
        <v>0</v>
      </c>
      <c r="AE12046">
        <v>0</v>
      </c>
      <c r="AF12046">
        <v>0</v>
      </c>
      <c r="AG12046">
        <v>0</v>
      </c>
      <c r="AH12046">
        <v>0</v>
      </c>
      <c r="AI12046">
        <v>0</v>
      </c>
      <c r="AJ12046">
        <v>0</v>
      </c>
      <c r="AK12046">
        <v>0</v>
      </c>
      <c r="AL12046">
        <v>0</v>
      </c>
      <c r="AM12046">
        <v>0</v>
      </c>
      <c r="AN12046">
        <v>0</v>
      </c>
      <c r="AO12046">
        <v>0</v>
      </c>
      <c r="AP12046">
        <v>0</v>
      </c>
      <c r="AQ12046">
        <v>0</v>
      </c>
      <c r="AR12046">
        <v>0</v>
      </c>
      <c r="AS12046">
        <v>0</v>
      </c>
      <c r="AT12046">
        <v>0</v>
      </c>
      <c r="AU12046">
        <v>0</v>
      </c>
      <c r="AV12046">
        <v>0</v>
      </c>
      <c r="AW12046">
        <v>0</v>
      </c>
      <c r="AX12046">
        <v>0</v>
      </c>
      <c r="AY12046">
        <v>0</v>
      </c>
      <c r="AZ12046">
        <v>0</v>
      </c>
      <c r="BA12046">
        <v>0</v>
      </c>
      <c r="BB12046">
        <v>0</v>
      </c>
      <c r="BC12046">
        <v>0</v>
      </c>
      <c r="BD12046">
        <v>0</v>
      </c>
      <c r="BE12046">
        <v>0</v>
      </c>
      <c r="BF12046">
        <v>0</v>
      </c>
      <c r="BG12046">
        <v>0</v>
      </c>
      <c r="BH12046">
        <v>0</v>
      </c>
      <c r="BI12046">
        <v>0</v>
      </c>
      <c r="BJ12046">
        <v>0</v>
      </c>
      <c r="BK12046">
        <v>0</v>
      </c>
      <c r="BL12046">
        <v>0</v>
      </c>
      <c r="BM12046">
        <v>0</v>
      </c>
      <c r="BN12046">
        <v>0</v>
      </c>
      <c r="BO12046">
        <v>0</v>
      </c>
      <c r="BP12046">
        <v>0</v>
      </c>
      <c r="BQ12046">
        <v>0</v>
      </c>
      <c r="BR12046">
        <v>0</v>
      </c>
      <c r="BS12046">
        <v>0</v>
      </c>
      <c r="BT12046">
        <v>0</v>
      </c>
      <c r="BU12046">
        <v>0</v>
      </c>
      <c r="BV12046">
        <v>0</v>
      </c>
      <c r="BW12046">
        <v>0</v>
      </c>
      <c r="BX12046">
        <v>0</v>
      </c>
      <c r="BY12046">
        <v>0</v>
      </c>
      <c r="BZ12046">
        <v>0</v>
      </c>
    </row>
    <row r="12047" spans="1:78" x14ac:dyDescent="0.2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  <c r="H12047">
        <v>0</v>
      </c>
      <c r="I12047">
        <v>0</v>
      </c>
      <c r="J12047">
        <v>0</v>
      </c>
      <c r="K12047">
        <v>0</v>
      </c>
      <c r="L12047">
        <v>0</v>
      </c>
      <c r="M12047">
        <v>0</v>
      </c>
      <c r="N12047">
        <v>0</v>
      </c>
      <c r="O12047">
        <v>0</v>
      </c>
      <c r="P12047">
        <v>0</v>
      </c>
      <c r="Q12047">
        <v>0</v>
      </c>
      <c r="R12047">
        <v>0</v>
      </c>
      <c r="S12047">
        <v>0</v>
      </c>
      <c r="T12047">
        <v>0</v>
      </c>
      <c r="U12047">
        <v>0</v>
      </c>
      <c r="V12047">
        <v>0</v>
      </c>
      <c r="W12047">
        <v>0</v>
      </c>
      <c r="X12047">
        <v>0</v>
      </c>
      <c r="Y12047">
        <v>0</v>
      </c>
      <c r="Z12047">
        <v>0</v>
      </c>
      <c r="AA12047">
        <v>0</v>
      </c>
      <c r="AB12047">
        <v>0</v>
      </c>
      <c r="AC12047">
        <v>0</v>
      </c>
      <c r="AD12047">
        <v>0</v>
      </c>
      <c r="AE12047">
        <v>0</v>
      </c>
      <c r="AF12047">
        <v>0</v>
      </c>
      <c r="AG12047">
        <v>0</v>
      </c>
      <c r="AH12047">
        <v>0</v>
      </c>
      <c r="AI12047">
        <v>0</v>
      </c>
      <c r="AJ12047">
        <v>0</v>
      </c>
      <c r="AK12047">
        <v>0</v>
      </c>
      <c r="AL12047">
        <v>0</v>
      </c>
      <c r="AM12047">
        <v>0</v>
      </c>
      <c r="AN12047">
        <v>0</v>
      </c>
      <c r="AO12047">
        <v>0</v>
      </c>
      <c r="AP12047">
        <v>0</v>
      </c>
      <c r="AQ12047">
        <v>0</v>
      </c>
      <c r="AR12047">
        <v>0</v>
      </c>
      <c r="AS12047">
        <v>0</v>
      </c>
      <c r="AT12047">
        <v>0</v>
      </c>
      <c r="AU12047">
        <v>0</v>
      </c>
      <c r="AV12047">
        <v>0</v>
      </c>
      <c r="AW12047">
        <v>0</v>
      </c>
      <c r="AX12047">
        <v>0</v>
      </c>
      <c r="AY12047">
        <v>0</v>
      </c>
      <c r="AZ12047">
        <v>0</v>
      </c>
      <c r="BA12047">
        <v>0</v>
      </c>
      <c r="BB12047">
        <v>0</v>
      </c>
      <c r="BC12047">
        <v>0</v>
      </c>
      <c r="BD12047">
        <v>0</v>
      </c>
      <c r="BE12047">
        <v>0</v>
      </c>
      <c r="BF12047">
        <v>0</v>
      </c>
      <c r="BG12047">
        <v>0</v>
      </c>
      <c r="BH12047">
        <v>0</v>
      </c>
      <c r="BI12047">
        <v>0</v>
      </c>
      <c r="BJ12047">
        <v>0</v>
      </c>
      <c r="BK12047">
        <v>0</v>
      </c>
      <c r="BL12047">
        <v>0</v>
      </c>
      <c r="BM12047">
        <v>0</v>
      </c>
      <c r="BN12047">
        <v>0</v>
      </c>
      <c r="BO12047">
        <v>0</v>
      </c>
      <c r="BP12047">
        <v>0</v>
      </c>
      <c r="BQ12047">
        <v>0</v>
      </c>
      <c r="BR12047">
        <v>0</v>
      </c>
      <c r="BS12047">
        <v>0</v>
      </c>
      <c r="BT12047">
        <v>0</v>
      </c>
      <c r="BU12047">
        <v>0</v>
      </c>
      <c r="BV12047">
        <v>0</v>
      </c>
      <c r="BW12047">
        <v>0</v>
      </c>
      <c r="BX12047">
        <v>0</v>
      </c>
      <c r="BY12047">
        <v>0</v>
      </c>
      <c r="BZ12047">
        <v>0</v>
      </c>
    </row>
    <row r="12048" spans="1:78" x14ac:dyDescent="0.2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  <c r="H12048">
        <v>0</v>
      </c>
      <c r="I12048">
        <v>0</v>
      </c>
      <c r="J12048">
        <v>0</v>
      </c>
      <c r="K12048">
        <v>0</v>
      </c>
      <c r="L12048">
        <v>0</v>
      </c>
      <c r="M12048">
        <v>0</v>
      </c>
      <c r="N12048">
        <v>0</v>
      </c>
      <c r="O12048">
        <v>0</v>
      </c>
      <c r="P12048">
        <v>0</v>
      </c>
      <c r="Q12048">
        <v>0</v>
      </c>
      <c r="R12048">
        <v>0</v>
      </c>
      <c r="S12048">
        <v>0</v>
      </c>
      <c r="T12048">
        <v>0</v>
      </c>
      <c r="U12048">
        <v>0</v>
      </c>
      <c r="V12048">
        <v>0</v>
      </c>
      <c r="W12048">
        <v>0</v>
      </c>
      <c r="X12048">
        <v>0</v>
      </c>
      <c r="Y12048">
        <v>0</v>
      </c>
      <c r="Z12048">
        <v>0</v>
      </c>
      <c r="AA12048">
        <v>0</v>
      </c>
      <c r="AB12048">
        <v>0</v>
      </c>
      <c r="AC12048">
        <v>0</v>
      </c>
      <c r="AD12048">
        <v>0</v>
      </c>
      <c r="AE12048">
        <v>0</v>
      </c>
      <c r="AF12048">
        <v>0</v>
      </c>
      <c r="AG12048">
        <v>0</v>
      </c>
      <c r="AH12048">
        <v>0</v>
      </c>
      <c r="AI12048">
        <v>0</v>
      </c>
      <c r="AJ12048">
        <v>0</v>
      </c>
      <c r="AK12048">
        <v>0</v>
      </c>
      <c r="AL12048">
        <v>0</v>
      </c>
      <c r="AM12048">
        <v>0</v>
      </c>
      <c r="AN12048">
        <v>0</v>
      </c>
      <c r="AO12048">
        <v>0</v>
      </c>
      <c r="AP12048">
        <v>0</v>
      </c>
      <c r="AQ12048">
        <v>0</v>
      </c>
      <c r="AR12048">
        <v>0</v>
      </c>
      <c r="AS12048">
        <v>0</v>
      </c>
      <c r="AT12048">
        <v>0</v>
      </c>
      <c r="AU12048">
        <v>0</v>
      </c>
      <c r="AV12048">
        <v>0</v>
      </c>
      <c r="AW12048">
        <v>0</v>
      </c>
      <c r="AX12048">
        <v>0</v>
      </c>
      <c r="AY12048">
        <v>0</v>
      </c>
      <c r="AZ12048">
        <v>0</v>
      </c>
      <c r="BA12048">
        <v>0</v>
      </c>
      <c r="BB12048">
        <v>0</v>
      </c>
      <c r="BC12048">
        <v>0</v>
      </c>
      <c r="BD12048">
        <v>0</v>
      </c>
      <c r="BE12048">
        <v>0</v>
      </c>
      <c r="BF12048">
        <v>0</v>
      </c>
      <c r="BG12048">
        <v>0</v>
      </c>
      <c r="BH12048">
        <v>0</v>
      </c>
      <c r="BI12048">
        <v>0</v>
      </c>
      <c r="BJ12048">
        <v>0</v>
      </c>
      <c r="BK12048">
        <v>0</v>
      </c>
      <c r="BL12048">
        <v>0</v>
      </c>
      <c r="BM12048">
        <v>0</v>
      </c>
      <c r="BN12048">
        <v>0</v>
      </c>
      <c r="BO12048">
        <v>0</v>
      </c>
      <c r="BP12048">
        <v>0</v>
      </c>
      <c r="BQ12048">
        <v>0</v>
      </c>
      <c r="BR12048">
        <v>0</v>
      </c>
      <c r="BS12048">
        <v>0</v>
      </c>
      <c r="BT12048">
        <v>0</v>
      </c>
      <c r="BU12048">
        <v>0</v>
      </c>
      <c r="BV12048">
        <v>0</v>
      </c>
      <c r="BW12048">
        <v>0</v>
      </c>
      <c r="BX12048">
        <v>0</v>
      </c>
      <c r="BY12048">
        <v>0</v>
      </c>
      <c r="BZ12048">
        <v>0</v>
      </c>
    </row>
    <row r="12049" spans="1:78" x14ac:dyDescent="0.2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  <c r="H12049">
        <v>0</v>
      </c>
      <c r="I12049">
        <v>0</v>
      </c>
      <c r="J12049">
        <v>0</v>
      </c>
      <c r="K12049">
        <v>0</v>
      </c>
      <c r="L12049">
        <v>0</v>
      </c>
      <c r="M12049">
        <v>0</v>
      </c>
      <c r="N12049">
        <v>0</v>
      </c>
      <c r="O12049">
        <v>0</v>
      </c>
      <c r="P12049">
        <v>0</v>
      </c>
      <c r="Q12049">
        <v>0</v>
      </c>
      <c r="R12049">
        <v>0</v>
      </c>
      <c r="S12049">
        <v>0</v>
      </c>
      <c r="T12049">
        <v>0</v>
      </c>
      <c r="U12049">
        <v>0</v>
      </c>
      <c r="V12049">
        <v>0</v>
      </c>
      <c r="W12049">
        <v>0</v>
      </c>
      <c r="X12049">
        <v>0</v>
      </c>
      <c r="Y12049">
        <v>0</v>
      </c>
      <c r="Z12049">
        <v>0</v>
      </c>
      <c r="AA12049">
        <v>0</v>
      </c>
      <c r="AB12049">
        <v>0</v>
      </c>
      <c r="AC12049">
        <v>0</v>
      </c>
      <c r="AD12049">
        <v>0</v>
      </c>
      <c r="AE12049">
        <v>0</v>
      </c>
      <c r="AF12049">
        <v>0</v>
      </c>
      <c r="AG12049">
        <v>0</v>
      </c>
      <c r="AH12049">
        <v>0</v>
      </c>
      <c r="AI12049">
        <v>0</v>
      </c>
      <c r="AJ12049">
        <v>0</v>
      </c>
      <c r="AK12049">
        <v>0</v>
      </c>
      <c r="AL12049">
        <v>0</v>
      </c>
      <c r="AM12049">
        <v>0</v>
      </c>
      <c r="AN12049">
        <v>0</v>
      </c>
      <c r="AO12049">
        <v>0</v>
      </c>
      <c r="AP12049">
        <v>0</v>
      </c>
      <c r="AQ12049">
        <v>0</v>
      </c>
      <c r="AR12049">
        <v>0</v>
      </c>
      <c r="AS12049">
        <v>0</v>
      </c>
      <c r="AT12049">
        <v>0</v>
      </c>
      <c r="AU12049">
        <v>0</v>
      </c>
      <c r="AV12049">
        <v>0</v>
      </c>
      <c r="AW12049">
        <v>0</v>
      </c>
      <c r="AX12049">
        <v>0</v>
      </c>
      <c r="AY12049">
        <v>0</v>
      </c>
      <c r="AZ12049">
        <v>0</v>
      </c>
      <c r="BA12049">
        <v>0</v>
      </c>
      <c r="BB12049">
        <v>0</v>
      </c>
      <c r="BC12049">
        <v>0</v>
      </c>
      <c r="BD12049">
        <v>0</v>
      </c>
      <c r="BE12049">
        <v>0</v>
      </c>
      <c r="BF12049">
        <v>0</v>
      </c>
      <c r="BG12049">
        <v>0</v>
      </c>
      <c r="BH12049">
        <v>0</v>
      </c>
      <c r="BI12049">
        <v>0</v>
      </c>
      <c r="BJ12049">
        <v>0</v>
      </c>
      <c r="BK12049">
        <v>0</v>
      </c>
      <c r="BL12049">
        <v>0</v>
      </c>
      <c r="BM12049">
        <v>0</v>
      </c>
      <c r="BN12049">
        <v>0</v>
      </c>
      <c r="BO12049">
        <v>0</v>
      </c>
      <c r="BP12049">
        <v>0</v>
      </c>
      <c r="BQ12049">
        <v>0</v>
      </c>
      <c r="BR12049">
        <v>0</v>
      </c>
      <c r="BS12049">
        <v>0</v>
      </c>
      <c r="BT12049">
        <v>0</v>
      </c>
      <c r="BU12049">
        <v>0</v>
      </c>
      <c r="BV12049">
        <v>0</v>
      </c>
      <c r="BW12049">
        <v>0</v>
      </c>
      <c r="BX12049">
        <v>0</v>
      </c>
      <c r="BY12049">
        <v>0</v>
      </c>
      <c r="BZ12049">
        <v>0</v>
      </c>
    </row>
    <row r="12050" spans="1:78" x14ac:dyDescent="0.2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  <c r="H12050">
        <v>0</v>
      </c>
      <c r="I12050">
        <v>0</v>
      </c>
      <c r="J12050">
        <v>0</v>
      </c>
      <c r="K12050">
        <v>0</v>
      </c>
      <c r="L12050">
        <v>0</v>
      </c>
      <c r="M12050">
        <v>0</v>
      </c>
      <c r="N12050">
        <v>0</v>
      </c>
      <c r="O12050">
        <v>0</v>
      </c>
      <c r="P12050">
        <v>0</v>
      </c>
      <c r="Q12050">
        <v>0</v>
      </c>
      <c r="R12050">
        <v>0</v>
      </c>
      <c r="S12050">
        <v>0</v>
      </c>
      <c r="T12050">
        <v>0</v>
      </c>
      <c r="U12050">
        <v>0</v>
      </c>
      <c r="V12050">
        <v>0</v>
      </c>
      <c r="W12050">
        <v>0</v>
      </c>
      <c r="X12050">
        <v>0</v>
      </c>
      <c r="Y12050">
        <v>0</v>
      </c>
      <c r="Z12050">
        <v>0</v>
      </c>
      <c r="AA12050">
        <v>0</v>
      </c>
      <c r="AB12050">
        <v>0</v>
      </c>
      <c r="AC12050">
        <v>0</v>
      </c>
      <c r="AD12050">
        <v>0</v>
      </c>
      <c r="AE12050">
        <v>0</v>
      </c>
      <c r="AF12050">
        <v>0</v>
      </c>
      <c r="AG12050">
        <v>0</v>
      </c>
      <c r="AH12050">
        <v>0</v>
      </c>
      <c r="AI12050">
        <v>0</v>
      </c>
      <c r="AJ12050">
        <v>0</v>
      </c>
      <c r="AK12050">
        <v>0</v>
      </c>
      <c r="AL12050">
        <v>0</v>
      </c>
      <c r="AM12050">
        <v>0</v>
      </c>
      <c r="AN12050">
        <v>0</v>
      </c>
      <c r="AO12050">
        <v>0</v>
      </c>
      <c r="AP12050">
        <v>0</v>
      </c>
      <c r="AQ12050">
        <v>0</v>
      </c>
      <c r="AR12050">
        <v>0</v>
      </c>
      <c r="AS12050">
        <v>0</v>
      </c>
      <c r="AT12050">
        <v>0</v>
      </c>
      <c r="AU12050">
        <v>0</v>
      </c>
      <c r="AV12050">
        <v>0</v>
      </c>
      <c r="AW12050">
        <v>0</v>
      </c>
      <c r="AX12050">
        <v>0</v>
      </c>
      <c r="AY12050">
        <v>0</v>
      </c>
      <c r="AZ12050">
        <v>0</v>
      </c>
      <c r="BA12050">
        <v>0</v>
      </c>
      <c r="BB12050">
        <v>0</v>
      </c>
      <c r="BC12050">
        <v>0</v>
      </c>
      <c r="BD12050">
        <v>0</v>
      </c>
      <c r="BE12050">
        <v>0</v>
      </c>
      <c r="BF12050">
        <v>0</v>
      </c>
      <c r="BG12050">
        <v>0</v>
      </c>
      <c r="BH12050">
        <v>0</v>
      </c>
      <c r="BI12050">
        <v>0</v>
      </c>
      <c r="BJ12050">
        <v>0</v>
      </c>
      <c r="BK12050">
        <v>0</v>
      </c>
      <c r="BL12050">
        <v>0</v>
      </c>
      <c r="BM12050">
        <v>0</v>
      </c>
      <c r="BN12050">
        <v>0</v>
      </c>
      <c r="BO12050">
        <v>0</v>
      </c>
      <c r="BP12050">
        <v>0</v>
      </c>
      <c r="BQ12050">
        <v>0</v>
      </c>
      <c r="BR12050">
        <v>0</v>
      </c>
      <c r="BS12050">
        <v>0</v>
      </c>
      <c r="BT12050">
        <v>0</v>
      </c>
      <c r="BU12050">
        <v>0</v>
      </c>
      <c r="BV12050">
        <v>0</v>
      </c>
      <c r="BW12050">
        <v>0</v>
      </c>
      <c r="BX12050">
        <v>0</v>
      </c>
      <c r="BY12050">
        <v>0</v>
      </c>
      <c r="BZ12050">
        <v>0</v>
      </c>
    </row>
    <row r="12051" spans="1:78" x14ac:dyDescent="0.2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  <c r="H12051">
        <v>0</v>
      </c>
      <c r="I12051">
        <v>0</v>
      </c>
      <c r="J12051">
        <v>0</v>
      </c>
      <c r="K12051">
        <v>0</v>
      </c>
      <c r="L12051">
        <v>0</v>
      </c>
      <c r="M12051">
        <v>0</v>
      </c>
      <c r="N12051">
        <v>0</v>
      </c>
      <c r="O12051">
        <v>0</v>
      </c>
      <c r="P12051">
        <v>0</v>
      </c>
      <c r="Q12051">
        <v>0</v>
      </c>
      <c r="R12051">
        <v>0</v>
      </c>
      <c r="S12051">
        <v>0</v>
      </c>
      <c r="T12051">
        <v>0</v>
      </c>
      <c r="U12051">
        <v>0</v>
      </c>
      <c r="V12051">
        <v>0</v>
      </c>
      <c r="W12051">
        <v>0</v>
      </c>
      <c r="X12051">
        <v>0</v>
      </c>
      <c r="Y12051">
        <v>0</v>
      </c>
      <c r="Z12051">
        <v>0</v>
      </c>
      <c r="AA12051">
        <v>0</v>
      </c>
      <c r="AB12051">
        <v>0</v>
      </c>
      <c r="AC12051">
        <v>0</v>
      </c>
      <c r="AD12051">
        <v>0</v>
      </c>
      <c r="AE12051">
        <v>0</v>
      </c>
      <c r="AF12051">
        <v>0</v>
      </c>
      <c r="AG12051">
        <v>0</v>
      </c>
      <c r="AH12051">
        <v>0</v>
      </c>
      <c r="AI12051">
        <v>0</v>
      </c>
      <c r="AJ12051">
        <v>0</v>
      </c>
      <c r="AK12051">
        <v>0</v>
      </c>
      <c r="AL12051">
        <v>0</v>
      </c>
      <c r="AM12051">
        <v>0</v>
      </c>
      <c r="AN12051">
        <v>0</v>
      </c>
      <c r="AO12051">
        <v>0</v>
      </c>
      <c r="AP12051">
        <v>0</v>
      </c>
      <c r="AQ12051">
        <v>0</v>
      </c>
      <c r="AR12051">
        <v>0</v>
      </c>
      <c r="AS12051">
        <v>0</v>
      </c>
      <c r="AT12051">
        <v>0</v>
      </c>
      <c r="AU12051">
        <v>0</v>
      </c>
      <c r="AV12051">
        <v>0</v>
      </c>
      <c r="AW12051">
        <v>0</v>
      </c>
      <c r="AX12051">
        <v>0</v>
      </c>
      <c r="AY12051">
        <v>0</v>
      </c>
      <c r="AZ12051">
        <v>0</v>
      </c>
      <c r="BA12051">
        <v>0</v>
      </c>
      <c r="BB12051">
        <v>0</v>
      </c>
      <c r="BC12051">
        <v>0</v>
      </c>
      <c r="BD12051">
        <v>0</v>
      </c>
      <c r="BE12051">
        <v>0</v>
      </c>
      <c r="BF12051">
        <v>0</v>
      </c>
      <c r="BG12051">
        <v>0</v>
      </c>
      <c r="BH12051">
        <v>0</v>
      </c>
      <c r="BI12051">
        <v>0</v>
      </c>
      <c r="BJ12051">
        <v>0</v>
      </c>
      <c r="BK12051">
        <v>0</v>
      </c>
      <c r="BL12051">
        <v>0</v>
      </c>
      <c r="BM12051">
        <v>0</v>
      </c>
      <c r="BN12051">
        <v>0</v>
      </c>
      <c r="BO12051">
        <v>0</v>
      </c>
      <c r="BP12051">
        <v>0</v>
      </c>
      <c r="BQ12051">
        <v>0</v>
      </c>
      <c r="BR12051">
        <v>0</v>
      </c>
      <c r="BS12051">
        <v>0</v>
      </c>
      <c r="BT12051">
        <v>0</v>
      </c>
      <c r="BU12051">
        <v>0</v>
      </c>
      <c r="BV12051">
        <v>0</v>
      </c>
      <c r="BW12051">
        <v>0</v>
      </c>
      <c r="BX12051">
        <v>0</v>
      </c>
      <c r="BY12051">
        <v>0</v>
      </c>
      <c r="BZ12051">
        <v>0</v>
      </c>
    </row>
    <row r="12052" spans="1:78" x14ac:dyDescent="0.2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  <c r="H12052">
        <v>0</v>
      </c>
      <c r="I12052">
        <v>0</v>
      </c>
      <c r="J12052">
        <v>0</v>
      </c>
      <c r="K12052">
        <v>0</v>
      </c>
      <c r="L12052">
        <v>0</v>
      </c>
      <c r="M12052">
        <v>0</v>
      </c>
      <c r="N12052">
        <v>0</v>
      </c>
      <c r="O12052">
        <v>0</v>
      </c>
      <c r="P12052">
        <v>0</v>
      </c>
      <c r="Q12052">
        <v>0</v>
      </c>
      <c r="R12052">
        <v>0</v>
      </c>
      <c r="S12052">
        <v>0</v>
      </c>
      <c r="T12052">
        <v>0</v>
      </c>
      <c r="U12052">
        <v>0</v>
      </c>
      <c r="V12052">
        <v>0</v>
      </c>
      <c r="W12052">
        <v>0</v>
      </c>
      <c r="X12052">
        <v>0</v>
      </c>
      <c r="Y12052">
        <v>0</v>
      </c>
      <c r="Z12052">
        <v>0</v>
      </c>
      <c r="AA12052">
        <v>0</v>
      </c>
      <c r="AB12052">
        <v>0</v>
      </c>
      <c r="AC12052">
        <v>0</v>
      </c>
      <c r="AD12052">
        <v>0</v>
      </c>
      <c r="AE12052">
        <v>0</v>
      </c>
      <c r="AF12052">
        <v>0</v>
      </c>
      <c r="AG12052">
        <v>0</v>
      </c>
      <c r="AH12052">
        <v>0</v>
      </c>
      <c r="AI12052">
        <v>0</v>
      </c>
      <c r="AJ12052">
        <v>0</v>
      </c>
      <c r="AK12052">
        <v>0</v>
      </c>
      <c r="AL12052">
        <v>0</v>
      </c>
      <c r="AM12052">
        <v>0</v>
      </c>
      <c r="AN12052">
        <v>0</v>
      </c>
      <c r="AO12052">
        <v>0</v>
      </c>
      <c r="AP12052">
        <v>0</v>
      </c>
      <c r="AQ12052">
        <v>0</v>
      </c>
      <c r="AR12052">
        <v>0</v>
      </c>
      <c r="AS12052">
        <v>0</v>
      </c>
      <c r="AT12052">
        <v>0</v>
      </c>
      <c r="AU12052">
        <v>0</v>
      </c>
      <c r="AV12052">
        <v>0</v>
      </c>
      <c r="AW12052">
        <v>0</v>
      </c>
      <c r="AX12052">
        <v>0</v>
      </c>
      <c r="AY12052">
        <v>0</v>
      </c>
      <c r="AZ12052">
        <v>0</v>
      </c>
      <c r="BA12052">
        <v>0</v>
      </c>
      <c r="BB12052">
        <v>0</v>
      </c>
      <c r="BC12052">
        <v>0</v>
      </c>
      <c r="BD12052">
        <v>0</v>
      </c>
      <c r="BE12052">
        <v>0</v>
      </c>
      <c r="BF12052">
        <v>0</v>
      </c>
      <c r="BG12052">
        <v>0</v>
      </c>
      <c r="BH12052">
        <v>0</v>
      </c>
      <c r="BI12052">
        <v>0</v>
      </c>
      <c r="BJ12052">
        <v>0</v>
      </c>
      <c r="BK12052">
        <v>0</v>
      </c>
      <c r="BL12052">
        <v>0</v>
      </c>
      <c r="BM12052">
        <v>0</v>
      </c>
      <c r="BN12052">
        <v>0</v>
      </c>
      <c r="BO12052">
        <v>0</v>
      </c>
      <c r="BP12052">
        <v>0</v>
      </c>
      <c r="BQ12052">
        <v>0</v>
      </c>
      <c r="BR12052">
        <v>0</v>
      </c>
      <c r="BS12052">
        <v>0</v>
      </c>
      <c r="BT12052">
        <v>0</v>
      </c>
      <c r="BU12052">
        <v>0</v>
      </c>
      <c r="BV12052">
        <v>0</v>
      </c>
      <c r="BW12052">
        <v>0</v>
      </c>
      <c r="BX12052">
        <v>0</v>
      </c>
      <c r="BY12052">
        <v>0</v>
      </c>
      <c r="BZ12052">
        <v>0</v>
      </c>
    </row>
    <row r="12053" spans="1:78" x14ac:dyDescent="0.2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  <c r="H12053">
        <v>0</v>
      </c>
      <c r="I12053">
        <v>0</v>
      </c>
      <c r="J12053">
        <v>0</v>
      </c>
      <c r="K12053">
        <v>0</v>
      </c>
      <c r="L12053">
        <v>0</v>
      </c>
      <c r="M12053">
        <v>0</v>
      </c>
      <c r="N12053">
        <v>0</v>
      </c>
      <c r="O12053">
        <v>0</v>
      </c>
      <c r="P12053">
        <v>0</v>
      </c>
      <c r="Q12053">
        <v>0</v>
      </c>
      <c r="R12053">
        <v>0</v>
      </c>
      <c r="S12053">
        <v>0</v>
      </c>
      <c r="T12053">
        <v>0</v>
      </c>
      <c r="U12053">
        <v>0</v>
      </c>
      <c r="V12053">
        <v>0</v>
      </c>
      <c r="W12053">
        <v>0</v>
      </c>
      <c r="X12053">
        <v>0</v>
      </c>
      <c r="Y12053">
        <v>0</v>
      </c>
      <c r="Z12053">
        <v>0</v>
      </c>
      <c r="AA12053">
        <v>0</v>
      </c>
      <c r="AB12053">
        <v>0</v>
      </c>
      <c r="AC12053">
        <v>0</v>
      </c>
      <c r="AD12053">
        <v>0</v>
      </c>
      <c r="AE12053">
        <v>0</v>
      </c>
      <c r="AF12053">
        <v>0</v>
      </c>
      <c r="AG12053">
        <v>0</v>
      </c>
      <c r="AH12053">
        <v>0</v>
      </c>
      <c r="AI12053">
        <v>0</v>
      </c>
      <c r="AJ12053">
        <v>0</v>
      </c>
      <c r="AK12053">
        <v>0</v>
      </c>
      <c r="AL12053">
        <v>0</v>
      </c>
      <c r="AM12053">
        <v>0</v>
      </c>
      <c r="AN12053">
        <v>0</v>
      </c>
      <c r="AO12053">
        <v>0</v>
      </c>
      <c r="AP12053">
        <v>0</v>
      </c>
      <c r="AQ12053">
        <v>0</v>
      </c>
      <c r="AR12053">
        <v>0</v>
      </c>
      <c r="AS12053">
        <v>0</v>
      </c>
      <c r="AT12053">
        <v>0</v>
      </c>
      <c r="AU12053">
        <v>0</v>
      </c>
      <c r="AV12053">
        <v>0</v>
      </c>
      <c r="AW12053">
        <v>0</v>
      </c>
      <c r="AX12053">
        <v>0</v>
      </c>
      <c r="AY12053">
        <v>0</v>
      </c>
      <c r="AZ12053">
        <v>0</v>
      </c>
      <c r="BA12053">
        <v>0</v>
      </c>
      <c r="BB12053">
        <v>0</v>
      </c>
      <c r="BC12053">
        <v>0</v>
      </c>
      <c r="BD12053">
        <v>0</v>
      </c>
      <c r="BE12053">
        <v>0</v>
      </c>
      <c r="BF12053">
        <v>0</v>
      </c>
      <c r="BG12053">
        <v>0</v>
      </c>
      <c r="BH12053">
        <v>0</v>
      </c>
      <c r="BI12053">
        <v>0</v>
      </c>
      <c r="BJ12053">
        <v>0</v>
      </c>
      <c r="BK12053">
        <v>0</v>
      </c>
      <c r="BL12053">
        <v>0</v>
      </c>
      <c r="BM12053">
        <v>0</v>
      </c>
      <c r="BN12053">
        <v>0</v>
      </c>
      <c r="BO12053">
        <v>0</v>
      </c>
      <c r="BP12053">
        <v>0</v>
      </c>
      <c r="BQ12053">
        <v>0</v>
      </c>
      <c r="BR12053">
        <v>0</v>
      </c>
      <c r="BS12053">
        <v>0</v>
      </c>
      <c r="BT12053">
        <v>0</v>
      </c>
      <c r="BU12053">
        <v>0</v>
      </c>
      <c r="BV12053">
        <v>0</v>
      </c>
      <c r="BW12053">
        <v>0</v>
      </c>
      <c r="BX12053">
        <v>0</v>
      </c>
      <c r="BY12053">
        <v>0</v>
      </c>
      <c r="BZ12053">
        <v>0</v>
      </c>
    </row>
    <row r="12054" spans="1:78" x14ac:dyDescent="0.2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  <c r="H12054">
        <v>0</v>
      </c>
      <c r="I12054">
        <v>0</v>
      </c>
      <c r="J12054">
        <v>0</v>
      </c>
      <c r="K12054">
        <v>0</v>
      </c>
      <c r="L12054">
        <v>0</v>
      </c>
      <c r="M12054">
        <v>0</v>
      </c>
      <c r="N12054">
        <v>0</v>
      </c>
      <c r="O12054">
        <v>0</v>
      </c>
      <c r="P12054">
        <v>0</v>
      </c>
      <c r="Q12054">
        <v>0</v>
      </c>
      <c r="R12054">
        <v>0</v>
      </c>
      <c r="S12054">
        <v>0</v>
      </c>
      <c r="T12054">
        <v>0</v>
      </c>
      <c r="U12054">
        <v>0</v>
      </c>
      <c r="V12054">
        <v>0</v>
      </c>
      <c r="W12054">
        <v>0</v>
      </c>
      <c r="X12054">
        <v>0</v>
      </c>
      <c r="Y12054">
        <v>0</v>
      </c>
      <c r="Z12054">
        <v>0</v>
      </c>
      <c r="AA12054">
        <v>0</v>
      </c>
      <c r="AB12054">
        <v>0</v>
      </c>
      <c r="AC12054">
        <v>0</v>
      </c>
      <c r="AD12054">
        <v>0</v>
      </c>
      <c r="AE12054">
        <v>0</v>
      </c>
      <c r="AF12054">
        <v>0</v>
      </c>
      <c r="AG12054">
        <v>0</v>
      </c>
      <c r="AH12054">
        <v>0</v>
      </c>
      <c r="AI12054">
        <v>0</v>
      </c>
      <c r="AJ12054">
        <v>0</v>
      </c>
      <c r="AK12054">
        <v>0</v>
      </c>
      <c r="AL12054">
        <v>0</v>
      </c>
      <c r="AM12054">
        <v>0</v>
      </c>
      <c r="AN12054">
        <v>0</v>
      </c>
      <c r="AO12054">
        <v>0</v>
      </c>
      <c r="AP12054">
        <v>0</v>
      </c>
      <c r="AQ12054">
        <v>0</v>
      </c>
      <c r="AR12054">
        <v>0</v>
      </c>
      <c r="AS12054">
        <v>0</v>
      </c>
      <c r="AT12054">
        <v>0</v>
      </c>
      <c r="AU12054">
        <v>0</v>
      </c>
      <c r="AV12054">
        <v>0</v>
      </c>
      <c r="AW12054">
        <v>0</v>
      </c>
      <c r="AX12054">
        <v>0</v>
      </c>
      <c r="AY12054">
        <v>0</v>
      </c>
      <c r="AZ12054">
        <v>0</v>
      </c>
      <c r="BA12054">
        <v>0</v>
      </c>
      <c r="BB12054">
        <v>0</v>
      </c>
      <c r="BC12054">
        <v>0</v>
      </c>
      <c r="BD12054">
        <v>0</v>
      </c>
      <c r="BE12054">
        <v>0</v>
      </c>
      <c r="BF12054">
        <v>0</v>
      </c>
      <c r="BG12054">
        <v>0</v>
      </c>
      <c r="BH12054">
        <v>0</v>
      </c>
      <c r="BI12054">
        <v>0</v>
      </c>
      <c r="BJ12054">
        <v>0</v>
      </c>
      <c r="BK12054">
        <v>0</v>
      </c>
      <c r="BL12054">
        <v>0</v>
      </c>
      <c r="BM12054">
        <v>0</v>
      </c>
      <c r="BN12054">
        <v>0</v>
      </c>
      <c r="BO12054">
        <v>0</v>
      </c>
      <c r="BP12054">
        <v>0</v>
      </c>
      <c r="BQ12054">
        <v>0</v>
      </c>
      <c r="BR12054">
        <v>0</v>
      </c>
      <c r="BS12054">
        <v>0</v>
      </c>
      <c r="BT12054">
        <v>0</v>
      </c>
      <c r="BU12054">
        <v>0</v>
      </c>
      <c r="BV12054">
        <v>0</v>
      </c>
      <c r="BW12054">
        <v>0</v>
      </c>
      <c r="BX12054">
        <v>0</v>
      </c>
      <c r="BY12054">
        <v>0</v>
      </c>
      <c r="BZ120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N20"/>
  <sheetViews>
    <sheetView workbookViewId="0">
      <selection activeCell="E21" sqref="E21"/>
    </sheetView>
  </sheetViews>
  <sheetFormatPr defaultRowHeight="12.75" x14ac:dyDescent="0.2"/>
  <cols>
    <col min="1" max="1" width="13.7109375" bestFit="1" customWidth="1"/>
  </cols>
  <sheetData>
    <row r="1" spans="1:14" x14ac:dyDescent="0.2">
      <c r="B1" t="s">
        <v>175</v>
      </c>
    </row>
    <row r="2" spans="1:14" x14ac:dyDescent="0.2">
      <c r="A2" s="27" t="s">
        <v>176</v>
      </c>
      <c r="B2">
        <v>0</v>
      </c>
    </row>
    <row r="4" spans="1:14" x14ac:dyDescent="0.2">
      <c r="B4" t="s">
        <v>177</v>
      </c>
    </row>
    <row r="5" spans="1:14" x14ac:dyDescent="0.2">
      <c r="A5" s="27" t="s">
        <v>178</v>
      </c>
      <c r="B5">
        <v>1.04368334489421</v>
      </c>
    </row>
    <row r="6" spans="1:14" x14ac:dyDescent="0.2">
      <c r="A6" s="27" t="s">
        <v>179</v>
      </c>
      <c r="B6">
        <v>1.0436833448942096</v>
      </c>
    </row>
    <row r="8" spans="1:14" x14ac:dyDescent="0.2">
      <c r="B8" t="s">
        <v>251</v>
      </c>
    </row>
    <row r="9" spans="1:14" x14ac:dyDescent="0.2">
      <c r="A9" t="s">
        <v>252</v>
      </c>
      <c r="B9">
        <v>14.089</v>
      </c>
    </row>
    <row r="10" spans="1:14" x14ac:dyDescent="0.2">
      <c r="A10" t="s">
        <v>253</v>
      </c>
      <c r="B10">
        <v>10005.200000000001</v>
      </c>
    </row>
    <row r="11" spans="1:14" x14ac:dyDescent="0.2">
      <c r="A11" t="s">
        <v>254</v>
      </c>
      <c r="B11">
        <v>383</v>
      </c>
    </row>
    <row r="13" spans="1:14" x14ac:dyDescent="0.2">
      <c r="B13" t="s">
        <v>180</v>
      </c>
    </row>
    <row r="14" spans="1:14" x14ac:dyDescent="0.2">
      <c r="A14" s="27" t="s">
        <v>181</v>
      </c>
      <c r="B14">
        <v>392</v>
      </c>
    </row>
    <row r="15" spans="1:14" x14ac:dyDescent="0.2">
      <c r="A15" s="27" t="s">
        <v>182</v>
      </c>
      <c r="B15">
        <v>500</v>
      </c>
    </row>
    <row r="16" spans="1:14" ht="16.5" x14ac:dyDescent="0.3">
      <c r="A16" s="27" t="s">
        <v>183</v>
      </c>
      <c r="B16">
        <v>572</v>
      </c>
      <c r="K16" s="74"/>
      <c r="L16" s="75"/>
      <c r="N16" s="76"/>
    </row>
    <row r="17" spans="1:14" ht="16.5" x14ac:dyDescent="0.3">
      <c r="A17" s="27" t="s">
        <v>184</v>
      </c>
      <c r="B17">
        <v>644</v>
      </c>
      <c r="K17" s="74"/>
      <c r="L17" s="75"/>
      <c r="N17" s="76"/>
    </row>
    <row r="18" spans="1:14" ht="16.5" x14ac:dyDescent="0.3">
      <c r="A18" s="27" t="s">
        <v>185</v>
      </c>
      <c r="B18">
        <v>800</v>
      </c>
      <c r="K18" s="74"/>
      <c r="L18" s="75"/>
      <c r="N18" s="76"/>
    </row>
    <row r="19" spans="1:14" ht="16.5" x14ac:dyDescent="0.3">
      <c r="A19" t="s">
        <v>1760</v>
      </c>
      <c r="B19">
        <v>860</v>
      </c>
      <c r="K19" s="74"/>
      <c r="L19" s="75"/>
      <c r="N19" s="76"/>
    </row>
    <row r="20" spans="1:14" x14ac:dyDescent="0.2">
      <c r="K20" s="74"/>
      <c r="L20" s="75"/>
      <c r="N20" s="73"/>
    </row>
  </sheetData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H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32" sqref="K32"/>
    </sheetView>
  </sheetViews>
  <sheetFormatPr defaultRowHeight="12.75" x14ac:dyDescent="0.2"/>
  <sheetData>
    <row r="1" spans="1:8" x14ac:dyDescent="0.2">
      <c r="A1" s="27"/>
      <c r="B1" s="27" t="s">
        <v>165</v>
      </c>
      <c r="C1" s="27" t="s">
        <v>166</v>
      </c>
      <c r="D1" s="27" t="s">
        <v>410</v>
      </c>
      <c r="E1" s="27" t="s">
        <v>167</v>
      </c>
      <c r="F1" s="27" t="s">
        <v>168</v>
      </c>
      <c r="G1" s="27" t="s">
        <v>169</v>
      </c>
      <c r="H1" s="27" t="s">
        <v>170</v>
      </c>
    </row>
    <row r="2" spans="1:8" x14ac:dyDescent="0.2">
      <c r="A2" s="27" t="s">
        <v>171</v>
      </c>
      <c r="B2">
        <v>302</v>
      </c>
      <c r="C2">
        <v>356</v>
      </c>
      <c r="D2">
        <v>89.6</v>
      </c>
      <c r="E2">
        <v>-58</v>
      </c>
      <c r="G2">
        <v>0.78</v>
      </c>
      <c r="H2">
        <v>1000</v>
      </c>
    </row>
    <row r="3" spans="1:8" x14ac:dyDescent="0.2">
      <c r="A3" s="27" t="s">
        <v>172</v>
      </c>
      <c r="B3">
        <v>356</v>
      </c>
      <c r="C3">
        <v>482</v>
      </c>
      <c r="D3">
        <v>134.6</v>
      </c>
      <c r="E3">
        <v>-40</v>
      </c>
      <c r="G3">
        <v>0.80500000000000005</v>
      </c>
      <c r="H3">
        <v>2000</v>
      </c>
    </row>
    <row r="4" spans="1:8" x14ac:dyDescent="0.2">
      <c r="A4" s="27" t="s">
        <v>173</v>
      </c>
      <c r="B4">
        <v>482</v>
      </c>
      <c r="C4">
        <v>662</v>
      </c>
      <c r="F4">
        <v>5</v>
      </c>
      <c r="G4">
        <v>0.82499999999999996</v>
      </c>
      <c r="H4">
        <v>4000</v>
      </c>
    </row>
    <row r="5" spans="1:8" x14ac:dyDescent="0.2">
      <c r="A5" s="27" t="s">
        <v>174</v>
      </c>
      <c r="B5">
        <v>662</v>
      </c>
      <c r="C5">
        <v>716</v>
      </c>
      <c r="F5">
        <v>41</v>
      </c>
      <c r="G5">
        <v>0.86</v>
      </c>
      <c r="H5">
        <v>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AH10"/>
  <sheetViews>
    <sheetView workbookViewId="0">
      <pane xSplit="2" ySplit="2" topLeftCell="C3" activePane="bottomRight" state="frozen"/>
      <selection pane="topRight" activeCell="C1" sqref="C1"/>
      <selection pane="bottomLeft" activeCell="A2" sqref="A2"/>
      <selection pane="bottomRight" activeCell="G8" sqref="G8:P8"/>
    </sheetView>
  </sheetViews>
  <sheetFormatPr defaultRowHeight="12.75" x14ac:dyDescent="0.2"/>
  <cols>
    <col min="1" max="1" width="13.140625" bestFit="1" customWidth="1"/>
    <col min="2" max="2" width="5.7109375" bestFit="1" customWidth="1"/>
    <col min="3" max="3" width="12.7109375" bestFit="1" customWidth="1"/>
    <col min="4" max="4" width="12.28515625" bestFit="1" customWidth="1"/>
    <col min="5" max="5" width="13.5703125" bestFit="1" customWidth="1"/>
    <col min="6" max="6" width="12.85546875" bestFit="1" customWidth="1"/>
    <col min="7" max="7" width="13.5703125" bestFit="1" customWidth="1"/>
    <col min="8" max="8" width="12.85546875" bestFit="1" customWidth="1"/>
    <col min="9" max="9" width="13.5703125" bestFit="1" customWidth="1"/>
    <col min="10" max="10" width="12.85546875" bestFit="1" customWidth="1"/>
    <col min="11" max="11" width="13.5703125" bestFit="1" customWidth="1"/>
    <col min="12" max="12" width="12.85546875" bestFit="1" customWidth="1"/>
    <col min="13" max="13" width="13.5703125" bestFit="1" customWidth="1"/>
    <col min="14" max="14" width="12.85546875" bestFit="1" customWidth="1"/>
    <col min="15" max="15" width="13.5703125" bestFit="1" customWidth="1"/>
    <col min="16" max="16" width="12.85546875" bestFit="1" customWidth="1"/>
    <col min="17" max="17" width="12.7109375" bestFit="1" customWidth="1"/>
    <col min="18" max="18" width="12.28515625" bestFit="1" customWidth="1"/>
    <col min="19" max="19" width="12.7109375" bestFit="1" customWidth="1"/>
    <col min="20" max="20" width="12.28515625" bestFit="1" customWidth="1"/>
    <col min="21" max="21" width="13.85546875" bestFit="1" customWidth="1"/>
    <col min="22" max="22" width="13.42578125" bestFit="1" customWidth="1"/>
    <col min="23" max="23" width="12.7109375" bestFit="1" customWidth="1"/>
    <col min="24" max="24" width="12.28515625" bestFit="1" customWidth="1"/>
    <col min="25" max="25" width="12.7109375" bestFit="1" customWidth="1"/>
    <col min="26" max="26" width="12.28515625" bestFit="1" customWidth="1"/>
    <col min="27" max="27" width="12.7109375" bestFit="1" customWidth="1"/>
    <col min="28" max="28" width="12.28515625" bestFit="1" customWidth="1"/>
    <col min="29" max="29" width="12.7109375" bestFit="1" customWidth="1"/>
    <col min="30" max="30" width="12.28515625" bestFit="1" customWidth="1"/>
    <col min="31" max="31" width="12.7109375" bestFit="1" customWidth="1"/>
    <col min="32" max="32" width="12.28515625" bestFit="1" customWidth="1"/>
    <col min="33" max="33" width="12.7109375" bestFit="1" customWidth="1"/>
    <col min="34" max="34" width="12.28515625" bestFit="1" customWidth="1"/>
  </cols>
  <sheetData>
    <row r="1" spans="1:34" x14ac:dyDescent="0.2">
      <c r="A1" s="27" t="s">
        <v>407</v>
      </c>
    </row>
    <row r="2" spans="1:34" x14ac:dyDescent="0.2">
      <c r="B2" s="27" t="s">
        <v>186</v>
      </c>
      <c r="C2" s="27" t="s">
        <v>187</v>
      </c>
      <c r="D2" s="27" t="s">
        <v>188</v>
      </c>
      <c r="E2" s="27" t="s">
        <v>189</v>
      </c>
      <c r="F2" s="27" t="s">
        <v>190</v>
      </c>
      <c r="G2" s="27" t="s">
        <v>191</v>
      </c>
      <c r="H2" s="27" t="s">
        <v>192</v>
      </c>
      <c r="I2" s="27" t="s">
        <v>193</v>
      </c>
      <c r="J2" s="27" t="s">
        <v>194</v>
      </c>
      <c r="K2" s="27" t="s">
        <v>195</v>
      </c>
      <c r="L2" s="27" t="s">
        <v>196</v>
      </c>
      <c r="M2" s="27" t="s">
        <v>197</v>
      </c>
      <c r="N2" s="27" t="s">
        <v>198</v>
      </c>
      <c r="O2" s="27" t="s">
        <v>199</v>
      </c>
      <c r="P2" s="27" t="s">
        <v>200</v>
      </c>
      <c r="Q2" s="27" t="s">
        <v>201</v>
      </c>
      <c r="R2" s="27" t="s">
        <v>202</v>
      </c>
      <c r="S2" s="27" t="s">
        <v>203</v>
      </c>
      <c r="T2" s="27" t="s">
        <v>204</v>
      </c>
      <c r="U2" s="27" t="s">
        <v>205</v>
      </c>
      <c r="V2" s="27" t="s">
        <v>206</v>
      </c>
      <c r="W2" s="27" t="s">
        <v>221</v>
      </c>
      <c r="X2" s="27" t="s">
        <v>222</v>
      </c>
      <c r="Y2" s="27" t="s">
        <v>223</v>
      </c>
      <c r="Z2" s="27" t="s">
        <v>224</v>
      </c>
      <c r="AA2" s="27" t="s">
        <v>225</v>
      </c>
      <c r="AB2" s="27" t="s">
        <v>226</v>
      </c>
      <c r="AC2" s="27" t="s">
        <v>227</v>
      </c>
      <c r="AD2" s="27" t="s">
        <v>228</v>
      </c>
      <c r="AE2" s="27" t="s">
        <v>229</v>
      </c>
      <c r="AF2" s="27" t="s">
        <v>230</v>
      </c>
      <c r="AG2" s="27" t="s">
        <v>231</v>
      </c>
      <c r="AH2" s="27" t="s">
        <v>232</v>
      </c>
    </row>
    <row r="3" spans="1:34" x14ac:dyDescent="0.2">
      <c r="A3" s="27" t="s">
        <v>207</v>
      </c>
      <c r="B3" t="s">
        <v>208</v>
      </c>
      <c r="C3" t="s">
        <v>512</v>
      </c>
      <c r="D3" t="s">
        <v>236</v>
      </c>
    </row>
    <row r="4" spans="1:34" x14ac:dyDescent="0.2">
      <c r="A4" s="27" t="s">
        <v>209</v>
      </c>
      <c r="B4" t="s">
        <v>210</v>
      </c>
      <c r="C4" t="s">
        <v>513</v>
      </c>
      <c r="D4" t="s">
        <v>235</v>
      </c>
    </row>
    <row r="5" spans="1:34" x14ac:dyDescent="0.2">
      <c r="A5" s="27" t="s">
        <v>211</v>
      </c>
      <c r="B5" t="s">
        <v>212</v>
      </c>
      <c r="C5" t="s">
        <v>514</v>
      </c>
      <c r="D5" t="s">
        <v>234</v>
      </c>
    </row>
    <row r="6" spans="1:34" x14ac:dyDescent="0.2">
      <c r="A6" s="27" t="s">
        <v>213</v>
      </c>
      <c r="B6" t="s">
        <v>214</v>
      </c>
      <c r="C6" t="s">
        <v>515</v>
      </c>
      <c r="D6" t="s">
        <v>234</v>
      </c>
      <c r="E6" t="s">
        <v>521</v>
      </c>
      <c r="F6" t="s">
        <v>237</v>
      </c>
    </row>
    <row r="7" spans="1:34" x14ac:dyDescent="0.2">
      <c r="A7" s="27" t="s">
        <v>215</v>
      </c>
      <c r="B7" t="s">
        <v>216</v>
      </c>
      <c r="C7" t="s">
        <v>516</v>
      </c>
      <c r="D7" t="s">
        <v>234</v>
      </c>
      <c r="E7" t="s">
        <v>534</v>
      </c>
      <c r="F7" t="s">
        <v>237</v>
      </c>
      <c r="G7" t="s">
        <v>535</v>
      </c>
      <c r="H7" t="s">
        <v>169</v>
      </c>
      <c r="I7" t="s">
        <v>536</v>
      </c>
      <c r="J7" t="s">
        <v>238</v>
      </c>
      <c r="K7" t="s">
        <v>537</v>
      </c>
      <c r="L7" t="s">
        <v>327</v>
      </c>
      <c r="M7" t="s">
        <v>538</v>
      </c>
      <c r="N7" t="s">
        <v>170</v>
      </c>
      <c r="O7" t="s">
        <v>539</v>
      </c>
      <c r="P7" t="s">
        <v>239</v>
      </c>
    </row>
    <row r="8" spans="1:34" x14ac:dyDescent="0.2">
      <c r="A8" s="27" t="s">
        <v>217</v>
      </c>
      <c r="B8" t="s">
        <v>218</v>
      </c>
      <c r="C8" t="s">
        <v>517</v>
      </c>
      <c r="D8" t="s">
        <v>234</v>
      </c>
      <c r="E8" t="s">
        <v>522</v>
      </c>
      <c r="F8" t="s">
        <v>237</v>
      </c>
      <c r="G8" t="s">
        <v>523</v>
      </c>
      <c r="H8" t="s">
        <v>169</v>
      </c>
      <c r="I8" t="s">
        <v>524</v>
      </c>
      <c r="J8" t="s">
        <v>238</v>
      </c>
      <c r="K8" t="s">
        <v>525</v>
      </c>
      <c r="L8" t="s">
        <v>327</v>
      </c>
      <c r="M8" t="s">
        <v>526</v>
      </c>
      <c r="N8" t="s">
        <v>170</v>
      </c>
      <c r="O8" t="s">
        <v>527</v>
      </c>
      <c r="P8" t="s">
        <v>326</v>
      </c>
    </row>
    <row r="9" spans="1:34" x14ac:dyDescent="0.2">
      <c r="A9" s="27" t="s">
        <v>518</v>
      </c>
      <c r="B9" t="s">
        <v>218</v>
      </c>
      <c r="C9" t="s">
        <v>519</v>
      </c>
      <c r="D9" t="s">
        <v>234</v>
      </c>
      <c r="E9" t="s">
        <v>528</v>
      </c>
      <c r="F9" t="s">
        <v>237</v>
      </c>
      <c r="G9" t="s">
        <v>529</v>
      </c>
      <c r="H9" t="s">
        <v>169</v>
      </c>
      <c r="I9" t="s">
        <v>530</v>
      </c>
      <c r="J9" t="s">
        <v>238</v>
      </c>
      <c r="K9" t="s">
        <v>531</v>
      </c>
      <c r="L9" t="s">
        <v>327</v>
      </c>
      <c r="M9" t="s">
        <v>532</v>
      </c>
      <c r="N9" t="s">
        <v>170</v>
      </c>
      <c r="O9" t="s">
        <v>533</v>
      </c>
      <c r="P9" t="s">
        <v>326</v>
      </c>
    </row>
    <row r="10" spans="1:34" x14ac:dyDescent="0.2">
      <c r="A10" t="s">
        <v>219</v>
      </c>
      <c r="B10" t="s">
        <v>220</v>
      </c>
      <c r="C10" t="s">
        <v>520</v>
      </c>
      <c r="D10" t="s">
        <v>234</v>
      </c>
    </row>
  </sheetData>
  <dataValidations count="2">
    <dataValidation type="list" allowBlank="1" showInputMessage="1" showErrorMessage="1" sqref="B3:B9" xr:uid="{00000000-0002-0000-3A00-000000000000}">
      <formula1>flowTypeMD_CDU</formula1>
    </dataValidation>
    <dataValidation type="list" allowBlank="1" showInputMessage="1" showErrorMessage="1" sqref="D3:D9 F3:F9 H3:H9 J3:J9 L3:L9 N3:N9 P3:P9 R3:R9 T3:T9 V3:V9 X3:X9 Z3:Z9 AB3:AB9 AD3:AD9 AF3:AF9 AH3:AH9" xr:uid="{00000000-0002-0000-3A00-000001000000}">
      <formula1>measTypeMD_CDU</formula1>
    </dataValidation>
  </dataValidation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13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0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1"/>
  <dimension ref="A1:I27"/>
  <sheetViews>
    <sheetView workbookViewId="0">
      <selection activeCell="A2" sqref="A2"/>
    </sheetView>
  </sheetViews>
  <sheetFormatPr defaultRowHeight="12.75" x14ac:dyDescent="0.2"/>
  <cols>
    <col min="1" max="1" width="13.85546875" bestFit="1" customWidth="1"/>
    <col min="2" max="2" width="13.7109375" bestFit="1" customWidth="1"/>
    <col min="3" max="3" width="12" bestFit="1" customWidth="1"/>
    <col min="4" max="4" width="11.7109375" bestFit="1" customWidth="1"/>
    <col min="5" max="5" width="15" bestFit="1" customWidth="1"/>
    <col min="6" max="6" width="13.28515625" bestFit="1" customWidth="1"/>
    <col min="7" max="7" width="9.28515625" bestFit="1" customWidth="1"/>
    <col min="8" max="8" width="10" bestFit="1" customWidth="1"/>
  </cols>
  <sheetData>
    <row r="1" spans="1:9" x14ac:dyDescent="0.2">
      <c r="A1" s="71" t="s">
        <v>255</v>
      </c>
      <c r="B1" s="71" t="s">
        <v>256</v>
      </c>
      <c r="C1" s="71" t="s">
        <v>257</v>
      </c>
      <c r="D1" s="71" t="s">
        <v>258</v>
      </c>
      <c r="E1" s="71" t="s">
        <v>259</v>
      </c>
      <c r="F1" s="71" t="s">
        <v>260</v>
      </c>
      <c r="G1" s="71" t="s">
        <v>261</v>
      </c>
      <c r="H1" s="71" t="s">
        <v>262</v>
      </c>
      <c r="I1" s="71"/>
    </row>
    <row r="2" spans="1:9" x14ac:dyDescent="0.2">
      <c r="A2" s="71">
        <f>LARGE('CDU1.FDPR'!B2:B5,1)</f>
        <v>662</v>
      </c>
      <c r="B2" s="71">
        <f>LARGE('CDU1.FDPR'!C2:C5,1)</f>
        <v>716</v>
      </c>
      <c r="C2" s="71">
        <f>LARGE('CDU1.FDPR'!B2:B5,2)</f>
        <v>482</v>
      </c>
      <c r="D2" s="71">
        <f>LARGE('CDU1.FDPR'!C2:C5,2)</f>
        <v>662</v>
      </c>
      <c r="E2" s="71">
        <f>SMALL('CDU1.FDPR'!B2:B5,2)</f>
        <v>356</v>
      </c>
      <c r="F2" s="71">
        <f>SMALL('CDU1.FDPR'!C2:C5,2)</f>
        <v>482</v>
      </c>
      <c r="G2" s="71">
        <f>SMALL('CDU1.FDPR'!B2:B5,1)</f>
        <v>302</v>
      </c>
      <c r="H2" s="71">
        <f>SMALL('CDU1.FDPR'!C2:C5,1)</f>
        <v>356</v>
      </c>
      <c r="I2" s="71"/>
    </row>
    <row r="3" spans="1:9" x14ac:dyDescent="0.2">
      <c r="A3" s="71">
        <f>ROW(INDEX('CDU1.FDPR'!B2:B5, MATCH(A2,'CDU1.FDPR'!B2:B5,1)))</f>
        <v>5</v>
      </c>
      <c r="B3" s="71">
        <f>ROW(INDEX('CDU1.FDPR'!C2:C5, MATCH(B2,'CDU1.FDPR'!C2:C5,1)))</f>
        <v>5</v>
      </c>
      <c r="C3" s="71">
        <f>ROW(INDEX('CDU1.FDPR'!B2:B5, MATCH(C2,'CDU1.FDPR'!B2:B5,1)))</f>
        <v>4</v>
      </c>
      <c r="D3" s="71">
        <f>ROW(INDEX('CDU1.FDPR'!C2:C5, MATCH(D2,'CDU1.FDPR'!C2:C5,1)))</f>
        <v>4</v>
      </c>
      <c r="E3" s="71">
        <f>ROW(INDEX('CDU1.FDPR'!B2:B5, MATCH(E2,'CDU1.FDPR'!B2:B5,1)))</f>
        <v>3</v>
      </c>
      <c r="F3" s="71">
        <f>ROW(INDEX('CDU1.FDPR'!C2:C5, MATCH(F2,'CDU1.FDPR'!C2:C5,1)))</f>
        <v>3</v>
      </c>
      <c r="G3" s="71">
        <f>ROW(INDEX('CDU1.FDPR'!B2:B5, MATCH(G2,'CDU1.FDPR'!B2:B5,1)))</f>
        <v>2</v>
      </c>
      <c r="H3" s="71">
        <f>ROW(INDEX('CDU1.FDPR'!C2:C5, MATCH(H2,'CDU1.FDPR'!C2:C5,1)))</f>
        <v>2</v>
      </c>
      <c r="I3" s="71"/>
    </row>
    <row r="4" spans="1:9" x14ac:dyDescent="0.2">
      <c r="A4" s="71"/>
      <c r="B4" s="71"/>
      <c r="C4" s="71"/>
      <c r="D4" s="71"/>
      <c r="E4" s="71"/>
      <c r="F4" s="71"/>
      <c r="G4" s="71"/>
      <c r="H4" s="71"/>
      <c r="I4" s="71"/>
    </row>
    <row r="5" spans="1:9" x14ac:dyDescent="0.2">
      <c r="A5" s="71"/>
      <c r="B5" s="71" t="s">
        <v>263</v>
      </c>
      <c r="C5" s="71"/>
      <c r="D5" s="71" t="s">
        <v>264</v>
      </c>
      <c r="E5" s="71"/>
      <c r="F5" s="71" t="s">
        <v>265</v>
      </c>
      <c r="G5" s="71"/>
      <c r="H5" s="71" t="s">
        <v>266</v>
      </c>
      <c r="I5" s="71"/>
    </row>
    <row r="6" spans="1:9" x14ac:dyDescent="0.2">
      <c r="A6" s="71"/>
      <c r="B6" s="71">
        <f ca="1">INDIRECT(ADDRESS(B3,6,1,1,"CDU1.FDPR"))</f>
        <v>41</v>
      </c>
      <c r="C6" s="71"/>
      <c r="D6" s="71">
        <f ca="1">INDIRECT(ADDRESS(D3,6,1,1,"CDU1.FDPR"))</f>
        <v>5</v>
      </c>
      <c r="E6" s="71"/>
      <c r="F6" s="71">
        <f ca="1">INDIRECT(ADDRESS(F3,5,1,1,"CDU1.FDPR"))</f>
        <v>-40</v>
      </c>
      <c r="G6" s="71"/>
      <c r="H6" s="71">
        <f ca="1">INDIRECT(ADDRESS(H3,5,1,1,"CDU1.FDPR"))</f>
        <v>-58</v>
      </c>
      <c r="I6" s="71"/>
    </row>
    <row r="7" spans="1:9" x14ac:dyDescent="0.2">
      <c r="A7" s="71"/>
      <c r="B7" s="71"/>
      <c r="C7" s="71"/>
      <c r="D7" s="71"/>
      <c r="E7" s="71"/>
      <c r="F7" s="71"/>
      <c r="G7" s="71"/>
      <c r="H7" s="71"/>
      <c r="I7" s="71"/>
    </row>
    <row r="8" spans="1:9" x14ac:dyDescent="0.2">
      <c r="A8" s="71"/>
      <c r="B8" s="71" t="s">
        <v>411</v>
      </c>
      <c r="C8" s="71"/>
      <c r="D8" s="71" t="s">
        <v>412</v>
      </c>
      <c r="E8" s="71"/>
      <c r="F8" s="71"/>
      <c r="G8" s="71"/>
      <c r="H8" s="71"/>
      <c r="I8" s="71"/>
    </row>
    <row r="9" spans="1:9" x14ac:dyDescent="0.2">
      <c r="A9" s="71"/>
      <c r="B9" s="71">
        <f ca="1">INDIRECT(ADDRESS(F3,4,1,1,"CDU1.FDPR"))</f>
        <v>134.6</v>
      </c>
      <c r="C9" s="71"/>
      <c r="D9" s="71">
        <f ca="1">INDIRECT(ADDRESS(H3,4,1,1,"CDU1.FDPR"))</f>
        <v>89.6</v>
      </c>
      <c r="E9" s="71"/>
      <c r="F9" s="71"/>
      <c r="G9" s="71"/>
      <c r="H9" s="71"/>
      <c r="I9" s="71"/>
    </row>
    <row r="10" spans="1:9" x14ac:dyDescent="0.2">
      <c r="A10" s="71"/>
      <c r="B10" s="71"/>
      <c r="C10" s="71"/>
      <c r="D10" s="71"/>
      <c r="E10" s="71"/>
      <c r="F10" s="71"/>
      <c r="G10" s="71"/>
      <c r="H10" s="71"/>
      <c r="I10" s="71"/>
    </row>
    <row r="11" spans="1:9" x14ac:dyDescent="0.2">
      <c r="A11" s="71"/>
      <c r="B11" s="71" t="s">
        <v>267</v>
      </c>
      <c r="C11" s="71"/>
      <c r="D11" s="71" t="s">
        <v>268</v>
      </c>
      <c r="E11" s="71"/>
      <c r="F11" s="71"/>
      <c r="G11" s="71"/>
      <c r="H11" s="71"/>
      <c r="I11" s="71"/>
    </row>
    <row r="12" spans="1:9" x14ac:dyDescent="0.2">
      <c r="A12" s="71"/>
      <c r="B12" s="71">
        <f ca="1">INDIRECT(ADDRESS(B3,8,1,1,"CDU1.FDPR"))</f>
        <v>5000</v>
      </c>
      <c r="C12" s="71"/>
      <c r="D12" s="71">
        <f ca="1">INDIRECT(ADDRESS(D3,8,1,1,"CDU1.FDPR"))</f>
        <v>4000</v>
      </c>
      <c r="E12" s="71"/>
      <c r="F12" s="71"/>
      <c r="G12" s="71"/>
      <c r="H12" s="71"/>
      <c r="I12" s="71"/>
    </row>
    <row r="13" spans="1:9" x14ac:dyDescent="0.2">
      <c r="A13" s="71"/>
      <c r="B13" s="71"/>
      <c r="C13" s="71"/>
      <c r="D13" s="71"/>
      <c r="E13" s="71"/>
      <c r="F13" s="71"/>
      <c r="G13" s="71"/>
      <c r="H13" s="71"/>
      <c r="I13" s="71"/>
    </row>
    <row r="14" spans="1:9" x14ac:dyDescent="0.2">
      <c r="A14" s="71"/>
      <c r="B14" s="71" t="s">
        <v>269</v>
      </c>
      <c r="C14" s="71"/>
      <c r="D14" s="71" t="s">
        <v>270</v>
      </c>
      <c r="E14" s="71"/>
      <c r="F14" s="71"/>
      <c r="G14" s="71"/>
      <c r="H14" s="71"/>
      <c r="I14" s="71"/>
    </row>
    <row r="15" spans="1:9" x14ac:dyDescent="0.2">
      <c r="A15" s="71"/>
      <c r="B15" s="71">
        <f ca="1">INDIRECT(ADDRESS(B3,7,1,1,"CDU1.FDPR"))</f>
        <v>0.86</v>
      </c>
      <c r="C15" s="71"/>
      <c r="D15" s="71">
        <f ca="1">INDIRECT(ADDRESS(D3,7,1,1,"CDU1.FDPR"))</f>
        <v>0.82499999999999996</v>
      </c>
      <c r="E15" s="71"/>
      <c r="F15" s="71"/>
      <c r="G15" s="71"/>
      <c r="H15" s="71"/>
      <c r="I15" s="71"/>
    </row>
    <row r="16" spans="1:9" x14ac:dyDescent="0.2">
      <c r="A16" s="71"/>
      <c r="B16" s="71"/>
      <c r="C16" s="71"/>
      <c r="D16" s="71"/>
      <c r="E16" s="71"/>
      <c r="F16" s="71"/>
      <c r="G16" s="71"/>
      <c r="H16" s="71"/>
      <c r="I16" s="71"/>
    </row>
    <row r="17" spans="1:9" x14ac:dyDescent="0.2">
      <c r="A17" s="71" t="s">
        <v>399</v>
      </c>
      <c r="B17" s="71" t="s">
        <v>400</v>
      </c>
      <c r="C17" s="71" t="s">
        <v>413</v>
      </c>
      <c r="D17" s="71" t="s">
        <v>401</v>
      </c>
      <c r="E17" s="71" t="s">
        <v>402</v>
      </c>
      <c r="F17" s="71" t="s">
        <v>414</v>
      </c>
      <c r="G17" s="71" t="s">
        <v>403</v>
      </c>
      <c r="H17" s="71" t="s">
        <v>404</v>
      </c>
      <c r="I17" s="71" t="s">
        <v>405</v>
      </c>
    </row>
    <row r="18" spans="1:9" x14ac:dyDescent="0.2">
      <c r="A18" s="71" t="e">
        <f ca="1">[2]!DLL_MD_Cloud_Slope(CDU1.GFDP!IBP_1L,CDU1.GFDP!FBP_1L,CDU1.GFDP!IBP_1H,CDU1.GFDP!FBP_1H,PARAM!CBN_BASE,CDU1.GFDP!CLOUD_1,CDU1.GFDP!CLOUD_2)</f>
        <v>#NAME?</v>
      </c>
      <c r="B18" s="71" t="e">
        <f ca="1">[2]!DLL_MD_Freeze_Slope(CDU1.GFDP!IBP_2L,CDU1.GFDP!FBP_2L,CDU1.GFDP!IBP_2H,CDU1.GFDP!FBP_2H,PARAM!FBN_BASE,CDU1.GFDP!FREEZE_1,CDU1.GFDP!FREEZE_2)</f>
        <v>#NAME?</v>
      </c>
      <c r="C18" s="71" t="e">
        <f ca="1">[2]!DLL_MD_Flash_Slope(CDU1.GFDP!IBP_2L,CDU1.GFDP!FBP_2L,CDU1.GFDP!IBP_2H,CDU1.GFDP!FBP_2H,PARAM!FPI_A,PARAM!FPI_B,PARAM!FPI_ALPHA,CDU1.GFDP!FLASH_1,CDU1.GFDP!FLASH_2)</f>
        <v>#NAME?</v>
      </c>
      <c r="D18" s="71" t="e">
        <f ca="1">[2]!DLL_MD_Cloud_Bias(CDU1.GFDP!IBP_1H,CDU1.GFDP!FBP_1H,CDU1.GFDP!FD_CL_PAR3,PARAM!CBN_BASE,CDU1.GFDP!CLOUD_2)</f>
        <v>#NAME?</v>
      </c>
      <c r="E18" s="71" t="e">
        <f ca="1">[2]!DLL_MD_Freeze_Bias(CDU1.GFDP!IBP_2H,CDU1.GFDP!FBP_2H,CDU1.GFDP!FD_FZ_PAR3,PARAM!FBN_BASE,CDU1.GFDP!FREEZE_2)</f>
        <v>#NAME?</v>
      </c>
      <c r="F18" s="71" t="e">
        <f ca="1">[2]!DLL_MD_Flash_Bias(CDU1.GFDP!IBP_2L,CDU1.GFDP!FBP_2L,CDU1.GFDP!IBP_2H,CDU1.GFDP!FBP_2H,CDU1.GFDP!FD_FL_PAR3,PARAM!FPI_A,PARAM!FPI_B,PARAM!FPI_ALPHA,CDU1.GFDP!FLASH_1,CDU1.GFDP!FLASH_2)</f>
        <v>#NAME?</v>
      </c>
      <c r="G18" s="71" t="e">
        <f ca="1">[2]!DLL_MD_Sulfur_Slope(CDU1.GFDP!IBP_1L,CDU1.GFDP!FBP_1L,CDU1.GFDP!IBP_1H,CDU1.GFDP!FBP_1H,CDU1.GFDP!SUL_1,CDU1.GFDP!SUL_2)</f>
        <v>#NAME?</v>
      </c>
      <c r="H18" s="71" t="e">
        <f ca="1">[2]!DLL_MD_Sulfur_Bias(CDU1.GFDP!IBP_1H,CDU1.GFDP!FBP_1H,CDU1.GFDP!FD_SUL_PAR3,CDU1.GFDP!SUL_2)</f>
        <v>#NAME?</v>
      </c>
      <c r="I18" s="71" t="e">
        <f ca="1">AVERAGE([2]!DLL_MD_KFactor('CDU1.FDPR'!$B$2, 'CDU1.FDPR'!$C$2, 'CDU1.FDPR'!$G$2, PARAM!IUNITS),[2]!DLL_MD_KFactor('CDU1.FDPR'!$B$3, 'CDU1.FDPR'!$C$3, 'CDU1.FDPR'!$G$3, PARAM!IUNITS),[2]!DLL_MD_KFactor('CDU1.FDPR'!$B$4, 'CDU1.FDPR'!$C$4, 'CDU1.FDPR'!$G$4, PARAM!IUNITS),[2]!DLL_MD_KFactor('CDU1.FDPR'!$B$5, 'CDU1.FDPR'!$C$5, 'CDU1.FDPR'!$G$5, PARAM!IUNITS))</f>
        <v>#NAME?</v>
      </c>
    </row>
    <row r="19" spans="1:9" x14ac:dyDescent="0.2">
      <c r="A19" s="71"/>
      <c r="B19" s="71"/>
      <c r="C19" s="71"/>
      <c r="D19" s="71"/>
      <c r="E19" s="71"/>
      <c r="F19" s="71"/>
      <c r="G19" s="71"/>
      <c r="H19" s="71"/>
      <c r="I19" s="71"/>
    </row>
    <row r="20" spans="1:9" x14ac:dyDescent="0.2">
      <c r="A20" s="71"/>
      <c r="B20" s="71"/>
      <c r="C20" s="71"/>
      <c r="D20" s="71"/>
      <c r="E20" s="71"/>
      <c r="F20" s="71"/>
      <c r="G20" s="71"/>
      <c r="H20" s="71"/>
      <c r="I20" s="71"/>
    </row>
    <row r="21" spans="1:9" x14ac:dyDescent="0.2">
      <c r="A21" s="71" t="s">
        <v>573</v>
      </c>
      <c r="B21" s="71" t="s">
        <v>580</v>
      </c>
      <c r="C21" s="71" t="s">
        <v>586</v>
      </c>
      <c r="D21" s="71"/>
      <c r="E21" s="71"/>
      <c r="F21" s="71"/>
      <c r="G21" s="71"/>
      <c r="H21" s="71"/>
      <c r="I21" s="71"/>
    </row>
    <row r="22" spans="1:9" x14ac:dyDescent="0.2">
      <c r="A22" s="71">
        <f>CDU1_.SC1_.T95</f>
        <v>481.92326502965989</v>
      </c>
      <c r="B22" s="71">
        <f>CDU1_.SC2_.T95</f>
        <v>661.91278625609937</v>
      </c>
      <c r="C22" s="71">
        <f>CDU1_.SC3_.T95</f>
        <v>841.90524206541954</v>
      </c>
      <c r="D22" s="71"/>
      <c r="E22" s="71"/>
      <c r="F22" s="71"/>
      <c r="G22" s="71"/>
      <c r="H22" s="71"/>
      <c r="I22" s="71"/>
    </row>
    <row r="23" spans="1:9" x14ac:dyDescent="0.2">
      <c r="A23" s="71">
        <f>MIN(CDU1_.SC1_.T95, PARAM!KER_EVAP_T1)</f>
        <v>392</v>
      </c>
      <c r="B23" s="71">
        <f>MIN(CDU1_.SC2_.T95, PARAM!DSL_EVAP_T1)</f>
        <v>572</v>
      </c>
      <c r="C23" s="71">
        <f>MIN(CDU1_.SC3_.T95, PARAM!DSL_EVAP_T1)</f>
        <v>572</v>
      </c>
      <c r="D23" s="71"/>
      <c r="E23" s="71"/>
      <c r="F23" s="71"/>
      <c r="G23" s="71"/>
      <c r="H23" s="71"/>
      <c r="I23" s="71"/>
    </row>
    <row r="24" spans="1:9" x14ac:dyDescent="0.2">
      <c r="A24" s="71">
        <f>MIN(MAX(CDU1_.SC1_.T95-PARAM!KER_EVAP_T1,0),(PARAM!KER_EVAP_T2-PARAM!KER_EVAP_T1))</f>
        <v>89.923265029659888</v>
      </c>
      <c r="B24" s="71">
        <f>MIN(MAX(CDU1_.SC2_.T95-PARAM!DSL_EVAP_T1,0),(PARAM!DSL_EVAP_T2-PARAM!DSL_EVAP_T1))</f>
        <v>72</v>
      </c>
      <c r="C24" s="71">
        <f>MIN(MAX(CDU1_.SC3_.T95-PARAM!DSL_EVAP_T1,0),(PARAM!DSL_EVAP_T2-PARAM!DSL_EVAP_T1))</f>
        <v>72</v>
      </c>
      <c r="D24" s="71"/>
      <c r="E24" s="71"/>
      <c r="F24" s="71"/>
      <c r="G24" s="71"/>
      <c r="H24" s="71"/>
      <c r="I24" s="71"/>
    </row>
    <row r="25" spans="1:9" x14ac:dyDescent="0.2">
      <c r="A25" s="71">
        <f>MAX(CDU1_.SC1_.T95-PARAM!KER_EVAP_T2, 0)</f>
        <v>0</v>
      </c>
      <c r="B25" s="71">
        <f>MIN(MAX(CDU1_.SC2_.T95-PARAM!DSL_EVAP_T2,0),(PARAM!DSL_EVAP_T3-PARAM!DSL_EVAP_T2))</f>
        <v>17.912786256099366</v>
      </c>
      <c r="C25" s="71">
        <f>MIN(MAX(CDU1_.SC3_.T95-PARAM!DSL_EVAP_T2,0),(PARAM!DSL_EVAP_T3-PARAM!DSL_EVAP_T2))</f>
        <v>156</v>
      </c>
      <c r="D25" s="71"/>
      <c r="E25" s="71"/>
      <c r="F25" s="71"/>
      <c r="G25" s="71"/>
      <c r="H25" s="71"/>
      <c r="I25" s="71"/>
    </row>
    <row r="26" spans="1:9" x14ac:dyDescent="0.2">
      <c r="A26" s="71"/>
      <c r="B26" s="71">
        <f>MIN(MAX(CDU1_.SC2_.T95-PARAM!DSL_EVAP_T3,0),(PARAM!DSL_EVAP_T4-PARAM!DSL_EVAP_T3))</f>
        <v>0</v>
      </c>
      <c r="C26" s="71">
        <f>MIN(MAX(CDU1_.SC3_.T95-PARAM!DSL_EVAP_T3,0),(PARAM!DSL_EVAP_T4-PARAM!DSL_EVAP_T3))</f>
        <v>41.905242065419543</v>
      </c>
      <c r="D26" s="71"/>
      <c r="E26" s="71"/>
      <c r="F26" s="71"/>
      <c r="G26" s="71"/>
      <c r="H26" s="71"/>
      <c r="I26" s="71"/>
    </row>
    <row r="27" spans="1:9" x14ac:dyDescent="0.2">
      <c r="A27" s="71"/>
      <c r="B27" s="71">
        <f>MAX(CDU1_.SC2_.T95-PARAM!DSL_EVAP_T4, 0)</f>
        <v>0</v>
      </c>
      <c r="C27" s="71">
        <f>MAX(CDU1_.SC3_.T95-PARAM!DSL_EVAP_T4, 0)</f>
        <v>0</v>
      </c>
      <c r="D27" s="71"/>
      <c r="E27" s="71"/>
      <c r="F27" s="71"/>
      <c r="G27" s="71"/>
      <c r="H27" s="71"/>
      <c r="I27" s="71"/>
    </row>
  </sheetData>
  <sheetProtection algorithmName="SHA-512" hashValue="RTk3k5Tr4wlEw22CjLOiWkXsL1D+ouoXlMvnM97BAt6J8+mCPY20FdFGqCedJ3DsMZrpNbA2uAgratH02ydIeQ==" saltValue="8tboxqQ/ndciJZDoQ9p/Sg==" spinCount="100000" sheet="1" objects="1" scenarios="1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2"/>
  <dimension ref="A1:AL31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38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</row>
    <row r="2" spans="1:38" customFormat="1" x14ac:dyDescent="0.2">
      <c r="A2" s="71"/>
      <c r="B2" s="71"/>
      <c r="C2" s="71"/>
      <c r="D2" s="71"/>
      <c r="E2" s="71" t="s">
        <v>7</v>
      </c>
      <c r="F2" s="71" t="s">
        <v>512</v>
      </c>
      <c r="G2" s="71" t="s">
        <v>513</v>
      </c>
      <c r="H2" s="71" t="s">
        <v>514</v>
      </c>
      <c r="I2" s="71" t="s">
        <v>515</v>
      </c>
      <c r="J2" s="71" t="s">
        <v>516</v>
      </c>
      <c r="K2" s="71" t="s">
        <v>517</v>
      </c>
      <c r="L2" s="71" t="s">
        <v>519</v>
      </c>
      <c r="M2" s="71" t="s">
        <v>520</v>
      </c>
      <c r="N2" s="71" t="s">
        <v>564</v>
      </c>
      <c r="O2" s="71" t="s">
        <v>565</v>
      </c>
      <c r="P2" s="71" t="s">
        <v>566</v>
      </c>
      <c r="Q2" s="71" t="s">
        <v>567</v>
      </c>
      <c r="R2" s="71" t="s">
        <v>568</v>
      </c>
      <c r="S2" s="71" t="s">
        <v>569</v>
      </c>
      <c r="T2" s="71" t="s">
        <v>570</v>
      </c>
      <c r="U2" s="71" t="s">
        <v>571</v>
      </c>
      <c r="V2" s="71" t="s">
        <v>572</v>
      </c>
      <c r="W2" s="71" t="s">
        <v>573</v>
      </c>
      <c r="X2" s="71" t="s">
        <v>574</v>
      </c>
      <c r="Y2" s="71" t="s">
        <v>575</v>
      </c>
      <c r="Z2" s="71" t="s">
        <v>576</v>
      </c>
      <c r="AA2" s="71" t="s">
        <v>577</v>
      </c>
      <c r="AB2" s="71" t="s">
        <v>578</v>
      </c>
      <c r="AC2" s="71" t="s">
        <v>579</v>
      </c>
      <c r="AD2" s="71" t="s">
        <v>580</v>
      </c>
      <c r="AE2" s="71" t="s">
        <v>581</v>
      </c>
      <c r="AF2" s="71" t="s">
        <v>582</v>
      </c>
      <c r="AG2" s="71" t="s">
        <v>583</v>
      </c>
      <c r="AH2" s="71" t="s">
        <v>584</v>
      </c>
      <c r="AI2" s="71" t="s">
        <v>585</v>
      </c>
      <c r="AJ2" s="71" t="s">
        <v>586</v>
      </c>
      <c r="AK2" s="71" t="s">
        <v>587</v>
      </c>
      <c r="AL2" s="71" t="s">
        <v>588</v>
      </c>
    </row>
    <row r="3" spans="1:38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</row>
    <row r="4" spans="1:38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</row>
    <row r="5" spans="1:38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TC_11.PV</f>
        <v>212</v>
      </c>
      <c r="G5" s="71">
        <f>PI_11.PV</f>
        <v>14.2</v>
      </c>
      <c r="H5" s="71">
        <f>FC_10.PV</f>
        <v>80</v>
      </c>
      <c r="I5" s="71">
        <f>FC_11.PV</f>
        <v>16</v>
      </c>
      <c r="J5" s="71">
        <f>FC_12.SP</f>
        <v>16</v>
      </c>
      <c r="K5" s="71">
        <f>FC_13.SP</f>
        <v>16</v>
      </c>
      <c r="L5" s="71">
        <f>FC_14.SP</f>
        <v>16</v>
      </c>
      <c r="M5" s="71">
        <f>FI_15.PV</f>
        <v>16.002462090651669</v>
      </c>
      <c r="N5" s="71">
        <f>CDU1_.FEED.FLOW</f>
        <v>80.000410278826479</v>
      </c>
      <c r="O5" s="71">
        <f>CDU1_.OVH.FLOW</f>
        <v>15.999999368864074</v>
      </c>
      <c r="P5" s="71">
        <f>CDU1_.SC1_.FLOW</f>
        <v>15.999370185596792</v>
      </c>
      <c r="Q5" s="71">
        <f>CDU1_.SC2_.FLOW</f>
        <v>15.999160954074833</v>
      </c>
      <c r="R5" s="71">
        <f>CDU1_.SC3_.FLOW</f>
        <v>15.999418626361553</v>
      </c>
      <c r="S5" s="71">
        <f>CDU1_.RES.FLOW</f>
        <v>16.002461775080032</v>
      </c>
      <c r="T5" s="71">
        <f>CDU1_.OVH.T95</f>
        <v>301.93136090088439</v>
      </c>
      <c r="U5" s="71">
        <f>CDU1_.SC1_.SG</f>
        <v>0.78687581313163468</v>
      </c>
      <c r="V5" s="71">
        <f>CDU1_.SC1_.SUL</f>
        <v>2448.5337861112757</v>
      </c>
      <c r="W5" s="71">
        <f>CDU1_.SC1_.T95</f>
        <v>481.92326502965989</v>
      </c>
      <c r="X5" s="71">
        <f>CDU1_.SC1_.TCL</f>
        <v>-60.374325444521361</v>
      </c>
      <c r="Y5" s="71">
        <f>CDU1_.SC1_.TFL</f>
        <v>107.76190101259661</v>
      </c>
      <c r="Z5" s="71">
        <f>CDU1_.SC1_.TFZ</f>
        <v>-44.107280850804877</v>
      </c>
      <c r="AA5" s="71">
        <f>CDU1_.SC2_.CI</f>
        <v>56.542030832912552</v>
      </c>
      <c r="AB5" s="71">
        <f>CDU1_.SC2_.SG</f>
        <v>0.83890188080922612</v>
      </c>
      <c r="AC5" s="71">
        <f>CDU1_.SC2_.SUL</f>
        <v>4000.3444904189337</v>
      </c>
      <c r="AD5" s="71">
        <f>CDU1_.SC2_.T95</f>
        <v>661.91278625609937</v>
      </c>
      <c r="AE5" s="71">
        <f>CDU1_.SC2_.TCL</f>
        <v>4.9991767357895505</v>
      </c>
      <c r="AF5" s="71">
        <f>CDU1_.SC2_.TFL</f>
        <v>217.91980074046342</v>
      </c>
      <c r="AG5" s="71">
        <f>CDU1_.SC3_.CI</f>
        <v>43.697013528744932</v>
      </c>
      <c r="AH5" s="71">
        <f>CDU1_.SC3_.SG</f>
        <v>0.88515606924740575</v>
      </c>
      <c r="AI5" s="71">
        <f>CDU1_.SC3_.SUL</f>
        <v>5555.2328747859747</v>
      </c>
      <c r="AJ5" s="71">
        <f>CDU1_.SC3_.T95</f>
        <v>841.90524206541954</v>
      </c>
      <c r="AK5" s="71">
        <f>CDU1_.SC3_.TCL</f>
        <v>70.373179121805592</v>
      </c>
      <c r="AL5" s="71">
        <f>CDU1_.SC3_.TFL</f>
        <v>323.62968758858381</v>
      </c>
    </row>
    <row r="6" spans="1:38" x14ac:dyDescent="0.2">
      <c r="A6" s="71"/>
      <c r="B6" s="71" t="s">
        <v>557</v>
      </c>
      <c r="C6" s="71"/>
      <c r="D6" s="71"/>
      <c r="E6" s="71">
        <f>(1 * FC_10.PV) + (-1 * CDU1_.FEED.FLOW)</f>
        <v>-4.1027882647881597E-4</v>
      </c>
      <c r="F6" s="71"/>
      <c r="G6" s="71"/>
      <c r="H6" s="71">
        <v>1</v>
      </c>
      <c r="I6" s="71"/>
      <c r="J6" s="71"/>
      <c r="K6" s="71"/>
      <c r="L6" s="71"/>
      <c r="M6" s="71"/>
      <c r="N6" s="71">
        <v>-1</v>
      </c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</row>
    <row r="7" spans="1:38" x14ac:dyDescent="0.2">
      <c r="A7" s="71"/>
      <c r="B7" s="71" t="s">
        <v>558</v>
      </c>
      <c r="C7" s="71"/>
      <c r="D7" s="71"/>
      <c r="E7" s="71">
        <f>(1 * FC_11.PV) + (-1 * CDU1_.OVH.FLOW)</f>
        <v>6.3113592574381983E-7</v>
      </c>
      <c r="F7" s="71"/>
      <c r="G7" s="71"/>
      <c r="H7" s="71"/>
      <c r="I7" s="71">
        <v>1</v>
      </c>
      <c r="J7" s="71"/>
      <c r="K7" s="71"/>
      <c r="L7" s="71"/>
      <c r="M7" s="71"/>
      <c r="N7" s="71"/>
      <c r="O7" s="71">
        <v>-1</v>
      </c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</row>
    <row r="8" spans="1:38" x14ac:dyDescent="0.2">
      <c r="A8" s="71"/>
      <c r="B8" s="71" t="s">
        <v>559</v>
      </c>
      <c r="C8" s="71"/>
      <c r="D8" s="71"/>
      <c r="E8" s="71">
        <f>(1 * FC_12.SP) + (-1 * CDU1_.SC1_.FLOW)</f>
        <v>6.2981440320797333E-4</v>
      </c>
      <c r="F8" s="71"/>
      <c r="G8" s="71"/>
      <c r="H8" s="71"/>
      <c r="I8" s="71"/>
      <c r="J8" s="71">
        <v>1</v>
      </c>
      <c r="K8" s="71"/>
      <c r="L8" s="71"/>
      <c r="M8" s="71"/>
      <c r="N8" s="71"/>
      <c r="O8" s="71"/>
      <c r="P8" s="71">
        <v>-1</v>
      </c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</row>
    <row r="9" spans="1:38" x14ac:dyDescent="0.2">
      <c r="A9" s="71"/>
      <c r="B9" s="71" t="s">
        <v>560</v>
      </c>
      <c r="C9" s="71"/>
      <c r="D9" s="71"/>
      <c r="E9" s="71">
        <f>(1 * FC_13.SP) + (-1 * CDU1_.SC2_.FLOW)</f>
        <v>8.3904592516681475E-4</v>
      </c>
      <c r="F9" s="71"/>
      <c r="G9" s="71"/>
      <c r="H9" s="71"/>
      <c r="I9" s="71"/>
      <c r="J9" s="71"/>
      <c r="K9" s="71">
        <v>1</v>
      </c>
      <c r="L9" s="71"/>
      <c r="M9" s="71"/>
      <c r="N9" s="71"/>
      <c r="O9" s="71"/>
      <c r="P9" s="71"/>
      <c r="Q9" s="71">
        <v>-1</v>
      </c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</row>
    <row r="10" spans="1:38" x14ac:dyDescent="0.2">
      <c r="A10" s="71"/>
      <c r="B10" s="71" t="s">
        <v>561</v>
      </c>
      <c r="C10" s="71"/>
      <c r="D10" s="71"/>
      <c r="E10" s="71">
        <f>(1 * FC_14.SP) + (-1 * CDU1_.SC3_.FLOW)</f>
        <v>5.8137363844679157E-4</v>
      </c>
      <c r="F10" s="71"/>
      <c r="G10" s="71"/>
      <c r="H10" s="71"/>
      <c r="I10" s="71"/>
      <c r="J10" s="71"/>
      <c r="K10" s="71"/>
      <c r="L10" s="71">
        <v>1</v>
      </c>
      <c r="M10" s="71"/>
      <c r="N10" s="71"/>
      <c r="O10" s="71"/>
      <c r="P10" s="71"/>
      <c r="Q10" s="71"/>
      <c r="R10" s="71">
        <v>-1</v>
      </c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</row>
    <row r="11" spans="1:38" x14ac:dyDescent="0.2">
      <c r="A11" s="71"/>
      <c r="B11" s="71" t="s">
        <v>562</v>
      </c>
      <c r="C11" s="71"/>
      <c r="D11" s="71"/>
      <c r="E11" s="71">
        <f>(1 * FI_15.PV) + (-1 * CDU1_.RES.FLOW)</f>
        <v>3.1557163637785379E-7</v>
      </c>
      <c r="F11" s="71"/>
      <c r="G11" s="71"/>
      <c r="H11" s="71"/>
      <c r="I11" s="71"/>
      <c r="J11" s="71"/>
      <c r="K11" s="71"/>
      <c r="L11" s="71"/>
      <c r="M11" s="71">
        <v>1</v>
      </c>
      <c r="N11" s="71"/>
      <c r="O11" s="71"/>
      <c r="P11" s="71"/>
      <c r="Q11" s="71"/>
      <c r="R11" s="71"/>
      <c r="S11" s="71">
        <v>-1</v>
      </c>
      <c r="T11" s="71"/>
      <c r="U11" s="71"/>
      <c r="V11" s="71"/>
      <c r="W11" s="71"/>
      <c r="X11" s="71"/>
      <c r="Y11" s="71"/>
      <c r="Z11" s="71"/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</row>
    <row r="12" spans="1:38" x14ac:dyDescent="0.2">
      <c r="A12" s="71"/>
      <c r="B12" s="71" t="s">
        <v>563</v>
      </c>
      <c r="C12" s="71"/>
      <c r="D12" s="71"/>
      <c r="E12" s="71"/>
      <c r="F12" s="71">
        <v>1.4</v>
      </c>
      <c r="G12" s="71">
        <v>-2.54</v>
      </c>
      <c r="H12" s="71"/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>
        <v>-1</v>
      </c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</row>
    <row r="13" spans="1:38" x14ac:dyDescent="0.2">
      <c r="A13" s="71"/>
      <c r="B13" s="71" t="s">
        <v>521</v>
      </c>
      <c r="C13" s="71"/>
      <c r="D13" s="71"/>
      <c r="E13" s="71">
        <f>(1 * CDU1_.OVH.T95)</f>
        <v>301.93136090088439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>
        <v>1</v>
      </c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/>
      <c r="AL13" s="71"/>
    </row>
    <row r="14" spans="1:38" x14ac:dyDescent="0.2">
      <c r="A14" s="71"/>
      <c r="B14" s="71" t="s">
        <v>535</v>
      </c>
      <c r="C14" s="71"/>
      <c r="D14" s="71"/>
      <c r="E14" s="71">
        <f>(1 * CDU1_.SC1_.SG)</f>
        <v>0.78687581313163468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/>
      <c r="U14" s="71">
        <v>1</v>
      </c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</row>
    <row r="15" spans="1:38" x14ac:dyDescent="0.2">
      <c r="A15" s="71"/>
      <c r="B15" s="71" t="s">
        <v>538</v>
      </c>
      <c r="C15" s="71"/>
      <c r="D15" s="71"/>
      <c r="E15" s="71">
        <f>(1 * CDU1_.SC1_.SUL)</f>
        <v>2448.5337861112757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/>
      <c r="U15" s="71"/>
      <c r="V15" s="71">
        <v>1</v>
      </c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</row>
    <row r="16" spans="1:38" x14ac:dyDescent="0.2">
      <c r="A16" s="71"/>
      <c r="B16" s="71" t="s">
        <v>534</v>
      </c>
      <c r="C16" s="71"/>
      <c r="D16" s="71"/>
      <c r="E16" s="71">
        <f>(1 * CDU1_.SC1_.T95)</f>
        <v>481.92326502965989</v>
      </c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>
        <v>1</v>
      </c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</row>
    <row r="17" spans="1:38" x14ac:dyDescent="0.2">
      <c r="A17" s="71"/>
      <c r="B17" s="71" t="s">
        <v>536</v>
      </c>
      <c r="C17" s="71"/>
      <c r="D17" s="71"/>
      <c r="E17" s="71">
        <f>(1 * CDU1_.SC1_.TCL)</f>
        <v>-60.374325444521361</v>
      </c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>
        <v>1</v>
      </c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</row>
    <row r="18" spans="1:38" x14ac:dyDescent="0.2">
      <c r="A18" s="71"/>
      <c r="B18" s="71" t="s">
        <v>539</v>
      </c>
      <c r="C18" s="71"/>
      <c r="D18" s="71"/>
      <c r="E18" s="71">
        <f>(1 * CDU1_.SC1_.TFZ)</f>
        <v>-44.107280850804877</v>
      </c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>
        <v>1</v>
      </c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</row>
    <row r="19" spans="1:38" x14ac:dyDescent="0.2">
      <c r="A19" s="71"/>
      <c r="B19" s="71" t="s">
        <v>537</v>
      </c>
      <c r="C19" s="71"/>
      <c r="D19" s="71"/>
      <c r="E19" s="71">
        <f>(1 * CDU1_.SC1_.TFL)</f>
        <v>107.76190101259661</v>
      </c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>
        <v>1</v>
      </c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</row>
    <row r="20" spans="1:38" x14ac:dyDescent="0.2">
      <c r="A20" s="71"/>
      <c r="B20" s="71" t="s">
        <v>527</v>
      </c>
      <c r="C20" s="71"/>
      <c r="D20" s="71"/>
      <c r="E20" s="71">
        <f>(1 * CDU1_.SC2_.CI)</f>
        <v>56.542030832912552</v>
      </c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>
        <v>1</v>
      </c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</row>
    <row r="21" spans="1:38" x14ac:dyDescent="0.2">
      <c r="A21" s="71"/>
      <c r="B21" s="71" t="s">
        <v>523</v>
      </c>
      <c r="C21" s="71"/>
      <c r="D21" s="71"/>
      <c r="E21" s="71">
        <f>(1 * CDU1_.SC2_.SG)</f>
        <v>0.83890188080922612</v>
      </c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>
        <v>1</v>
      </c>
      <c r="AC21" s="71"/>
      <c r="AD21" s="71"/>
      <c r="AE21" s="71"/>
      <c r="AF21" s="71"/>
      <c r="AG21" s="71"/>
      <c r="AH21" s="71"/>
      <c r="AI21" s="71"/>
      <c r="AJ21" s="71"/>
      <c r="AK21" s="71"/>
      <c r="AL21" s="71"/>
    </row>
    <row r="22" spans="1:38" x14ac:dyDescent="0.2">
      <c r="A22" s="71"/>
      <c r="B22" s="71" t="s">
        <v>526</v>
      </c>
      <c r="C22" s="71"/>
      <c r="D22" s="71"/>
      <c r="E22" s="71">
        <f>(1 * CDU1_.SC2_.SUL)</f>
        <v>4000.3444904189337</v>
      </c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>
        <v>1</v>
      </c>
      <c r="AD22" s="71"/>
      <c r="AE22" s="71"/>
      <c r="AF22" s="71"/>
      <c r="AG22" s="71"/>
      <c r="AH22" s="71"/>
      <c r="AI22" s="71"/>
      <c r="AJ22" s="71"/>
      <c r="AK22" s="71"/>
      <c r="AL22" s="71"/>
    </row>
    <row r="23" spans="1:38" x14ac:dyDescent="0.2">
      <c r="A23" s="71"/>
      <c r="B23" s="71" t="s">
        <v>522</v>
      </c>
      <c r="C23" s="71"/>
      <c r="D23" s="71"/>
      <c r="E23" s="71">
        <f>(1 * CDU1_.SC2_.T95)</f>
        <v>661.91278625609937</v>
      </c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>
        <v>1</v>
      </c>
      <c r="AE23" s="71"/>
      <c r="AF23" s="71"/>
      <c r="AG23" s="71"/>
      <c r="AH23" s="71"/>
      <c r="AI23" s="71"/>
      <c r="AJ23" s="71"/>
      <c r="AK23" s="71"/>
      <c r="AL23" s="71"/>
    </row>
    <row r="24" spans="1:38" x14ac:dyDescent="0.2">
      <c r="A24" s="71"/>
      <c r="B24" s="71" t="s">
        <v>524</v>
      </c>
      <c r="C24" s="71"/>
      <c r="D24" s="71"/>
      <c r="E24" s="71">
        <f>(1 * CDU1_.SC2_.TCL)</f>
        <v>4.9991767357895505</v>
      </c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>
        <v>1</v>
      </c>
      <c r="AF24" s="71"/>
      <c r="AG24" s="71"/>
      <c r="AH24" s="71"/>
      <c r="AI24" s="71"/>
      <c r="AJ24" s="71"/>
      <c r="AK24" s="71"/>
      <c r="AL24" s="71"/>
    </row>
    <row r="25" spans="1:38" x14ac:dyDescent="0.2">
      <c r="A25" s="71"/>
      <c r="B25" s="71" t="s">
        <v>525</v>
      </c>
      <c r="C25" s="71"/>
      <c r="D25" s="71"/>
      <c r="E25" s="71">
        <f>(1 * CDU1_.SC2_.TFL)</f>
        <v>217.91980074046342</v>
      </c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>
        <v>1</v>
      </c>
      <c r="AG25" s="71"/>
      <c r="AH25" s="71"/>
      <c r="AI25" s="71"/>
      <c r="AJ25" s="71"/>
      <c r="AK25" s="71"/>
      <c r="AL25" s="71"/>
    </row>
    <row r="26" spans="1:38" x14ac:dyDescent="0.2">
      <c r="A26" s="71"/>
      <c r="B26" s="71" t="s">
        <v>533</v>
      </c>
      <c r="C26" s="71"/>
      <c r="D26" s="71"/>
      <c r="E26" s="71">
        <f>(1 * CDU1_.SC3_.CI)</f>
        <v>43.697013528744932</v>
      </c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>
        <v>1</v>
      </c>
      <c r="AH26" s="71"/>
      <c r="AI26" s="71"/>
      <c r="AJ26" s="71"/>
      <c r="AK26" s="71"/>
      <c r="AL26" s="71"/>
    </row>
    <row r="27" spans="1:38" x14ac:dyDescent="0.2">
      <c r="A27" s="71"/>
      <c r="B27" s="71" t="s">
        <v>529</v>
      </c>
      <c r="C27" s="71"/>
      <c r="D27" s="71"/>
      <c r="E27" s="71">
        <f>(1 * CDU1_.SC3_.SG)</f>
        <v>0.88515606924740575</v>
      </c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>
        <v>1</v>
      </c>
      <c r="AI27" s="71"/>
      <c r="AJ27" s="71"/>
      <c r="AK27" s="71"/>
      <c r="AL27" s="71"/>
    </row>
    <row r="28" spans="1:38" x14ac:dyDescent="0.2">
      <c r="A28" s="71"/>
      <c r="B28" s="71" t="s">
        <v>532</v>
      </c>
      <c r="C28" s="71"/>
      <c r="D28" s="71"/>
      <c r="E28" s="71">
        <f>(1 * CDU1_.SC3_.SUL)</f>
        <v>5555.2328747859747</v>
      </c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>
        <v>1</v>
      </c>
      <c r="AJ28" s="71"/>
      <c r="AK28" s="71"/>
      <c r="AL28" s="71"/>
    </row>
    <row r="29" spans="1:38" x14ac:dyDescent="0.2">
      <c r="A29" s="71"/>
      <c r="B29" s="71" t="s">
        <v>528</v>
      </c>
      <c r="C29" s="71"/>
      <c r="D29" s="71"/>
      <c r="E29" s="71">
        <f>(1 * CDU1_.SC3_.T95)</f>
        <v>841.90524206541954</v>
      </c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>
        <v>1</v>
      </c>
      <c r="AK29" s="71"/>
      <c r="AL29" s="71"/>
    </row>
    <row r="30" spans="1:38" x14ac:dyDescent="0.2">
      <c r="A30" s="71"/>
      <c r="B30" s="71" t="s">
        <v>530</v>
      </c>
      <c r="C30" s="71"/>
      <c r="D30" s="71"/>
      <c r="E30" s="71">
        <f>(1 * CDU1_.SC3_.TCL)</f>
        <v>70.373179121805592</v>
      </c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>
        <v>1</v>
      </c>
      <c r="AL30" s="71"/>
    </row>
    <row r="31" spans="1:38" x14ac:dyDescent="0.2">
      <c r="A31" s="71"/>
      <c r="B31" s="71" t="s">
        <v>531</v>
      </c>
      <c r="C31" s="71"/>
      <c r="D31" s="71"/>
      <c r="E31" s="71">
        <f>(1 * CDU1_.SC3_.TFL)</f>
        <v>323.62968758858381</v>
      </c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>
        <v>1</v>
      </c>
    </row>
  </sheetData>
  <sheetProtection algorithmName="SHA-512" hashValue="gijYtgqTpVzdUyYWgvOUY2PIEcwqbXyoAckC0J0CmGfgMIXc+6hNMyOjyAOOFX/74Gg8jehpo2inwBxmOIO8dg==" saltValue="xLNLXXgm948by6euU3l6gg==" spinCount="100000" sheet="1" objects="1" scenarios="1"/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3"/>
  <dimension ref="A1:BQ41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G21" sqref="G21"/>
    </sheetView>
  </sheetViews>
  <sheetFormatPr defaultColWidth="9.140625" defaultRowHeight="12.75" x14ac:dyDescent="0.2"/>
  <cols>
    <col min="1" max="1" width="5.42578125" bestFit="1" customWidth="1"/>
    <col min="2" max="2" width="21.140625" bestFit="1" customWidth="1"/>
    <col min="3" max="3" width="10.28515625" bestFit="1" customWidth="1"/>
    <col min="4" max="4" width="5.28515625" bestFit="1" customWidth="1"/>
    <col min="5" max="5" width="13.140625" bestFit="1" customWidth="1"/>
    <col min="6" max="6" width="17.7109375" style="5" bestFit="1" customWidth="1"/>
    <col min="7" max="7" width="17" style="5" bestFit="1" customWidth="1"/>
    <col min="8" max="8" width="16.140625" style="5" bestFit="1" customWidth="1"/>
    <col min="9" max="9" width="13.7109375" style="5" bestFit="1" customWidth="1"/>
    <col min="10" max="10" width="14.140625" style="5" bestFit="1" customWidth="1"/>
    <col min="11" max="11" width="16.140625" style="5" bestFit="1" customWidth="1"/>
    <col min="12" max="12" width="13.7109375" style="5" bestFit="1" customWidth="1"/>
    <col min="13" max="13" width="16.140625" style="5" bestFit="1" customWidth="1"/>
    <col min="14" max="14" width="13.7109375" style="5" bestFit="1" customWidth="1"/>
    <col min="15" max="25" width="14.7109375" style="5" bestFit="1" customWidth="1"/>
    <col min="26" max="33" width="16.85546875" style="5" bestFit="1" customWidth="1"/>
    <col min="34" max="34" width="17" style="5" bestFit="1" customWidth="1"/>
    <col min="35" max="37" width="13.42578125" style="5" bestFit="1" customWidth="1"/>
    <col min="38" max="40" width="12.28515625" style="5" bestFit="1" customWidth="1"/>
    <col min="41" max="42" width="20.85546875" style="5" bestFit="1" customWidth="1"/>
    <col min="43" max="43" width="13.85546875" style="5" bestFit="1" customWidth="1"/>
    <col min="44" max="44" width="19.42578125" style="5" bestFit="1" customWidth="1"/>
    <col min="45" max="45" width="13.85546875" style="5" bestFit="1" customWidth="1"/>
    <col min="46" max="46" width="19.42578125" style="5" bestFit="1" customWidth="1"/>
    <col min="47" max="47" width="13.85546875" style="5" bestFit="1" customWidth="1"/>
    <col min="48" max="48" width="19.42578125" style="5" bestFit="1" customWidth="1"/>
    <col min="49" max="50" width="21.42578125" style="5" bestFit="1" customWidth="1"/>
    <col min="51" max="53" width="14.28515625" style="5" bestFit="1" customWidth="1"/>
    <col min="54" max="55" width="15.5703125" style="5" bestFit="1" customWidth="1"/>
    <col min="56" max="57" width="21" style="5" bestFit="1" customWidth="1"/>
    <col min="58" max="60" width="14" style="5" bestFit="1" customWidth="1"/>
    <col min="61" max="62" width="20.85546875" style="5" bestFit="1" customWidth="1"/>
    <col min="63" max="63" width="13.85546875" style="5" bestFit="1" customWidth="1"/>
    <col min="64" max="64" width="16.5703125" style="5" bestFit="1" customWidth="1"/>
    <col min="65" max="65" width="16.42578125" style="5" bestFit="1" customWidth="1"/>
    <col min="66" max="16384" width="9.140625" style="5"/>
  </cols>
  <sheetData>
    <row r="1" spans="1:69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  <c r="BG1" s="71"/>
      <c r="BH1" s="71"/>
      <c r="BI1" s="71"/>
      <c r="BJ1" s="71"/>
      <c r="BK1" s="71"/>
      <c r="BL1" s="71"/>
      <c r="BM1" s="71"/>
      <c r="BN1" s="71"/>
      <c r="BO1" s="71"/>
      <c r="BP1" s="71"/>
      <c r="BQ1" s="71"/>
    </row>
    <row r="2" spans="1:69" customFormat="1" x14ac:dyDescent="0.2">
      <c r="A2" s="71"/>
      <c r="B2" s="71"/>
      <c r="C2" s="71"/>
      <c r="D2" s="71"/>
      <c r="E2" s="71" t="s">
        <v>7</v>
      </c>
      <c r="F2" s="71" t="s">
        <v>564</v>
      </c>
      <c r="G2" s="71" t="s">
        <v>623</v>
      </c>
      <c r="H2" s="71" t="s">
        <v>566</v>
      </c>
      <c r="I2" s="71" t="s">
        <v>573</v>
      </c>
      <c r="J2" s="71" t="s">
        <v>570</v>
      </c>
      <c r="K2" s="71" t="s">
        <v>567</v>
      </c>
      <c r="L2" s="71" t="s">
        <v>580</v>
      </c>
      <c r="M2" s="71" t="s">
        <v>568</v>
      </c>
      <c r="N2" s="71" t="s">
        <v>586</v>
      </c>
      <c r="O2" s="71" t="s">
        <v>624</v>
      </c>
      <c r="P2" s="71" t="s">
        <v>625</v>
      </c>
      <c r="Q2" s="71" t="s">
        <v>626</v>
      </c>
      <c r="R2" s="71" t="s">
        <v>627</v>
      </c>
      <c r="S2" s="71" t="s">
        <v>628</v>
      </c>
      <c r="T2" s="71" t="s">
        <v>629</v>
      </c>
      <c r="U2" s="71" t="s">
        <v>630</v>
      </c>
      <c r="V2" s="71" t="s">
        <v>1763</v>
      </c>
      <c r="W2" s="71" t="s">
        <v>631</v>
      </c>
      <c r="X2" s="71" t="s">
        <v>632</v>
      </c>
      <c r="Y2" s="71" t="s">
        <v>633</v>
      </c>
      <c r="Z2" s="71" t="s">
        <v>634</v>
      </c>
      <c r="AA2" s="71" t="s">
        <v>1764</v>
      </c>
      <c r="AB2" s="71" t="s">
        <v>635</v>
      </c>
      <c r="AC2" s="71" t="s">
        <v>636</v>
      </c>
      <c r="AD2" s="71" t="s">
        <v>637</v>
      </c>
      <c r="AE2" s="71" t="s">
        <v>638</v>
      </c>
      <c r="AF2" s="71" t="s">
        <v>639</v>
      </c>
      <c r="AG2" s="71" t="s">
        <v>1765</v>
      </c>
      <c r="AH2" s="71" t="s">
        <v>640</v>
      </c>
      <c r="AI2" s="71" t="s">
        <v>641</v>
      </c>
      <c r="AJ2" s="71" t="s">
        <v>642</v>
      </c>
      <c r="AK2" s="71" t="s">
        <v>1766</v>
      </c>
      <c r="AL2" s="71" t="s">
        <v>643</v>
      </c>
      <c r="AM2" s="71" t="s">
        <v>571</v>
      </c>
      <c r="AN2" s="71" t="s">
        <v>578</v>
      </c>
      <c r="AO2" s="71" t="s">
        <v>584</v>
      </c>
      <c r="AP2" s="71" t="s">
        <v>644</v>
      </c>
      <c r="AQ2" s="71" t="s">
        <v>577</v>
      </c>
      <c r="AR2" s="71" t="s">
        <v>583</v>
      </c>
      <c r="AS2" s="71" t="s">
        <v>645</v>
      </c>
      <c r="AT2" s="71" t="s">
        <v>646</v>
      </c>
      <c r="AU2" s="71" t="s">
        <v>575</v>
      </c>
      <c r="AV2" s="71" t="s">
        <v>647</v>
      </c>
      <c r="AW2" s="71" t="s">
        <v>582</v>
      </c>
      <c r="AX2" s="71" t="s">
        <v>648</v>
      </c>
      <c r="AY2" s="71" t="s">
        <v>588</v>
      </c>
      <c r="AZ2" s="71" t="s">
        <v>649</v>
      </c>
      <c r="BA2" s="71" t="s">
        <v>650</v>
      </c>
      <c r="BB2" s="71" t="s">
        <v>651</v>
      </c>
      <c r="BC2" s="71" t="s">
        <v>572</v>
      </c>
      <c r="BD2" s="71" t="s">
        <v>579</v>
      </c>
      <c r="BE2" s="71" t="s">
        <v>585</v>
      </c>
      <c r="BF2" s="71" t="s">
        <v>652</v>
      </c>
      <c r="BG2" s="71" t="s">
        <v>653</v>
      </c>
      <c r="BH2" s="71" t="s">
        <v>654</v>
      </c>
      <c r="BI2" s="71" t="s">
        <v>655</v>
      </c>
      <c r="BJ2" s="71" t="s">
        <v>574</v>
      </c>
      <c r="BK2" s="71" t="s">
        <v>581</v>
      </c>
      <c r="BL2" s="71" t="s">
        <v>587</v>
      </c>
      <c r="BM2" s="71" t="s">
        <v>656</v>
      </c>
      <c r="BN2" s="71" t="s">
        <v>657</v>
      </c>
      <c r="BO2" s="71" t="s">
        <v>576</v>
      </c>
      <c r="BP2" s="71" t="s">
        <v>565</v>
      </c>
      <c r="BQ2" s="71" t="s">
        <v>569</v>
      </c>
    </row>
    <row r="3" spans="1:69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</row>
    <row r="4" spans="1:69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</row>
    <row r="5" spans="1:69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CDU1_.FEED.FLOW</f>
        <v>80.000410278826479</v>
      </c>
      <c r="G5" s="71">
        <f>CDU1_.FEED.PAR1</f>
        <v>9</v>
      </c>
      <c r="H5" s="71">
        <f>CDU1_.SC1_.FLOW</f>
        <v>15.999370185596792</v>
      </c>
      <c r="I5" s="71">
        <f>CDU1_.SC1_.T95</f>
        <v>481.92326502965989</v>
      </c>
      <c r="J5" s="71">
        <f>CDU1_.OVH.T95</f>
        <v>301.93136090088439</v>
      </c>
      <c r="K5" s="71">
        <f>CDU1_.SC2_.FLOW</f>
        <v>15.999160954074833</v>
      </c>
      <c r="L5" s="71">
        <f>CDU1_.SC2_.T95</f>
        <v>661.91278625609937</v>
      </c>
      <c r="M5" s="71">
        <f>CDU1_.SC3_.FLOW</f>
        <v>15.999418626361553</v>
      </c>
      <c r="N5" s="71">
        <f>CDU1_.SC3_.T95</f>
        <v>841.90524206541954</v>
      </c>
      <c r="O5" s="71">
        <f>CDU1_.SC1_.T951</f>
        <v>392</v>
      </c>
      <c r="P5" s="71">
        <f>CDU1_.SC1_.T952</f>
        <v>89.923270082517803</v>
      </c>
      <c r="Q5" s="71">
        <f>CDU1_.SC1_.T953</f>
        <v>7.4253871050726477E-6</v>
      </c>
      <c r="R5" s="71">
        <f>CDU1_.SC2_.T951</f>
        <v>572</v>
      </c>
      <c r="S5" s="71">
        <f>CDU1_.SC2_.T952</f>
        <v>71.999341009024945</v>
      </c>
      <c r="T5" s="71">
        <f>CDU1_.SC2_.T953</f>
        <v>17.912036566801998</v>
      </c>
      <c r="U5" s="71">
        <f>CDU1_.SC2_.T954</f>
        <v>-6.8366673485698785E-4</v>
      </c>
      <c r="V5" s="71">
        <f>CDU1_.SC2_.T955</f>
        <v>-6.8817582518782363E-4</v>
      </c>
      <c r="W5" s="71">
        <f>CDU1_.SC3_.T951</f>
        <v>572</v>
      </c>
      <c r="X5" s="71">
        <f>CDU1_.SC3_.T952</f>
        <v>72</v>
      </c>
      <c r="Y5" s="71">
        <f>CDU1_.SC3_.T953</f>
        <v>156</v>
      </c>
      <c r="Z5" s="71">
        <f>CDU1_.SC3_.T954</f>
        <v>41.905071869113371</v>
      </c>
      <c r="AA5" s="71">
        <f>CDU1_.SC3_.T955</f>
        <v>-3.2534118875754215E-5</v>
      </c>
      <c r="AB5" s="71">
        <f>CDU1_.SC1_.EVAP1</f>
        <v>50.019486299712824</v>
      </c>
      <c r="AC5" s="71">
        <f>CDU1_.SC1_.EVAP2</f>
        <v>100.00000000428548</v>
      </c>
      <c r="AD5" s="71">
        <f>CDU1_.SC2_.EVAP1</f>
        <v>50.022062964494189</v>
      </c>
      <c r="AE5" s="71">
        <f>CDU1_.SC2_.EVAP2</f>
        <v>90.005194140529923</v>
      </c>
      <c r="AF5" s="71">
        <f>CDU1_.SC2_.EVAP3</f>
        <v>100.00000125411314</v>
      </c>
      <c r="AG5" s="71">
        <f>CDU1_.SC2_.EVAP4</f>
        <v>99.999999955051038</v>
      </c>
      <c r="AH5" s="71">
        <f>CDU1_.SC3_.EVAP1</f>
        <v>7.4405576238017459E-4</v>
      </c>
      <c r="AI5" s="71">
        <f>CDU1_.SC3_.EVAP2</f>
        <v>1.479916125936105E-6</v>
      </c>
      <c r="AJ5" s="71">
        <f>CDU1_.SC3_.EVAP3</f>
        <v>76.679360734422431</v>
      </c>
      <c r="AK5" s="71">
        <f>CDU1_.SC3_.EVAP4</f>
        <v>100.00000171626303</v>
      </c>
      <c r="AL5" s="71">
        <f>CDU1_.FEED.PAR2</f>
        <v>12.042444900597099</v>
      </c>
      <c r="AM5" s="71">
        <f>CDU1_.SC1_.SG</f>
        <v>0.78687581313163468</v>
      </c>
      <c r="AN5" s="71">
        <f>CDU1_.SC2_.SG</f>
        <v>0.83890188080922612</v>
      </c>
      <c r="AO5" s="71">
        <f>CDU1_.SC3_.SG</f>
        <v>0.88515606924740575</v>
      </c>
      <c r="AP5" s="71">
        <f>CDU1_.SC1_.CI</f>
        <v>50.47204447563751</v>
      </c>
      <c r="AQ5" s="71">
        <f>CDU1_.SC2_.CI</f>
        <v>56.542030832912552</v>
      </c>
      <c r="AR5" s="71">
        <f>CDU1_.SC3_.CI</f>
        <v>43.697013528744932</v>
      </c>
      <c r="AS5" s="71">
        <f>CDU1_.FEED.TFL.PAR3</f>
        <v>0.57123921122650978</v>
      </c>
      <c r="AT5" s="71">
        <f>CDU1_.FEED.TFL.PAR4</f>
        <v>-96.779302032670685</v>
      </c>
      <c r="AU5" s="71">
        <f>CDU1_.SC1_.TFL</f>
        <v>107.76190101259661</v>
      </c>
      <c r="AV5" s="71">
        <f>CDU1_.SC1_.TFL.PAR4</f>
        <v>-2.1427294392888583</v>
      </c>
      <c r="AW5" s="71">
        <f>CDU1_.SC2_.TFL</f>
        <v>217.91980074046342</v>
      </c>
      <c r="AX5" s="71">
        <f>CDU1_.SC2_.TFL.PAR4</f>
        <v>0.67462869817872928</v>
      </c>
      <c r="AY5" s="71">
        <f>CDU1_.SC3_.TFL</f>
        <v>323.62968758858381</v>
      </c>
      <c r="AZ5" s="71">
        <f>CDU1_.SC3_.TFL.PAR4</f>
        <v>0.53994793387550022</v>
      </c>
      <c r="BA5" s="71">
        <f>CDU1_.FEED.SUL.PAR3</f>
        <v>8.6569726422060906</v>
      </c>
      <c r="BB5" s="71">
        <f>CDU1_.FEED.SUL.PAR4</f>
        <v>-964.40610524564363</v>
      </c>
      <c r="BC5" s="71">
        <f>CDU1_.SC1_.SUL</f>
        <v>2448.5337861112757</v>
      </c>
      <c r="BD5" s="71">
        <f>CDU1_.SC2_.SUL</f>
        <v>4000.3444904189337</v>
      </c>
      <c r="BE5" s="71">
        <f>CDU1_.SC3_.SUL</f>
        <v>5555.2328747859747</v>
      </c>
      <c r="BF5" s="71">
        <f>CDU1_.SC2_.VAR1</f>
        <v>1999.2896447774383</v>
      </c>
      <c r="BG5" s="71">
        <f>CDU1_.SC3_.VAR1</f>
        <v>5555.1915274057856</v>
      </c>
      <c r="BH5" s="71">
        <f>CDU1_.FEED.TCL.PAR3</f>
        <v>0.36320586630477525</v>
      </c>
      <c r="BI5" s="71">
        <f>CDU1_.FEED.TCL.PAR4</f>
        <v>-209.89636191041382</v>
      </c>
      <c r="BJ5" s="71">
        <f>CDU1_.SC1_.TCL</f>
        <v>-60.374325444521361</v>
      </c>
      <c r="BK5" s="71">
        <f>CDU1_.SC2_.TCL</f>
        <v>4.9991767357895505</v>
      </c>
      <c r="BL5" s="71">
        <f>CDU1_.SC3_.TCL</f>
        <v>70.373179121805592</v>
      </c>
      <c r="BM5" s="71">
        <f>CDU1_.FEED.TFZ.PAR3</f>
        <v>0.19079264494168846</v>
      </c>
      <c r="BN5" s="71">
        <f>CDU1_.FEED.TFZ.PAR4</f>
        <v>-120.9485792326718</v>
      </c>
      <c r="BO5" s="71">
        <f>CDU1_.SC1_.TFZ</f>
        <v>-44.107280850804877</v>
      </c>
      <c r="BP5" s="71">
        <f>CDU1_.OVH.FLOW</f>
        <v>15.999999368864074</v>
      </c>
      <c r="BQ5" s="71">
        <f>CDU1_.RES.FLOW</f>
        <v>16.002461775080032</v>
      </c>
    </row>
    <row r="6" spans="1:69" x14ac:dyDescent="0.2">
      <c r="A6" s="71"/>
      <c r="B6" s="71" t="s">
        <v>589</v>
      </c>
      <c r="C6" s="71"/>
      <c r="D6" s="71"/>
      <c r="E6" s="71">
        <f>(CDU1_.FEED.FLOW / 100) * (CDU1_.OVH.T95 - CDU1_.SC1_.T95) + (CDU1_.FEED.PAR1 * CDU1_.SC1_.FLOW)</f>
        <v>6.9898678702884354E-5</v>
      </c>
      <c r="F6" s="71">
        <f>(CDU1_.OVH.T95 - CDU1_.SC1_.T95) / 100</f>
        <v>-1.799919041287755</v>
      </c>
      <c r="G6" s="71">
        <f>CDU1_.SC1_.FLOW</f>
        <v>15.999370185596792</v>
      </c>
      <c r="H6" s="71">
        <f>CDU1_.FEED.PAR1</f>
        <v>9</v>
      </c>
      <c r="I6" s="71">
        <f>( -1 * CDU1_.FEED.FLOW) / 100</f>
        <v>-0.80000410278826484</v>
      </c>
      <c r="J6" s="71">
        <f>CDU1_.FEED.FLOW / 100</f>
        <v>0.80000410278826484</v>
      </c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  <c r="BO6" s="71"/>
      <c r="BP6" s="71"/>
      <c r="BQ6" s="71"/>
    </row>
    <row r="7" spans="1:69" x14ac:dyDescent="0.2">
      <c r="A7" s="71"/>
      <c r="B7" s="71" t="s">
        <v>590</v>
      </c>
      <c r="C7" s="71"/>
      <c r="D7" s="71"/>
      <c r="E7" s="71">
        <f>(CDU1_.FEED.FLOW / 100) * (CDU1_.SC1_.T95 - CDU1_.SC2_.T95) + (CDU1_.FEED.PAR1 * CDU1_.SC2_.FLOW)</f>
        <v>9.3146626426232615E-5</v>
      </c>
      <c r="F7" s="71">
        <f>(CDU1_.SC1_.T95 - CDU1_.SC2_.T95) / 100</f>
        <v>-1.7998952122643948</v>
      </c>
      <c r="G7" s="71">
        <f>CDU1_.SC2_.FLOW</f>
        <v>15.999160954074833</v>
      </c>
      <c r="H7" s="71"/>
      <c r="I7" s="71">
        <f>CDU1_.FEED.FLOW / 100</f>
        <v>0.80000410278826484</v>
      </c>
      <c r="J7" s="71"/>
      <c r="K7" s="71">
        <f>CDU1_.FEED.PAR1</f>
        <v>9</v>
      </c>
      <c r="L7" s="71">
        <f>( -1 * CDU1_.FEED.FLOW) / 100</f>
        <v>-0.80000410278826484</v>
      </c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  <c r="BO7" s="71"/>
      <c r="BP7" s="71"/>
      <c r="BQ7" s="71"/>
    </row>
    <row r="8" spans="1:69" x14ac:dyDescent="0.2">
      <c r="A8" s="71"/>
      <c r="B8" s="71" t="s">
        <v>591</v>
      </c>
      <c r="C8" s="71"/>
      <c r="D8" s="71"/>
      <c r="E8" s="71">
        <f>(CDU1_.FEED.FLOW / 100) * (CDU1_.SC2_.T95 - CDU1_.SC3_.T95) + (CDU1_.FEED.PAR1 * CDU1_.SC3_.FLOW)</f>
        <v>6.4518862387785703E-5</v>
      </c>
      <c r="F8" s="71">
        <f>(CDU1_.SC2_.T95 - CDU1_.SC3_.T95) / 100</f>
        <v>-1.7999245580932017</v>
      </c>
      <c r="G8" s="71">
        <f>CDU1_.SC3_.FLOW</f>
        <v>15.999418626361553</v>
      </c>
      <c r="H8" s="71"/>
      <c r="I8" s="71"/>
      <c r="J8" s="71"/>
      <c r="K8" s="71"/>
      <c r="L8" s="71">
        <f>CDU1_.FEED.FLOW / 100</f>
        <v>0.80000410278826484</v>
      </c>
      <c r="M8" s="71">
        <f>CDU1_.FEED.PAR1</f>
        <v>9</v>
      </c>
      <c r="N8" s="71">
        <f>( -1 * CDU1_.FEED.FLOW) / 100</f>
        <v>-0.80000410278826484</v>
      </c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</row>
    <row r="9" spans="1:69" x14ac:dyDescent="0.2">
      <c r="A9" s="71"/>
      <c r="B9" s="71" t="s">
        <v>592</v>
      </c>
      <c r="C9" s="71"/>
      <c r="D9" s="71"/>
      <c r="E9" s="71">
        <f>CDU1_.SC1_.T95- SUM(CDU1_.SC1_.T951, CDU1_.SC1_.T952, CDU1_.SC1_.T953)</f>
        <v>-1.2478244968860963E-5</v>
      </c>
      <c r="F9" s="71"/>
      <c r="G9" s="71"/>
      <c r="H9" s="71"/>
      <c r="I9" s="71">
        <v>1</v>
      </c>
      <c r="J9" s="71"/>
      <c r="K9" s="71"/>
      <c r="L9" s="71"/>
      <c r="M9" s="71"/>
      <c r="N9" s="71"/>
      <c r="O9" s="71">
        <v>-1</v>
      </c>
      <c r="P9" s="71">
        <v>-1</v>
      </c>
      <c r="Q9" s="71">
        <v>-1</v>
      </c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</row>
    <row r="10" spans="1:69" x14ac:dyDescent="0.2">
      <c r="A10" s="71"/>
      <c r="B10" s="71" t="s">
        <v>593</v>
      </c>
      <c r="C10" s="71"/>
      <c r="D10" s="71"/>
      <c r="E10" s="71">
        <f>CDU1_.SC2_.T95- SUM(CDU1_.SC2_.T951, CDU1_.SC2_.T952, CDU1_.SC2_.T953, CDU1_.SC2_.T954, CDU1_.SC2_.T955)</f>
        <v>2.7805228323813935E-3</v>
      </c>
      <c r="F10" s="71"/>
      <c r="G10" s="71"/>
      <c r="H10" s="71"/>
      <c r="I10" s="71"/>
      <c r="J10" s="71"/>
      <c r="K10" s="71"/>
      <c r="L10" s="71">
        <v>1</v>
      </c>
      <c r="M10" s="71"/>
      <c r="N10" s="71"/>
      <c r="O10" s="71"/>
      <c r="P10" s="71"/>
      <c r="Q10" s="71"/>
      <c r="R10" s="71">
        <v>-1</v>
      </c>
      <c r="S10" s="71">
        <v>-1</v>
      </c>
      <c r="T10" s="71">
        <v>-1</v>
      </c>
      <c r="U10" s="71">
        <v>-1</v>
      </c>
      <c r="V10" s="71">
        <v>-1</v>
      </c>
      <c r="W10" s="71"/>
      <c r="X10" s="71"/>
      <c r="Y10" s="71"/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/>
      <c r="BG10" s="71"/>
      <c r="BH10" s="71"/>
      <c r="BI10" s="71"/>
      <c r="BJ10" s="71"/>
      <c r="BK10" s="71"/>
      <c r="BL10" s="71"/>
      <c r="BM10" s="71"/>
      <c r="BN10" s="71"/>
      <c r="BO10" s="71"/>
      <c r="BP10" s="71"/>
      <c r="BQ10" s="71"/>
    </row>
    <row r="11" spans="1:69" x14ac:dyDescent="0.2">
      <c r="A11" s="71"/>
      <c r="B11" s="71" t="s">
        <v>594</v>
      </c>
      <c r="C11" s="71"/>
      <c r="D11" s="71"/>
      <c r="E11" s="71">
        <f>CDU1_.SC3_.T95- SUM(CDU1_.SC3_.T951, CDU1_.SC3_.T952, CDU1_.SC3_.T953, CDU1_.SC3_.T954, CDU1_.SC3_.T955)</f>
        <v>2.027304250304951E-4</v>
      </c>
      <c r="F11" s="71"/>
      <c r="G11" s="71"/>
      <c r="H11" s="71"/>
      <c r="I11" s="71"/>
      <c r="J11" s="71"/>
      <c r="K11" s="71"/>
      <c r="L11" s="71"/>
      <c r="M11" s="71"/>
      <c r="N11" s="71">
        <v>1</v>
      </c>
      <c r="O11" s="71"/>
      <c r="P11" s="71"/>
      <c r="Q11" s="71"/>
      <c r="R11" s="71"/>
      <c r="S11" s="71"/>
      <c r="T11" s="71"/>
      <c r="U11" s="71"/>
      <c r="V11" s="71"/>
      <c r="W11" s="71">
        <v>-1</v>
      </c>
      <c r="X11" s="71">
        <v>-1</v>
      </c>
      <c r="Y11" s="71">
        <v>-1</v>
      </c>
      <c r="Z11" s="71">
        <v>-1</v>
      </c>
      <c r="AA11" s="71">
        <v>-1</v>
      </c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/>
      <c r="BI11" s="71"/>
      <c r="BJ11" s="71"/>
      <c r="BK11" s="71"/>
      <c r="BL11" s="71"/>
      <c r="BM11" s="71"/>
      <c r="BN11" s="71"/>
      <c r="BO11" s="71"/>
      <c r="BP11" s="71"/>
      <c r="BQ11" s="71"/>
    </row>
    <row r="12" spans="1:69" x14ac:dyDescent="0.2">
      <c r="A12" s="71"/>
      <c r="B12" s="71" t="s">
        <v>595</v>
      </c>
      <c r="C12" s="71"/>
      <c r="D12" s="71"/>
      <c r="E12" s="71" t="e">
        <f ca="1">[2]!DLL_MD_Evap(CDU1_.OVH.T95, CDU1_.SC1_.T95, PARAM!KER_EVAP_T1) - CDU1_.SC1_.EVAP1</f>
        <v>#NAME?</v>
      </c>
      <c r="F12" s="71"/>
      <c r="G12" s="71"/>
      <c r="H12" s="71"/>
      <c r="I12" s="71"/>
      <c r="J12" s="71" t="e">
        <f ca="1">[2]!DLL_MD_dEvapdIBP(CDU1_.OVH.T95, CDU1_.SC1_.T95, PARAM!KER_EVAP_T1)</f>
        <v>#NAME?</v>
      </c>
      <c r="K12" s="71"/>
      <c r="L12" s="71"/>
      <c r="M12" s="71"/>
      <c r="N12" s="71"/>
      <c r="O12" s="71"/>
      <c r="P12" s="71" t="e">
        <f ca="1">[2]!DLL_MD_dEvapdFBP(CDU1_.OVH.T95, MAX(CDU1_.SC1_.T95, PARAM!KER_EVAP_T1), PARAM!KER_EVAP_T1)</f>
        <v>#NAME?</v>
      </c>
      <c r="Q12" s="71" t="e">
        <f ca="1">[2]!DLL_MD_dEvapdFBP(CDU1_.OVH.T95, MAX(CDU1_.SC1_.T95, PARAM!KER_EVAP_T1), PARAM!KER_EVAP_T1)</f>
        <v>#NAME?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>
        <v>-1</v>
      </c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71"/>
      <c r="BP12" s="71"/>
      <c r="BQ12" s="71"/>
    </row>
    <row r="13" spans="1:69" x14ac:dyDescent="0.2">
      <c r="A13" s="71"/>
      <c r="B13" s="71" t="s">
        <v>596</v>
      </c>
      <c r="C13" s="71"/>
      <c r="D13" s="71"/>
      <c r="E13" s="71" t="e">
        <f ca="1">[2]!DLL_MD_Evap(CDU1_.OVH.T95, CDU1_.SC1_.T95, PARAM!KER_EVAP_T2) - CDU1_.SC1_.EVAP2</f>
        <v>#NAME?</v>
      </c>
      <c r="F13" s="71"/>
      <c r="G13" s="71"/>
      <c r="H13" s="71"/>
      <c r="I13" s="71"/>
      <c r="J13" s="71" t="e">
        <f ca="1">[2]!DLL_MD_dEvapdIBP(CDU1_.OVH.T95, CDU1_.SC1_.T95, PARAM!KER_EVAP_T2)</f>
        <v>#NAME?</v>
      </c>
      <c r="K13" s="71"/>
      <c r="L13" s="71"/>
      <c r="M13" s="71"/>
      <c r="N13" s="71"/>
      <c r="O13" s="71"/>
      <c r="P13" s="71"/>
      <c r="Q13" s="71" t="e">
        <f ca="1">[2]!DLL_MD_dEvapdFBP(CDU1_.OVH.T95, MAX(CDU1_.SC1_.T95, PARAM!KER_EVAP_T2), PARAM!KER_EVAP_T2)</f>
        <v>#NAME?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>
        <v>-1</v>
      </c>
      <c r="AD13" s="71"/>
      <c r="AE13" s="71"/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/>
    </row>
    <row r="14" spans="1:69" x14ac:dyDescent="0.2">
      <c r="A14" s="71"/>
      <c r="B14" s="71" t="s">
        <v>597</v>
      </c>
      <c r="C14" s="71"/>
      <c r="D14" s="71"/>
      <c r="E14" s="71" t="e">
        <f ca="1">[2]!DLL_MD_Evap(CDU1_.SC1_.T95, CDU1_.SC2_.T95, PARAM!DSL_EVAP_T1) - CDU1_.SC2_.EVAP1</f>
        <v>#NAME?</v>
      </c>
      <c r="F14" s="71"/>
      <c r="G14" s="71"/>
      <c r="H14" s="71"/>
      <c r="I14" s="71" t="e">
        <f ca="1">[2]!DLL_MD_dEvapdIBP(CDU1_.SC1_.T95, CDU1_.SC2_.T95, PARAM!DSL_EVAP_T1)</f>
        <v>#NAME?</v>
      </c>
      <c r="J14" s="71"/>
      <c r="K14" s="71"/>
      <c r="L14" s="71"/>
      <c r="M14" s="71"/>
      <c r="N14" s="71"/>
      <c r="O14" s="71"/>
      <c r="P14" s="71"/>
      <c r="Q14" s="71"/>
      <c r="R14" s="71"/>
      <c r="S14" s="71" t="e">
        <f ca="1">[2]!DLL_MD_dEvapdFBP(CDU1_.SC1_.T95, MAX(CDU1_.SC2_.T95, PARAM!DSL_EVAP_T1), PARAM!DSL_EVAP_T1)</f>
        <v>#NAME?</v>
      </c>
      <c r="T14" s="71" t="e">
        <f ca="1">[2]!DLL_MD_dEvapdFBP(CDU1_.SC1_.T95, MAX(CDU1_.SC2_.T95, PARAM!DSL_EVAP_T1), PARAM!DSL_EVAP_T1)</f>
        <v>#NAME?</v>
      </c>
      <c r="U14" s="71" t="e">
        <f ca="1">[2]!DLL_MD_dEvapdFBP(CDU1_.SC1_.T95, MAX(CDU1_.SC2_.T95, PARAM!DSL_EVAP_T1), PARAM!DSL_EVAP_T1)</f>
        <v>#NAME?</v>
      </c>
      <c r="V14" s="71" t="e">
        <f ca="1">[2]!DLL_MD_dEvapdFBP(CDU1_.SC1_.T95, MAX(CDU1_.SC2_.T95, PARAM!DSL_EVAP_T1), PARAM!DSL_EVAP_T1)</f>
        <v>#NAME?</v>
      </c>
      <c r="W14" s="71"/>
      <c r="X14" s="71"/>
      <c r="Y14" s="71"/>
      <c r="Z14" s="71"/>
      <c r="AA14" s="71"/>
      <c r="AB14" s="71"/>
      <c r="AC14" s="71"/>
      <c r="AD14" s="71">
        <v>-1</v>
      </c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</row>
    <row r="15" spans="1:69" x14ac:dyDescent="0.2">
      <c r="A15" s="71"/>
      <c r="B15" s="71" t="s">
        <v>598</v>
      </c>
      <c r="C15" s="71"/>
      <c r="D15" s="71"/>
      <c r="E15" s="71" t="e">
        <f ca="1">[2]!DLL_MD_Evap(CDU1_.SC1_.T95, CDU1_.SC2_.T95, PARAM!DSL_EVAP_T2) - CDU1_.SC2_.EVAP2</f>
        <v>#NAME?</v>
      </c>
      <c r="F15" s="71"/>
      <c r="G15" s="71"/>
      <c r="H15" s="71"/>
      <c r="I15" s="71" t="e">
        <f ca="1">[2]!DLL_MD_dEvapdIBP(CDU1_.SC1_.T95, CDU1_.SC2_.T95, PARAM!DSL_EVAP_T2)</f>
        <v>#NAME?</v>
      </c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 t="e">
        <f ca="1">[2]!DLL_MD_dEvapdFBP(CDU1_.SC1_.T95, MAX(CDU1_.SC2_.T95, PARAM!DSL_EVAP_T2), PARAM!DSL_EVAP_T2)</f>
        <v>#NAME?</v>
      </c>
      <c r="U15" s="71" t="e">
        <f ca="1">[2]!DLL_MD_dEvapdFBP(CDU1_.SC1_.T95, MAX(CDU1_.SC2_.T95, PARAM!DSL_EVAP_T2), PARAM!DSL_EVAP_T2)</f>
        <v>#NAME?</v>
      </c>
      <c r="V15" s="71" t="e">
        <f ca="1">[2]!DLL_MD_dEvapdFBP(CDU1_.SC1_.T95, MAX(CDU1_.SC2_.T95, PARAM!DSL_EVAP_T2), PARAM!DSL_EVAP_T2)</f>
        <v>#NAME?</v>
      </c>
      <c r="W15" s="71"/>
      <c r="X15" s="71"/>
      <c r="Y15" s="71"/>
      <c r="Z15" s="71"/>
      <c r="AA15" s="71"/>
      <c r="AB15" s="71"/>
      <c r="AC15" s="71"/>
      <c r="AD15" s="71"/>
      <c r="AE15" s="71">
        <v>-1</v>
      </c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/>
      <c r="BI15" s="71"/>
      <c r="BJ15" s="71"/>
      <c r="BK15" s="71"/>
      <c r="BL15" s="71"/>
      <c r="BM15" s="71"/>
      <c r="BN15" s="71"/>
      <c r="BO15" s="71"/>
      <c r="BP15" s="71"/>
      <c r="BQ15" s="71"/>
    </row>
    <row r="16" spans="1:69" x14ac:dyDescent="0.2">
      <c r="A16" s="71"/>
      <c r="B16" s="71" t="s">
        <v>599</v>
      </c>
      <c r="C16" s="71"/>
      <c r="D16" s="71"/>
      <c r="E16" s="71" t="e">
        <f ca="1">[2]!DLL_MD_Evap(CDU1_.SC1_.T95, CDU1_.SC2_.T95, PARAM!DSL_EVAP_T3) - CDU1_.SC2_.EVAP3</f>
        <v>#NAME?</v>
      </c>
      <c r="F16" s="71"/>
      <c r="G16" s="71"/>
      <c r="H16" s="71"/>
      <c r="I16" s="71" t="e">
        <f ca="1">[2]!DLL_MD_dEvapdIBP(CDU1_.SC1_.T95, CDU1_.SC2_.T95, PARAM!DSL_EVAP_T3)</f>
        <v>#NAME?</v>
      </c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 t="e">
        <f ca="1">[2]!DLL_MD_dEvapdFBP(CDU1_.SC1_.T95, MAX(CDU1_.SC2_.T95, PARAM!DSL_EVAP_T3), PARAM!DSL_EVAP_T3)</f>
        <v>#NAME?</v>
      </c>
      <c r="V16" s="71" t="e">
        <f ca="1">[2]!DLL_MD_dEvapdFBP(CDU1_.SC1_.T95, MAX(CDU1_.SC2_.T95, PARAM!DSL_EVAP_T3), PARAM!DSL_EVAP_T3)</f>
        <v>#NAME?</v>
      </c>
      <c r="W16" s="71"/>
      <c r="X16" s="71"/>
      <c r="Y16" s="71"/>
      <c r="Z16" s="71"/>
      <c r="AA16" s="71"/>
      <c r="AB16" s="71"/>
      <c r="AC16" s="71"/>
      <c r="AD16" s="71"/>
      <c r="AE16" s="71"/>
      <c r="AF16" s="71">
        <v>-1</v>
      </c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</row>
    <row r="17" spans="1:69" x14ac:dyDescent="0.2">
      <c r="A17" s="71"/>
      <c r="B17" s="71" t="s">
        <v>1761</v>
      </c>
      <c r="C17" s="71"/>
      <c r="D17" s="71"/>
      <c r="E17" s="71" t="e">
        <f ca="1">[2]!DLL_MD_Evap(CDU1_.SC1_.T95, CDU1_.SC2_.T95, PARAM!DSL_EVAP_T4) - CDU1_.SC2_.EVAP4</f>
        <v>#NAME?</v>
      </c>
      <c r="F17" s="71"/>
      <c r="G17" s="71"/>
      <c r="H17" s="71"/>
      <c r="I17" s="71" t="e">
        <f ca="1">[2]!DLL_MD_dEvapdIBP(CDU1_.SC1_.T95, CDU1_.SC2_.T95, PARAM!DSL_EVAP_T4)</f>
        <v>#NAME?</v>
      </c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 t="e">
        <f ca="1">[2]!DLL_MD_dEvapdFBP(CDU1_.SC1_.T95, MAX(CDU1_.SC2_.T95, PARAM!DSL_EVAP_T4), PARAM!DSL_EVAP_T4)</f>
        <v>#NAME?</v>
      </c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>
        <v>-1</v>
      </c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</row>
    <row r="18" spans="1:69" x14ac:dyDescent="0.2">
      <c r="A18" s="71"/>
      <c r="B18" s="71" t="s">
        <v>600</v>
      </c>
      <c r="C18" s="71"/>
      <c r="D18" s="71"/>
      <c r="E18" s="71" t="e">
        <f ca="1">[2]!DLL_MD_Evap(CDU1_.SC2_.T95, CDU1_.SC3_.T95, PARAM!DSL_EVAP_T1) - CDU1_.SC3_.EVAP1</f>
        <v>#NAME?</v>
      </c>
      <c r="F18" s="71"/>
      <c r="G18" s="71"/>
      <c r="H18" s="71"/>
      <c r="I18" s="71"/>
      <c r="J18" s="71"/>
      <c r="K18" s="71"/>
      <c r="L18" s="71" t="e">
        <f ca="1">[2]!DLL_MD_dEvapdIBP(CDU1_.SC2_.T95, CDU1_.SC3_.T95, PARAM!DSL_EVAP_T1)</f>
        <v>#NAME?</v>
      </c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 t="e">
        <f ca="1">[2]!DLL_MD_dEvapdFBP(CDU1_.SC2_.T95, MAX(CDU1_.SC3_.T95, PARAM!DSL_EVAP_T1), PARAM!DSL_EVAP_T1)</f>
        <v>#NAME?</v>
      </c>
      <c r="Y18" s="71" t="e">
        <f ca="1">[2]!DLL_MD_dEvapdFBP(CDU1_.SC2_.T95, MAX(CDU1_.SC3_.T95, PARAM!DSL_EVAP_T1), PARAM!DSL_EVAP_T1)</f>
        <v>#NAME?</v>
      </c>
      <c r="Z18" s="71" t="e">
        <f ca="1">[2]!DLL_MD_dEvapdFBP(CDU1_.SC2_.T95, MAX(CDU1_.SC3_.T95, PARAM!DSL_EVAP_T1), PARAM!DSL_EVAP_T1)</f>
        <v>#NAME?</v>
      </c>
      <c r="AA18" s="71" t="e">
        <f ca="1">[2]!DLL_MD_dEvapdFBP(CDU1_.SC2_.T95, MAX(CDU1_.SC3_.T95, PARAM!DSL_EVAP_T1), PARAM!DSL_EVAP_T1)</f>
        <v>#NAME?</v>
      </c>
      <c r="AB18" s="71"/>
      <c r="AC18" s="71"/>
      <c r="AD18" s="71"/>
      <c r="AE18" s="71"/>
      <c r="AF18" s="71"/>
      <c r="AG18" s="71"/>
      <c r="AH18" s="71">
        <v>-1</v>
      </c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/>
      <c r="BE18" s="71"/>
      <c r="BF18" s="71"/>
      <c r="BG18" s="71"/>
      <c r="BH18" s="71"/>
      <c r="BI18" s="71"/>
      <c r="BJ18" s="71"/>
      <c r="BK18" s="71"/>
      <c r="BL18" s="71"/>
      <c r="BM18" s="71"/>
      <c r="BN18" s="71"/>
      <c r="BO18" s="71"/>
      <c r="BP18" s="71"/>
      <c r="BQ18" s="71"/>
    </row>
    <row r="19" spans="1:69" x14ac:dyDescent="0.2">
      <c r="A19" s="71"/>
      <c r="B19" s="71" t="s">
        <v>601</v>
      </c>
      <c r="C19" s="71"/>
      <c r="D19" s="71"/>
      <c r="E19" s="71" t="e">
        <f ca="1">[2]!DLL_MD_Evap(CDU1_.SC2_.T95, CDU1_.SC3_.T95, PARAM!DSL_EVAP_T2) - CDU1_.SC3_.EVAP2</f>
        <v>#NAME?</v>
      </c>
      <c r="F19" s="71"/>
      <c r="G19" s="71"/>
      <c r="H19" s="71"/>
      <c r="I19" s="71"/>
      <c r="J19" s="71"/>
      <c r="K19" s="71"/>
      <c r="L19" s="71" t="e">
        <f ca="1">[2]!DLL_MD_dEvapdIBP(CDU1_.SC2_.T95, CDU1_.SC3_.T95, PARAM!DSL_EVAP_T2)</f>
        <v>#NAME?</v>
      </c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 t="e">
        <f ca="1">[2]!DLL_MD_dEvapdFBP(CDU1_.SC2_.T95, MAX(CDU1_.SC3_.T95, PARAM!DSL_EVAP_T2), PARAM!DSL_EVAP_T2)</f>
        <v>#NAME?</v>
      </c>
      <c r="Z19" s="71" t="e">
        <f ca="1">[2]!DLL_MD_dEvapdFBP(CDU1_.SC2_.T95, MAX(CDU1_.SC3_.T95, PARAM!DSL_EVAP_T2), PARAM!DSL_EVAP_T2)</f>
        <v>#NAME?</v>
      </c>
      <c r="AA19" s="71" t="e">
        <f ca="1">[2]!DLL_MD_dEvapdFBP(CDU1_.SC2_.T95, MAX(CDU1_.SC3_.T95, PARAM!DSL_EVAP_T2), PARAM!DSL_EVAP_T2)</f>
        <v>#NAME?</v>
      </c>
      <c r="AB19" s="71"/>
      <c r="AC19" s="71"/>
      <c r="AD19" s="71"/>
      <c r="AE19" s="71"/>
      <c r="AF19" s="71"/>
      <c r="AG19" s="71"/>
      <c r="AH19" s="71"/>
      <c r="AI19" s="71">
        <v>-1</v>
      </c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/>
      <c r="BE19" s="71"/>
      <c r="BF19" s="71"/>
      <c r="BG19" s="71"/>
      <c r="BH19" s="71"/>
      <c r="BI19" s="71"/>
      <c r="BJ19" s="71"/>
      <c r="BK19" s="71"/>
      <c r="BL19" s="71"/>
      <c r="BM19" s="71"/>
      <c r="BN19" s="71"/>
      <c r="BO19" s="71"/>
      <c r="BP19" s="71"/>
      <c r="BQ19" s="71"/>
    </row>
    <row r="20" spans="1:69" x14ac:dyDescent="0.2">
      <c r="A20" s="71"/>
      <c r="B20" s="71" t="s">
        <v>602</v>
      </c>
      <c r="C20" s="71"/>
      <c r="D20" s="71"/>
      <c r="E20" s="71" t="e">
        <f ca="1">[2]!DLL_MD_Evap(CDU1_.SC2_.T95, CDU1_.SC3_.T95, PARAM!DSL_EVAP_T3) - CDU1_.SC3_.EVAP3</f>
        <v>#NAME?</v>
      </c>
      <c r="F20" s="71"/>
      <c r="G20" s="71"/>
      <c r="H20" s="71"/>
      <c r="I20" s="71"/>
      <c r="J20" s="71"/>
      <c r="K20" s="71"/>
      <c r="L20" s="71" t="e">
        <f ca="1">[2]!DLL_MD_dEvapdIBP(CDU1_.SC2_.T95, CDU1_.SC3_.T95, PARAM!DSL_EVAP_T3)</f>
        <v>#NAME?</v>
      </c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 t="e">
        <f ca="1">[2]!DLL_MD_dEvapdFBP(CDU1_.SC2_.T95, MAX(CDU1_.SC3_.T95, PARAM!DSL_EVAP_T3), PARAM!DSL_EVAP_T3)</f>
        <v>#NAME?</v>
      </c>
      <c r="AA20" s="71" t="e">
        <f ca="1">[2]!DLL_MD_dEvapdFBP(CDU1_.SC2_.T95, MAX(CDU1_.SC3_.T95, PARAM!DSL_EVAP_T3), PARAM!DSL_EVAP_T3)</f>
        <v>#NAME?</v>
      </c>
      <c r="AB20" s="71"/>
      <c r="AC20" s="71"/>
      <c r="AD20" s="71"/>
      <c r="AE20" s="71"/>
      <c r="AF20" s="71"/>
      <c r="AG20" s="71"/>
      <c r="AH20" s="71"/>
      <c r="AI20" s="71"/>
      <c r="AJ20" s="71">
        <v>-1</v>
      </c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/>
      <c r="BL20" s="71"/>
      <c r="BM20" s="71"/>
      <c r="BN20" s="71"/>
      <c r="BO20" s="71"/>
      <c r="BP20" s="71"/>
      <c r="BQ20" s="71"/>
    </row>
    <row r="21" spans="1:69" x14ac:dyDescent="0.2">
      <c r="A21" s="71"/>
      <c r="B21" s="71" t="s">
        <v>1762</v>
      </c>
      <c r="C21" s="71"/>
      <c r="D21" s="71"/>
      <c r="E21" s="71" t="e">
        <f ca="1">[2]!DLL_MD_Evap(CDU1_.SC2_.T95, CDU1_.SC3_.T95, PARAM!DSL_EVAP_T4) - CDU1_.SC3_.EVAP4</f>
        <v>#NAME?</v>
      </c>
      <c r="F21" s="71"/>
      <c r="G21" s="71"/>
      <c r="H21" s="71"/>
      <c r="I21" s="71"/>
      <c r="J21" s="71"/>
      <c r="K21" s="71"/>
      <c r="L21" s="71" t="e">
        <f ca="1">[2]!DLL_MD_dEvapdIBP(CDU1_.SC2_.T95, CDU1_.SC3_.T95, PARAM!DSL_EVAP_T4)</f>
        <v>#NAME?</v>
      </c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 t="e">
        <f ca="1">[2]!DLL_MD_dEvapdFBP(CDU1_.SC2_.T95, MAX(CDU1_.SC3_.T95, PARAM!DSL_EVAP_T4), PARAM!DSL_EVAP_T4)</f>
        <v>#NAME?</v>
      </c>
      <c r="AB21" s="71"/>
      <c r="AC21" s="71"/>
      <c r="AD21" s="71"/>
      <c r="AE21" s="71"/>
      <c r="AF21" s="71"/>
      <c r="AG21" s="71"/>
      <c r="AH21" s="71"/>
      <c r="AI21" s="71"/>
      <c r="AJ21" s="71"/>
      <c r="AK21" s="71">
        <v>-1</v>
      </c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/>
      <c r="BE21" s="71"/>
      <c r="BF21" s="71"/>
      <c r="BG21" s="71"/>
      <c r="BH21" s="71"/>
      <c r="BI21" s="71"/>
      <c r="BJ21" s="71"/>
      <c r="BK21" s="71"/>
      <c r="BL21" s="71"/>
      <c r="BM21" s="71"/>
      <c r="BN21" s="71"/>
      <c r="BO21" s="71"/>
      <c r="BP21" s="71"/>
      <c r="BQ21" s="71"/>
    </row>
    <row r="22" spans="1:69" x14ac:dyDescent="0.2">
      <c r="A22" s="71"/>
      <c r="B22" s="71" t="s">
        <v>603</v>
      </c>
      <c r="C22" s="71"/>
      <c r="D22" s="71"/>
      <c r="E22" s="71" t="e">
        <f ca="1">([2]!DLL_MD_Dens(CDU1_.OVH.T95, CDU1_.SC1_.T95, CDU1_.FEED.PAR2, PARAM!IUNITS) / 1000) - CDU1_.SC1_.SG</f>
        <v>#NAME?</v>
      </c>
      <c r="F22" s="71"/>
      <c r="G22" s="71"/>
      <c r="H22" s="71"/>
      <c r="I22" s="71" t="e">
        <f ca="1">[2]!DLL_MD_dDensdFBP(CDU1_.OVH.T95, CDU1_.SC1_.T95, CDU1_.FEED.PAR2, PARAM!IUNITS) / 1000</f>
        <v>#NAME?</v>
      </c>
      <c r="J22" s="71" t="e">
        <f ca="1">[2]!DLL_MD_dDensdIBP(CDU1_.OVH.T95, CDU1_.SC1_.T95, CDU1_.FEED.PAR2, PARAM!IUNITS) / 1000</f>
        <v>#NAME?</v>
      </c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 t="e">
        <f ca="1">[2]!DLL_MD_dDensdK(CDU1_.OVH.T95, CDU1_.SC1_.T95, CDU1_.FEED.PAR2, PARAM!IUNITS) / 1000</f>
        <v>#NAME?</v>
      </c>
      <c r="AM22" s="71">
        <v>-1</v>
      </c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  <c r="BG22" s="71"/>
      <c r="BH22" s="71"/>
      <c r="BI22" s="71"/>
      <c r="BJ22" s="71"/>
      <c r="BK22" s="71"/>
      <c r="BL22" s="71"/>
      <c r="BM22" s="71"/>
      <c r="BN22" s="71"/>
      <c r="BO22" s="71"/>
      <c r="BP22" s="71"/>
      <c r="BQ22" s="71"/>
    </row>
    <row r="23" spans="1:69" x14ac:dyDescent="0.2">
      <c r="A23" s="71"/>
      <c r="B23" s="71" t="s">
        <v>604</v>
      </c>
      <c r="C23" s="71"/>
      <c r="D23" s="71"/>
      <c r="E23" s="71" t="e">
        <f ca="1">([2]!DLL_MD_Dens(CDU1_.SC1_.T95, CDU1_.SC2_.T95, CDU1_.FEED.PAR2, PARAM!IUNITS) / 1000) - CDU1_.SC2_.SG</f>
        <v>#NAME?</v>
      </c>
      <c r="F23" s="71"/>
      <c r="G23" s="71"/>
      <c r="H23" s="71"/>
      <c r="I23" s="71" t="e">
        <f ca="1">[2]!DLL_MD_dDensdIBP(CDU1_.SC1_.T95, CDU1_.SC2_.T95, CDU1_.FEED.PAR2, PARAM!IUNITS) / 1000</f>
        <v>#NAME?</v>
      </c>
      <c r="J23" s="71"/>
      <c r="K23" s="71"/>
      <c r="L23" s="71" t="e">
        <f ca="1">[2]!DLL_MD_dDensdFBP(CDU1_.SC1_.T95, CDU1_.SC2_.T95, CDU1_.FEED.PAR2, PARAM!IUNITS) / 1000</f>
        <v>#NAME?</v>
      </c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 t="e">
        <f ca="1">[2]!DLL_MD_dDensdK(CDU1_.SC1_.T95, CDU1_.SC2_.T95, CDU1_.FEED.PAR2, PARAM!IUNITS) / 1000</f>
        <v>#NAME?</v>
      </c>
      <c r="AM23" s="71"/>
      <c r="AN23" s="71">
        <v>-1</v>
      </c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  <c r="BK23" s="71"/>
      <c r="BL23" s="71"/>
      <c r="BM23" s="71"/>
      <c r="BN23" s="71"/>
      <c r="BO23" s="71"/>
      <c r="BP23" s="71"/>
      <c r="BQ23" s="71"/>
    </row>
    <row r="24" spans="1:69" x14ac:dyDescent="0.2">
      <c r="A24" s="71"/>
      <c r="B24" s="71" t="s">
        <v>605</v>
      </c>
      <c r="C24" s="71"/>
      <c r="D24" s="71"/>
      <c r="E24" s="71" t="e">
        <f ca="1">([2]!DLL_MD_Dens(CDU1_.SC2_.T95, CDU1_.SC3_.T95, CDU1_.FEED.PAR2, PARAM!IUNITS) / 1000) - CDU1_.SC3_.SG</f>
        <v>#NAME?</v>
      </c>
      <c r="F24" s="71"/>
      <c r="G24" s="71"/>
      <c r="H24" s="71"/>
      <c r="I24" s="71"/>
      <c r="J24" s="71"/>
      <c r="K24" s="71"/>
      <c r="L24" s="71" t="e">
        <f ca="1">[2]!DLL_MD_dDensdIBP(CDU1_.SC2_.T95, CDU1_.SC3_.T95, CDU1_.FEED.PAR2, PARAM!IUNITS) / 1000</f>
        <v>#NAME?</v>
      </c>
      <c r="M24" s="71"/>
      <c r="N24" s="71" t="e">
        <f ca="1">[2]!DLL_MD_dDensdFBP(CDU1_.SC2_.T95, CDU1_.SC3_.T95, CDU1_.FEED.PAR2, PARAM!IUNITS) / 1000</f>
        <v>#NAME?</v>
      </c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 t="e">
        <f ca="1">[2]!DLL_MD_dDensdK(CDU1_.SC2_.T95, CDU1_.SC3_.T95, CDU1_.FEED.PAR2, PARAM!IUNITS) / 1000</f>
        <v>#NAME?</v>
      </c>
      <c r="AM24" s="71"/>
      <c r="AN24" s="71"/>
      <c r="AO24" s="71">
        <v>-1</v>
      </c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  <c r="BK24" s="71"/>
      <c r="BL24" s="71"/>
      <c r="BM24" s="71"/>
      <c r="BN24" s="71"/>
      <c r="BO24" s="71"/>
      <c r="BP24" s="71"/>
      <c r="BQ24" s="71"/>
    </row>
    <row r="25" spans="1:69" x14ac:dyDescent="0.2">
      <c r="A25" s="71"/>
      <c r="B25" s="71" t="s">
        <v>606</v>
      </c>
      <c r="C25" s="71"/>
      <c r="D25" s="71"/>
      <c r="E25" s="71" t="e">
        <f ca="1">[2]!DLL_MD_Cetane(CDU1_.OVH.T95, CDU1_.SC1_.T95, CDU1_.FEED.PAR2, PARAM!IUNITS) - CDU1_.SC1_.CI</f>
        <v>#NAME?</v>
      </c>
      <c r="F25" s="71"/>
      <c r="G25" s="71"/>
      <c r="H25" s="71"/>
      <c r="I25" s="71" t="e">
        <f ca="1">[2]!DLL_MD_dCetanedFBP(CDU1_.OVH.T95, CDU1_.SC1_.T95, CDU1_.FEED.PAR2, PARAM!IUNITS)</f>
        <v>#NAME?</v>
      </c>
      <c r="J25" s="71" t="e">
        <f ca="1">[2]!DLL_MD_dCetanedIBP(CDU1_.OVH.T95, CDU1_.SC1_.T95, CDU1_.FEED.PAR2, PARAM!IUNITS)</f>
        <v>#NAME?</v>
      </c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 t="e">
        <f ca="1">[2]!DLL_MD_dCetanedK(CDU1_.OVH.T95, CDU1_.SC1_.T95, CDU1_.FEED.PAR2, PARAM!IUNITS)</f>
        <v>#NAME?</v>
      </c>
      <c r="AM25" s="71"/>
      <c r="AN25" s="71"/>
      <c r="AO25" s="71"/>
      <c r="AP25" s="71">
        <v>-1</v>
      </c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/>
      <c r="BG25" s="71"/>
      <c r="BH25" s="71"/>
      <c r="BI25" s="71"/>
      <c r="BJ25" s="71"/>
      <c r="BK25" s="71"/>
      <c r="BL25" s="71"/>
      <c r="BM25" s="71"/>
      <c r="BN25" s="71"/>
      <c r="BO25" s="71"/>
      <c r="BP25" s="71"/>
      <c r="BQ25" s="71"/>
    </row>
    <row r="26" spans="1:69" x14ac:dyDescent="0.2">
      <c r="A26" s="71"/>
      <c r="B26" s="71" t="s">
        <v>607</v>
      </c>
      <c r="C26" s="71"/>
      <c r="D26" s="71"/>
      <c r="E26" s="71" t="e">
        <f ca="1">[2]!DLL_MD_Cetane(CDU1_.SC1_.T95, CDU1_.SC2_.T95, CDU1_.FEED.PAR2, PARAM!IUNITS) - CDU1_.SC2_.CI</f>
        <v>#NAME?</v>
      </c>
      <c r="F26" s="71"/>
      <c r="G26" s="71"/>
      <c r="H26" s="71"/>
      <c r="I26" s="71" t="e">
        <f ca="1">[2]!DLL_MD_dCetanedIBP(CDU1_.SC1_.T95, CDU1_.SC2_.T95, CDU1_.FEED.PAR2, PARAM!IUNITS)</f>
        <v>#NAME?</v>
      </c>
      <c r="J26" s="71"/>
      <c r="K26" s="71"/>
      <c r="L26" s="71" t="e">
        <f ca="1">[2]!DLL_MD_dCetanedFBP(CDU1_.SC1_.T95, CDU1_.SC2_.T95, CDU1_.FEED.PAR2, PARAM!IUNITS)</f>
        <v>#NAME?</v>
      </c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 t="e">
        <f ca="1">[2]!DLL_MD_dCetanedK(CDU1_.SC1_.T95, CDU1_.SC2_.T95, CDU1_.FEED.PAR2, PARAM!IUNITS)</f>
        <v>#NAME?</v>
      </c>
      <c r="AM26" s="71"/>
      <c r="AN26" s="71"/>
      <c r="AO26" s="71"/>
      <c r="AP26" s="71"/>
      <c r="AQ26" s="71">
        <v>-1</v>
      </c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  <c r="BN26" s="71"/>
      <c r="BO26" s="71"/>
      <c r="BP26" s="71"/>
      <c r="BQ26" s="71"/>
    </row>
    <row r="27" spans="1:69" x14ac:dyDescent="0.2">
      <c r="A27" s="71"/>
      <c r="B27" s="71" t="s">
        <v>608</v>
      </c>
      <c r="C27" s="71"/>
      <c r="D27" s="71"/>
      <c r="E27" s="71" t="e">
        <f ca="1">[2]!DLL_MD_Cetane(CDU1_.SC2_.T95, CDU1_.SC3_.T95, CDU1_.FEED.PAR2, PARAM!IUNITS) - CDU1_.SC3_.CI</f>
        <v>#NAME?</v>
      </c>
      <c r="F27" s="71"/>
      <c r="G27" s="71"/>
      <c r="H27" s="71"/>
      <c r="I27" s="71"/>
      <c r="J27" s="71"/>
      <c r="K27" s="71"/>
      <c r="L27" s="71" t="e">
        <f ca="1">[2]!DLL_MD_dCetanedIBP(CDU1_.SC2_.T95, CDU1_.SC3_.T95, CDU1_.FEED.PAR2, PARAM!IUNITS)</f>
        <v>#NAME?</v>
      </c>
      <c r="M27" s="71"/>
      <c r="N27" s="71" t="e">
        <f ca="1">[2]!DLL_MD_dCetanedFBP(CDU1_.SC2_.T95, CDU1_.SC3_.T95, CDU1_.FEED.PAR2, PARAM!IUNITS)</f>
        <v>#NAME?</v>
      </c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 t="e">
        <f ca="1">[2]!DLL_MD_dCetanedK(CDU1_.SC2_.T95, CDU1_.SC3_.T95, CDU1_.FEED.PAR2, PARAM!IUNITS)</f>
        <v>#NAME?</v>
      </c>
      <c r="AM27" s="71"/>
      <c r="AN27" s="71"/>
      <c r="AO27" s="71"/>
      <c r="AP27" s="71"/>
      <c r="AQ27" s="71"/>
      <c r="AR27" s="71">
        <v>-1</v>
      </c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  <c r="BN27" s="71"/>
      <c r="BO27" s="71"/>
      <c r="BP27" s="71"/>
      <c r="BQ27" s="71"/>
    </row>
    <row r="28" spans="1:69" x14ac:dyDescent="0.2">
      <c r="A28" s="71"/>
      <c r="B28" s="71" t="s">
        <v>609</v>
      </c>
      <c r="C28" s="71"/>
      <c r="D28" s="71"/>
      <c r="E28" s="71" t="e">
        <f ca="1">[2]!DLL_MD_Flash(CDU1_.OVH.T95, CDU1_.SC1_.T95, CDU1_.FEED.TFL.PAR4, CDU1_.FEED.TFL.PAR3, PARAM!FPI_A, PARAM!FPI_B, PARAM!FPI_ALPHA)-CDU1_.SC1_.TFL+CDU1_.SC1_.TFL.PAR4</f>
        <v>#NAME?</v>
      </c>
      <c r="F28" s="71"/>
      <c r="G28" s="71"/>
      <c r="H28" s="71"/>
      <c r="I28" s="71" t="e">
        <f ca="1">[2]!DLL_MD_dFlashdFBP(CDU1_.OVH.T95, CDU1_.SC1_.T95, CDU1_.FEED.TFL.PAR4, CDU1_.FEED.TFL.PAR3,PARAM!FPI_A, PARAM!FPI_B, PARAM!FPI_ALPHA)</f>
        <v>#NAME?</v>
      </c>
      <c r="J28" s="71" t="e">
        <f ca="1">[2]!DLL_MD_dFlashdIBP(CDU1_.OVH.T95, CDU1_.SC1_.T95, CDU1_.FEED.TFL.PAR4, CDU1_.FEED.TFL.PAR3,PARAM!FPI_A, PARAM!FPI_B, PARAM!FPI_ALPHA)</f>
        <v>#NAME?</v>
      </c>
      <c r="K28" s="71"/>
      <c r="L28" s="71"/>
      <c r="M28" s="71"/>
      <c r="N28" s="71"/>
      <c r="O28" s="71"/>
      <c r="P28" s="71"/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 t="e">
        <f ca="1">[2]!DLL_MD_dFlashdSlope(CDU1_.OVH.T95, CDU1_.SC1_.T95, CDU1_.FEED.TFL.PAR4, CDU1_.FEED.TFL.PAR3,PARAM!FPI_A, PARAM!FPI_B, PARAM!FPI_ALPHA)</f>
        <v>#NAME?</v>
      </c>
      <c r="AT28" s="71" t="e">
        <f ca="1">[2]!DLL_MD_dFlashdBias(CDU1_.OVH.T95, CDU1_.SC1_.T95, CDU1_.FEED.TFL.PAR4, CDU1_.FEED.TFL.PAR3,PARAM!FPI_A, PARAM!FPI_B, PARAM!FPI_ALPHA)</f>
        <v>#NAME?</v>
      </c>
      <c r="AU28" s="71">
        <v>-1</v>
      </c>
      <c r="AV28" s="71">
        <v>1</v>
      </c>
      <c r="AW28" s="71"/>
      <c r="AX28" s="71"/>
      <c r="AY28" s="71"/>
      <c r="AZ28" s="71"/>
      <c r="BA28" s="71"/>
      <c r="BB28" s="71"/>
      <c r="BC28" s="71"/>
      <c r="BD28" s="71"/>
      <c r="BE28" s="71"/>
      <c r="BF28" s="71"/>
      <c r="BG28" s="71"/>
      <c r="BH28" s="71"/>
      <c r="BI28" s="71"/>
      <c r="BJ28" s="71"/>
      <c r="BK28" s="71"/>
      <c r="BL28" s="71"/>
      <c r="BM28" s="71"/>
      <c r="BN28" s="71"/>
      <c r="BO28" s="71"/>
      <c r="BP28" s="71"/>
      <c r="BQ28" s="71"/>
    </row>
    <row r="29" spans="1:69" x14ac:dyDescent="0.2">
      <c r="A29" s="71"/>
      <c r="B29" s="71" t="s">
        <v>610</v>
      </c>
      <c r="C29" s="71"/>
      <c r="D29" s="71"/>
      <c r="E29" s="71" t="e">
        <f ca="1">[2]!DLL_MD_Flash(CDU1_.SC1_.T95, CDU1_.SC2_.T95, CDU1_.FEED.TFL.PAR4, CDU1_.FEED.TFL.PAR3, PARAM!FPI_A, PARAM!FPI_B, PARAM!FPI_ALPHA)-CDU1_.SC2_.TFL+CDU1_.SC2_.TFL.PAR4</f>
        <v>#NAME?</v>
      </c>
      <c r="F29" s="71"/>
      <c r="G29" s="71"/>
      <c r="H29" s="71"/>
      <c r="I29" s="71" t="e">
        <f ca="1">[2]!DLL_MD_dFlashdIBP(CDU1_.SC1_.T95, CDU1_.SC2_.T95, CDU1_.FEED.TFL.PAR4, CDU1_.FEED.TFL.PAR3,PARAM!FPI_A, PARAM!FPI_B, PARAM!FPI_ALPHA)</f>
        <v>#NAME?</v>
      </c>
      <c r="J29" s="71"/>
      <c r="K29" s="71"/>
      <c r="L29" s="71" t="e">
        <f ca="1">[2]!DLL_MD_dFlashdFBP(CDU1_.SC1_.T95, CDU1_.SC2_.T95, CDU1_.FEED.TFL.PAR4, CDU1_.FEED.TFL.PAR3,PARAM!FPI_A, PARAM!FPI_B, PARAM!FPI_ALPHA)</f>
        <v>#NAME?</v>
      </c>
      <c r="M29" s="71"/>
      <c r="N29" s="71"/>
      <c r="O29" s="71"/>
      <c r="P29" s="71"/>
      <c r="Q29" s="71"/>
      <c r="R29" s="71"/>
      <c r="S29" s="71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 t="e">
        <f ca="1">[2]!DLL_MD_dFlashdSlope(CDU1_.SC1_.T95, CDU1_.SC2_.T95, CDU1_.FEED.TFL.PAR4, CDU1_.FEED.TFL.PAR3,PARAM!FPI_A, PARAM!FPI_B, PARAM!FPI_ALPHA)</f>
        <v>#NAME?</v>
      </c>
      <c r="AT29" s="71" t="e">
        <f ca="1">[2]!DLL_MD_dFlashdBias(CDU1_.SC1_.T95, CDU1_.SC2_.T95, CDU1_.FEED.TFL.PAR4, CDU1_.FEED.TFL.PAR3,PARAM!FPI_A, PARAM!FPI_B, PARAM!FPI_ALPHA)</f>
        <v>#NAME?</v>
      </c>
      <c r="AU29" s="71"/>
      <c r="AV29" s="71"/>
      <c r="AW29" s="71">
        <v>-1</v>
      </c>
      <c r="AX29" s="71">
        <v>1</v>
      </c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  <c r="BN29" s="71"/>
      <c r="BO29" s="71"/>
      <c r="BP29" s="71"/>
      <c r="BQ29" s="71"/>
    </row>
    <row r="30" spans="1:69" x14ac:dyDescent="0.2">
      <c r="A30" s="71"/>
      <c r="B30" s="71" t="s">
        <v>611</v>
      </c>
      <c r="C30" s="71"/>
      <c r="D30" s="71"/>
      <c r="E30" s="71" t="e">
        <f ca="1">[2]!DLL_MD_Flash(CDU1_.SC2_.T95, CDU1_.SC3_.T95, CDU1_.FEED.TFL.PAR4, CDU1_.FEED.TFL.PAR3, PARAM!FPI_A, PARAM!FPI_B, PARAM!FPI_ALPHA)-CDU1_.SC3_.TFL+CDU1_.SC3_.TFL.PAR4</f>
        <v>#NAME?</v>
      </c>
      <c r="F30" s="71"/>
      <c r="G30" s="71"/>
      <c r="H30" s="71"/>
      <c r="I30" s="71"/>
      <c r="J30" s="71"/>
      <c r="K30" s="71"/>
      <c r="L30" s="71" t="e">
        <f ca="1">[2]!DLL_MD_dFlashdIBP(CDU1_.SC2_.T95, CDU1_.SC3_.T95, CDU1_.FEED.TFL.PAR4, CDU1_.FEED.TFL.PAR3,PARAM!FPI_A, PARAM!FPI_B, PARAM!FPI_ALPHA)</f>
        <v>#NAME?</v>
      </c>
      <c r="M30" s="71"/>
      <c r="N30" s="71" t="e">
        <f ca="1">[2]!DLL_MD_dFlashdFBP(CDU1_.SC2_.T95, CDU1_.SC3_.T95, CDU1_.FEED.TFL.PAR4, CDU1_.FEED.TFL.PAR3,PARAM!FPI_A, PARAM!FPI_B, PARAM!FPI_ALPHA)</f>
        <v>#NAME?</v>
      </c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 t="e">
        <f ca="1">[2]!DLL_MD_dFlashdSlope(CDU1_.SC2_.T95, CDU1_.SC3_.T95, CDU1_.FEED.TFL.PAR4, CDU1_.FEED.TFL.PAR3,PARAM!FPI_A, PARAM!FPI_B, PARAM!FPI_ALPHA)</f>
        <v>#NAME?</v>
      </c>
      <c r="AT30" s="71" t="e">
        <f ca="1">[2]!DLL_MD_dFlashdBias(CDU1_.SC2_.T95, CDU1_.SC3_.T95, CDU1_.FEED.TFL.PAR4, CDU1_.FEED.TFL.PAR3,PARAM!FPI_A, PARAM!FPI_B, PARAM!FPI_ALPHA)</f>
        <v>#NAME?</v>
      </c>
      <c r="AU30" s="71"/>
      <c r="AV30" s="71"/>
      <c r="AW30" s="71"/>
      <c r="AX30" s="71"/>
      <c r="AY30" s="71">
        <v>-1</v>
      </c>
      <c r="AZ30" s="71">
        <v>1</v>
      </c>
      <c r="BA30" s="71"/>
      <c r="BB30" s="71"/>
      <c r="BC30" s="71"/>
      <c r="BD30" s="71"/>
      <c r="BE30" s="71"/>
      <c r="BF30" s="71"/>
      <c r="BG30" s="71"/>
      <c r="BH30" s="71"/>
      <c r="BI30" s="71"/>
      <c r="BJ30" s="71"/>
      <c r="BK30" s="71"/>
      <c r="BL30" s="71"/>
      <c r="BM30" s="71"/>
      <c r="BN30" s="71"/>
      <c r="BO30" s="71"/>
      <c r="BP30" s="71"/>
      <c r="BQ30" s="71"/>
    </row>
    <row r="31" spans="1:69" x14ac:dyDescent="0.2">
      <c r="A31" s="71"/>
      <c r="B31" s="71" t="s">
        <v>612</v>
      </c>
      <c r="C31" s="71"/>
      <c r="D31" s="71"/>
      <c r="E31" s="71">
        <f>[2]!DLL_MD_SulfurNew(CDU1_.OVH.T95,CDU1_.SC1_.T95,CDU1_.FEED.SUL.PAR4,CDU1_.FEED.SUL.PAR3)-CDU1_.SC1_.SUL</f>
        <v>-1.313888833465171E-5</v>
      </c>
      <c r="F31" s="71"/>
      <c r="G31" s="71"/>
      <c r="H31" s="71"/>
      <c r="I31" s="71">
        <f>[2]!DLL_MD_dSulfurNewdFBP(CDU1_.OVH.T95, CDU1_.SC1_.T95,CDU1_.FEED.SUL.PAR3)</f>
        <v>4.5269370709666585</v>
      </c>
      <c r="J31" s="71">
        <f>[2]!DLL_MD_dSulfurNewdIBP(CDU1_.OVH.T95, CDU1_.SC1_.T95,CDU1_.FEED.SUL.PAR3)</f>
        <v>4.0780910625517235</v>
      </c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>
        <f>[2]!DLL_MD_dSulfurNewdSlope(CDU1_.OVH.T95, CDU1_.SC1_.T95)</f>
        <v>394.24173083077898</v>
      </c>
      <c r="BB31" s="71">
        <v>1</v>
      </c>
      <c r="BC31" s="71">
        <v>-1</v>
      </c>
      <c r="BD31" s="71"/>
      <c r="BE31" s="71"/>
      <c r="BF31" s="71"/>
      <c r="BG31" s="71"/>
      <c r="BH31" s="71"/>
      <c r="BI31" s="71"/>
      <c r="BJ31" s="71"/>
      <c r="BK31" s="71"/>
      <c r="BL31" s="71"/>
      <c r="BM31" s="71"/>
      <c r="BN31" s="71"/>
      <c r="BO31" s="71"/>
      <c r="BP31" s="71"/>
      <c r="BQ31" s="71"/>
    </row>
    <row r="32" spans="1:69" x14ac:dyDescent="0.2">
      <c r="A32" s="71"/>
      <c r="B32" s="71" t="s">
        <v>613</v>
      </c>
      <c r="C32" s="71"/>
      <c r="D32" s="71"/>
      <c r="E32" s="71">
        <f>[2]!DLL_MD_SulfurNew(CDU1_.SC1_.T95,CDU1_.SC2_.T95,CDU1_.FEED.SUL.PAR4,CDU1_.FEED.SUL.PAR3)-CDU1_.SC2_.SUL</f>
        <v>-5.6249518820550293E-6</v>
      </c>
      <c r="F32" s="71"/>
      <c r="G32" s="71"/>
      <c r="H32" s="71"/>
      <c r="I32" s="71">
        <f>[2]!DLL_MD_dSulfurNewdIBP(CDU1_.SC1_.T95, CDU1_.SC2_.T95,CDU1_.FEED.SUL.PAR3)</f>
        <v>4.1639608577345104</v>
      </c>
      <c r="J32" s="71"/>
      <c r="K32" s="71"/>
      <c r="L32" s="71">
        <f>[2]!DLL_MD_dSulfurNewdFBP(CDU1_.SC1_.T95, CDU1_.SC2_.T95,CDU1_.FEED.SUL.PAR3)</f>
        <v>4.4689285951941331</v>
      </c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>
        <f>[2]!DLL_MD_dSulfurNewdSlope(CDU1_.SC1_.T95, CDU1_.SC2_.T95)</f>
        <v>573.497317738368</v>
      </c>
      <c r="BB32" s="71">
        <v>1</v>
      </c>
      <c r="BC32" s="71"/>
      <c r="BD32" s="71">
        <v>-1</v>
      </c>
      <c r="BE32" s="71"/>
      <c r="BF32" s="71"/>
      <c r="BG32" s="71"/>
      <c r="BH32" s="71"/>
      <c r="BI32" s="71"/>
      <c r="BJ32" s="71"/>
      <c r="BK32" s="71"/>
      <c r="BL32" s="71"/>
      <c r="BM32" s="71"/>
      <c r="BN32" s="71"/>
      <c r="BO32" s="71"/>
      <c r="BP32" s="71"/>
      <c r="BQ32" s="71"/>
    </row>
    <row r="33" spans="1:69" x14ac:dyDescent="0.2">
      <c r="A33" s="71"/>
      <c r="B33" s="71" t="s">
        <v>614</v>
      </c>
      <c r="C33" s="71"/>
      <c r="D33" s="71"/>
      <c r="E33" s="71">
        <f>[2]!DLL_MD_SulfurNew(CDU1_.SC2_.T95,CDU1_.SC3_.T95,CDU1_.FEED.SUL.PAR4,CDU1_.FEED.SUL.PAR3)-CDU1_.SC3_.SUL</f>
        <v>1.091755348170409E-5</v>
      </c>
      <c r="F33" s="71"/>
      <c r="G33" s="71"/>
      <c r="H33" s="71"/>
      <c r="I33" s="71"/>
      <c r="J33" s="71"/>
      <c r="K33" s="71"/>
      <c r="L33" s="71">
        <f>[2]!DLL_MD_dSulfurNewdIBP(CDU1_.SC2_.T95, CDU1_.SC3_.T95,CDU1_.FEED.SUL.PAR3)</f>
        <v>4.205931337800199</v>
      </c>
      <c r="M33" s="71"/>
      <c r="N33" s="71">
        <f>[2]!DLL_MD_dSulfurNewdFBP(CDU1_.SC2_.T95, CDU1_.SC3_.T95,CDU1_.FEED.SUL.PAR3)</f>
        <v>4.4371730613998333</v>
      </c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  <c r="AQ33" s="71"/>
      <c r="AR33" s="71"/>
      <c r="AS33" s="71"/>
      <c r="AT33" s="71"/>
      <c r="AU33" s="71"/>
      <c r="AV33" s="71"/>
      <c r="AW33" s="71"/>
      <c r="AX33" s="71"/>
      <c r="AY33" s="71"/>
      <c r="AZ33" s="71"/>
      <c r="BA33" s="71">
        <f>[2]!DLL_MD_dSulfurNewdSlope(CDU1_.SC2_.T95, CDU1_.SC3_.T95)</f>
        <v>753.10842027655372</v>
      </c>
      <c r="BB33" s="71">
        <v>1</v>
      </c>
      <c r="BC33" s="71"/>
      <c r="BD33" s="71"/>
      <c r="BE33" s="71">
        <v>-1</v>
      </c>
      <c r="BF33" s="71"/>
      <c r="BG33" s="71"/>
      <c r="BH33" s="71"/>
      <c r="BI33" s="71"/>
      <c r="BJ33" s="71"/>
      <c r="BK33" s="71"/>
      <c r="BL33" s="71"/>
      <c r="BM33" s="71"/>
      <c r="BN33" s="71"/>
      <c r="BO33" s="71"/>
      <c r="BP33" s="71"/>
      <c r="BQ33" s="71"/>
    </row>
    <row r="34" spans="1:69" x14ac:dyDescent="0.2">
      <c r="A34" s="71"/>
      <c r="B34" s="71" t="s">
        <v>615</v>
      </c>
      <c r="C34" s="71"/>
      <c r="D34" s="71"/>
      <c r="E34" s="71">
        <f>(CDU1_.SC2_.SUL * ((100 - CDU1_.SC2_.EVAP1) / 100)) - CDU1_.SC2_.VAR1</f>
        <v>5.8474620345805306E-6</v>
      </c>
      <c r="F34" s="71"/>
      <c r="G34" s="71"/>
      <c r="H34" s="71"/>
      <c r="I34" s="71"/>
      <c r="J34" s="71"/>
      <c r="K34" s="71"/>
      <c r="L34" s="71"/>
      <c r="M34" s="71"/>
      <c r="N34" s="71"/>
      <c r="O34" s="71"/>
      <c r="P34" s="71"/>
      <c r="Q34" s="71"/>
      <c r="R34" s="71"/>
      <c r="S34" s="71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>
        <f>-1*CDU1_.SC2_.SUL / 100</f>
        <v>-40.003444904189337</v>
      </c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  <c r="AQ34" s="71"/>
      <c r="AR34" s="71"/>
      <c r="AS34" s="71"/>
      <c r="AT34" s="71"/>
      <c r="AU34" s="71"/>
      <c r="AV34" s="71"/>
      <c r="AW34" s="71"/>
      <c r="AX34" s="71"/>
      <c r="AY34" s="71"/>
      <c r="AZ34" s="71"/>
      <c r="BA34" s="71"/>
      <c r="BB34" s="71"/>
      <c r="BC34" s="71"/>
      <c r="BD34" s="71">
        <f>(100 - CDU1_.SC2_.EVAP1)/100</f>
        <v>0.49977937035505809</v>
      </c>
      <c r="BE34" s="71"/>
      <c r="BF34" s="71">
        <v>-1</v>
      </c>
      <c r="BG34" s="71"/>
      <c r="BH34" s="71"/>
      <c r="BI34" s="71"/>
      <c r="BJ34" s="71"/>
      <c r="BK34" s="71"/>
      <c r="BL34" s="71"/>
      <c r="BM34" s="71"/>
      <c r="BN34" s="71"/>
      <c r="BO34" s="71"/>
      <c r="BP34" s="71"/>
      <c r="BQ34" s="71"/>
    </row>
    <row r="35" spans="1:69" x14ac:dyDescent="0.2">
      <c r="A35" s="71"/>
      <c r="B35" s="71" t="s">
        <v>616</v>
      </c>
      <c r="C35" s="71"/>
      <c r="D35" s="71"/>
      <c r="E35" s="71">
        <f>(CDU1_.SC3_.SUL * ((100 - CDU1_.SC3_.EVAP1) / 100)) - CDU1_.SC3_.VAR1</f>
        <v>1.334987064183224E-5</v>
      </c>
      <c r="F35" s="71"/>
      <c r="G35" s="71"/>
      <c r="H35" s="71"/>
      <c r="I35" s="71"/>
      <c r="J35" s="71"/>
      <c r="K35" s="71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>
        <f>-1*CDU1_.SC3_.SUL / 100</f>
        <v>-55.552328747859747</v>
      </c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71"/>
      <c r="BA35" s="71"/>
      <c r="BB35" s="71"/>
      <c r="BC35" s="71"/>
      <c r="BD35" s="71"/>
      <c r="BE35" s="71">
        <f>(100 - CDU1_.SC3_.EVAP1)/100</f>
        <v>0.99999255944237619</v>
      </c>
      <c r="BF35" s="71"/>
      <c r="BG35" s="71">
        <v>-1</v>
      </c>
      <c r="BH35" s="71"/>
      <c r="BI35" s="71"/>
      <c r="BJ35" s="71"/>
      <c r="BK35" s="71"/>
      <c r="BL35" s="71"/>
      <c r="BM35" s="71"/>
      <c r="BN35" s="71"/>
      <c r="BO35" s="71"/>
      <c r="BP35" s="71"/>
      <c r="BQ35" s="71"/>
    </row>
    <row r="36" spans="1:69" x14ac:dyDescent="0.2">
      <c r="A36" s="71"/>
      <c r="B36" s="71" t="s">
        <v>617</v>
      </c>
      <c r="C36" s="71"/>
      <c r="D36" s="71"/>
      <c r="E36" s="71" t="e">
        <f ca="1">[2]!DLL_MD_Cloud(CDU1_.OVH.T95, CDU1_.SC1_.T95, CDU1_.FEED.TCL.PAR4, CDU1_.FEED.TCL.PAR3, PARAM!CBN_BASE) - CDU1_.SC1_.TCL</f>
        <v>#NAME?</v>
      </c>
      <c r="F36" s="71"/>
      <c r="G36" s="71"/>
      <c r="H36" s="71"/>
      <c r="I36" s="71" t="e">
        <f ca="1">[2]!DLL_MD_dClouddFBP(CDU1_.OVH.T95, CDU1_.SC1_.T95, CDU1_.FEED.TCL.PAR4, CDU1_.FEED.TCL.PAR3, PARAM!CBN_BASE)</f>
        <v>#NAME?</v>
      </c>
      <c r="J36" s="71" t="e">
        <f ca="1">[2]!DLL_MD_dClouddIBP(CDU1_.OVH.T95, CDU1_.SC1_.T95, CDU1_.FEED.TCL.PAR4, CDU1_.FEED.TCL.PAR3, PARAM!CBN_BASE)</f>
        <v>#NAME?</v>
      </c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1"/>
      <c r="AL36" s="71"/>
      <c r="AM36" s="71"/>
      <c r="AN36" s="71"/>
      <c r="AO36" s="71"/>
      <c r="AP36" s="71"/>
      <c r="AQ36" s="71"/>
      <c r="AR36" s="71"/>
      <c r="AS36" s="71"/>
      <c r="AT36" s="71"/>
      <c r="AU36" s="71"/>
      <c r="AV36" s="71"/>
      <c r="AW36" s="71"/>
      <c r="AX36" s="71"/>
      <c r="AY36" s="71"/>
      <c r="AZ36" s="71"/>
      <c r="BA36" s="71"/>
      <c r="BB36" s="71"/>
      <c r="BC36" s="71"/>
      <c r="BD36" s="71"/>
      <c r="BE36" s="71"/>
      <c r="BF36" s="71"/>
      <c r="BG36" s="71"/>
      <c r="BH36" s="71" t="e">
        <f ca="1">[2]!DLL_MD_dClouddSlope(CDU1_.OVH.T95, CDU1_.SC1_.T95, CDU1_.FEED.TCL.PAR4, CDU1_.FEED.TCL.PAR3, PARAM!CBN_BASE)</f>
        <v>#NAME?</v>
      </c>
      <c r="BI36" s="71">
        <v>1</v>
      </c>
      <c r="BJ36" s="71">
        <v>-1</v>
      </c>
      <c r="BK36" s="71"/>
      <c r="BL36" s="71"/>
      <c r="BM36" s="71"/>
      <c r="BN36" s="71"/>
      <c r="BO36" s="71"/>
      <c r="BP36" s="71"/>
      <c r="BQ36" s="71"/>
    </row>
    <row r="37" spans="1:69" x14ac:dyDescent="0.2">
      <c r="A37" s="71"/>
      <c r="B37" s="71" t="s">
        <v>618</v>
      </c>
      <c r="C37" s="71"/>
      <c r="D37" s="71"/>
      <c r="E37" s="71" t="e">
        <f ca="1">[2]!DLL_MD_Cloud(CDU1_.SC1_.T95, CDU1_.SC2_.T95, CDU1_.FEED.TCL.PAR4, CDU1_.FEED.TCL.PAR3, PARAM!CBN_BASE) - CDU1_.SC2_.TCL</f>
        <v>#NAME?</v>
      </c>
      <c r="F37" s="71"/>
      <c r="G37" s="71"/>
      <c r="H37" s="71"/>
      <c r="I37" s="71" t="e">
        <f ca="1">[2]!DLL_MD_dClouddIBP(CDU1_.SC1_.T95, CDU1_.SC2_.T95, CDU1_.FEED.TCL.PAR4, CDU1_.FEED.TCL.PAR3, PARAM!CBN_BASE)</f>
        <v>#NAME?</v>
      </c>
      <c r="J37" s="71"/>
      <c r="K37" s="71"/>
      <c r="L37" s="71" t="e">
        <f ca="1">[2]!DLL_MD_dClouddFBP(CDU1_.SC1_.T95, CDU1_.SC2_.T95, CDU1_.FEED.TCL.PAR4, CDU1_.FEED.TCL.PAR3, PARAM!CBN_BASE)</f>
        <v>#NAME?</v>
      </c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 t="e">
        <f ca="1">[2]!DLL_MD_dClouddSlope(CDU1_.SC1_.T95, CDU1_.SC2_.T95, CDU1_.FEED.TCL.PAR4, CDU1_.FEED.TCL.PAR3, PARAM!CBN_BASE)</f>
        <v>#NAME?</v>
      </c>
      <c r="BI37" s="71">
        <v>1</v>
      </c>
      <c r="BJ37" s="71"/>
      <c r="BK37" s="71">
        <v>-1</v>
      </c>
      <c r="BL37" s="71"/>
      <c r="BM37" s="71"/>
      <c r="BN37" s="71"/>
      <c r="BO37" s="71"/>
      <c r="BP37" s="71"/>
      <c r="BQ37" s="71"/>
    </row>
    <row r="38" spans="1:69" x14ac:dyDescent="0.2">
      <c r="A38" s="71"/>
      <c r="B38" s="71" t="s">
        <v>619</v>
      </c>
      <c r="C38" s="71"/>
      <c r="D38" s="71"/>
      <c r="E38" s="71" t="e">
        <f ca="1">[2]!DLL_MD_Cloud(CDU1_.SC2_.T95, CDU1_.SC3_.T95, CDU1_.FEED.TCL.PAR4, CDU1_.FEED.TCL.PAR3, PARAM!CBN_BASE) - CDU1_.SC3_.TCL</f>
        <v>#NAME?</v>
      </c>
      <c r="F38" s="71"/>
      <c r="G38" s="71"/>
      <c r="H38" s="71"/>
      <c r="I38" s="71"/>
      <c r="J38" s="71"/>
      <c r="K38" s="71"/>
      <c r="L38" s="71" t="e">
        <f ca="1">[2]!DLL_MD_dClouddIBP(CDU1_.SC2_.T95, CDU1_.SC3_.T95, CDU1_.FEED.TCL.PAR4, CDU1_.FEED.TCL.PAR3, PARAM!CBN_BASE)</f>
        <v>#NAME?</v>
      </c>
      <c r="M38" s="71"/>
      <c r="N38" s="71" t="e">
        <f ca="1">[2]!DLL_MD_dClouddFBP(CDU1_.SC2_.T95, CDU1_.SC3_.T95, CDU1_.FEED.TCL.PAR4, CDU1_.FEED.TCL.PAR3, PARAM!CBN_BASE)</f>
        <v>#NAME?</v>
      </c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/>
      <c r="AW38" s="71"/>
      <c r="AX38" s="71"/>
      <c r="AY38" s="71"/>
      <c r="AZ38" s="71"/>
      <c r="BA38" s="71"/>
      <c r="BB38" s="71"/>
      <c r="BC38" s="71"/>
      <c r="BD38" s="71"/>
      <c r="BE38" s="71"/>
      <c r="BF38" s="71"/>
      <c r="BG38" s="71"/>
      <c r="BH38" s="71" t="e">
        <f ca="1">[2]!DLL_MD_dClouddSlope(CDU1_.SC2_.T95, CDU1_.SC3_.T95, CDU1_.FEED.TCL.PAR4, CDU1_.FEED.TCL.PAR3, PARAM!CBN_BASE)</f>
        <v>#NAME?</v>
      </c>
      <c r="BI38" s="71">
        <v>1</v>
      </c>
      <c r="BJ38" s="71"/>
      <c r="BK38" s="71"/>
      <c r="BL38" s="71">
        <v>-1</v>
      </c>
      <c r="BM38" s="71"/>
      <c r="BN38" s="71"/>
      <c r="BO38" s="71"/>
      <c r="BP38" s="71"/>
      <c r="BQ38" s="71"/>
    </row>
    <row r="39" spans="1:69" x14ac:dyDescent="0.2">
      <c r="A39" s="71"/>
      <c r="B39" s="71" t="s">
        <v>620</v>
      </c>
      <c r="C39" s="71"/>
      <c r="D39" s="71"/>
      <c r="E39" s="71" t="e">
        <f ca="1">[2]!DLL_MD_Freeze(CDU1_.OVH.T95, CDU1_.SC1_.T95, CDU1_.FEED.TFZ.PAR4, CDU1_.FEED.TFZ.PAR3, PARAM!FBN_BASE) - CDU1_.SC1_.TFZ</f>
        <v>#NAME?</v>
      </c>
      <c r="F39" s="71"/>
      <c r="G39" s="71"/>
      <c r="H39" s="71"/>
      <c r="I39" s="71" t="e">
        <f ca="1">[2]!DLL_MD_dFreezedFBP(CDU1_.OVH.T95, CDU1_.SC1_.T95, CDU1_.FEED.TFZ.PAR4, CDU1_.FEED.TFZ.PAR3, PARAM!FBN_BASE)</f>
        <v>#NAME?</v>
      </c>
      <c r="J39" s="71" t="e">
        <f ca="1">[2]!DLL_MD_dFreezedIBP(CDU1_.OVH.T95, CDU1_.SC1_.T95, CDU1_.FEED.TFZ.PAR4, CDU1_.FEED.TFZ.PAR3, PARAM!FBN_BASE)</f>
        <v>#NAME?</v>
      </c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1"/>
      <c r="AL39" s="71"/>
      <c r="AM39" s="71"/>
      <c r="AN39" s="71"/>
      <c r="AO39" s="71"/>
      <c r="AP39" s="71"/>
      <c r="AQ39" s="71"/>
      <c r="AR39" s="71"/>
      <c r="AS39" s="71"/>
      <c r="AT39" s="71"/>
      <c r="AU39" s="71"/>
      <c r="AV39" s="71"/>
      <c r="AW39" s="71"/>
      <c r="AX39" s="71"/>
      <c r="AY39" s="71"/>
      <c r="AZ39" s="71"/>
      <c r="BA39" s="71"/>
      <c r="BB39" s="71"/>
      <c r="BC39" s="71"/>
      <c r="BD39" s="71"/>
      <c r="BE39" s="71"/>
      <c r="BF39" s="71"/>
      <c r="BG39" s="71"/>
      <c r="BH39" s="71"/>
      <c r="BI39" s="71"/>
      <c r="BJ39" s="71"/>
      <c r="BK39" s="71"/>
      <c r="BL39" s="71"/>
      <c r="BM39" s="71" t="e">
        <f ca="1">[2]!DLL_MD_dFreezedSlope(CDU1_.OVH.T95, CDU1_.SC1_.T95, CDU1_.FEED.TFZ.PAR4, CDU1_.FEED.TFZ.PAR3, PARAM!FBN_BASE)</f>
        <v>#NAME?</v>
      </c>
      <c r="BN39" s="71">
        <v>1</v>
      </c>
      <c r="BO39" s="71">
        <v>-1</v>
      </c>
      <c r="BP39" s="71"/>
      <c r="BQ39" s="71"/>
    </row>
    <row r="40" spans="1:69" x14ac:dyDescent="0.2">
      <c r="A40" s="71"/>
      <c r="B40" s="71" t="s">
        <v>621</v>
      </c>
      <c r="C40" s="71"/>
      <c r="D40" s="71"/>
      <c r="E40" s="71"/>
      <c r="F40" s="71">
        <f>CDU1_.OVH.FLOW / CDU1_.FEED.FLOW</f>
        <v>0.19999896641903545</v>
      </c>
      <c r="G40" s="71"/>
      <c r="H40" s="71"/>
      <c r="I40" s="71"/>
      <c r="J40" s="71">
        <f>CDU1_.FEED.FLOW / 100 / CDU1_.FEED.PAR1</f>
        <v>8.8889344754251642E-2</v>
      </c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1"/>
      <c r="V40" s="71"/>
      <c r="W40" s="71"/>
      <c r="X40" s="71"/>
      <c r="Y40" s="71"/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1"/>
      <c r="AL40" s="71"/>
      <c r="AM40" s="71"/>
      <c r="AN40" s="71"/>
      <c r="AO40" s="71"/>
      <c r="AP40" s="71"/>
      <c r="AQ40" s="71"/>
      <c r="AR40" s="71"/>
      <c r="AS40" s="71"/>
      <c r="AT40" s="71"/>
      <c r="AU40" s="71"/>
      <c r="AV40" s="71"/>
      <c r="AW40" s="71"/>
      <c r="AX40" s="71"/>
      <c r="AY40" s="71"/>
      <c r="AZ40" s="71"/>
      <c r="BA40" s="71"/>
      <c r="BB40" s="71"/>
      <c r="BC40" s="71"/>
      <c r="BD40" s="71"/>
      <c r="BE40" s="71"/>
      <c r="BF40" s="71"/>
      <c r="BG40" s="71"/>
      <c r="BH40" s="71"/>
      <c r="BI40" s="71"/>
      <c r="BJ40" s="71"/>
      <c r="BK40" s="71"/>
      <c r="BL40" s="71"/>
      <c r="BM40" s="71"/>
      <c r="BN40" s="71"/>
      <c r="BO40" s="71"/>
      <c r="BP40" s="71">
        <v>-1</v>
      </c>
      <c r="BQ40" s="71"/>
    </row>
    <row r="41" spans="1:69" x14ac:dyDescent="0.2">
      <c r="A41" s="71"/>
      <c r="B41" s="71" t="s">
        <v>622</v>
      </c>
      <c r="C41" s="71"/>
      <c r="D41" s="71"/>
      <c r="E41" s="71">
        <f>CDU1_.FEED.FLOW - SUM(, CDU1_.SC1_.FLOW, CDU1_.SC2_.FLOW, CDU1_.SC3_.FLOW, CDU1_.OVH.FLOW, CDU1_.RES.FLOW)</f>
        <v>-6.31150811614134E-7</v>
      </c>
      <c r="F41" s="71">
        <v>1</v>
      </c>
      <c r="G41" s="71"/>
      <c r="H41" s="71">
        <v>-1</v>
      </c>
      <c r="I41" s="71"/>
      <c r="J41" s="71"/>
      <c r="K41" s="71">
        <v>-1</v>
      </c>
      <c r="L41" s="71"/>
      <c r="M41" s="71">
        <v>-1</v>
      </c>
      <c r="N41" s="71"/>
      <c r="O41" s="71"/>
      <c r="P41" s="71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1"/>
      <c r="AL41" s="71"/>
      <c r="AM41" s="71"/>
      <c r="AN41" s="71"/>
      <c r="AO41" s="71"/>
      <c r="AP41" s="71"/>
      <c r="AQ41" s="71"/>
      <c r="AR41" s="71"/>
      <c r="AS41" s="71"/>
      <c r="AT41" s="71"/>
      <c r="AU41" s="71"/>
      <c r="AV41" s="71"/>
      <c r="AW41" s="71"/>
      <c r="AX41" s="71"/>
      <c r="AY41" s="71"/>
      <c r="AZ41" s="71"/>
      <c r="BA41" s="71"/>
      <c r="BB41" s="71"/>
      <c r="BC41" s="71"/>
      <c r="BD41" s="71"/>
      <c r="BE41" s="71"/>
      <c r="BF41" s="71"/>
      <c r="BG41" s="71"/>
      <c r="BH41" s="71"/>
      <c r="BI41" s="71"/>
      <c r="BJ41" s="71"/>
      <c r="BK41" s="71"/>
      <c r="BL41" s="71"/>
      <c r="BM41" s="71"/>
      <c r="BN41" s="71"/>
      <c r="BO41" s="71"/>
      <c r="BP41" s="71">
        <v>-1</v>
      </c>
      <c r="BQ41" s="71">
        <v>-1</v>
      </c>
    </row>
  </sheetData>
  <sheetProtection algorithmName="SHA-512" hashValue="E7JovduYUeTkibBA6MUSDkwBvP3SiBm4QgmUrgfITKWI+wcGuagCmdIN1X7GEDMpA79MR9Ve4/Sal+bP10Ls3w==" saltValue="ZhQ9aDf39ryz2L56B9Jqaw==" spinCount="100000" sheet="1" objects="1" scenarios="1"/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4"/>
  <dimension ref="A1:AI8"/>
  <sheetViews>
    <sheetView zoomScaleNormal="100" workbookViewId="0">
      <pane xSplit="3" ySplit="3" topLeftCell="D4" activePane="bottomRight" state="frozen"/>
      <selection pane="topRight" activeCell="D1" sqref="D1"/>
      <selection pane="bottomLeft" activeCell="A3" sqref="A3"/>
      <selection pane="bottomRight" activeCell="Q6" sqref="Q6"/>
    </sheetView>
  </sheetViews>
  <sheetFormatPr defaultColWidth="8.85546875" defaultRowHeight="12.75" x14ac:dyDescent="0.2"/>
  <cols>
    <col min="1" max="1" width="12.42578125" style="27" bestFit="1" customWidth="1"/>
    <col min="2" max="2" width="10" style="27" bestFit="1" customWidth="1"/>
    <col min="3" max="3" width="14.85546875" style="27" bestFit="1" customWidth="1"/>
    <col min="4" max="4" width="13.5703125" style="27" bestFit="1" customWidth="1"/>
    <col min="5" max="5" width="12.85546875" style="27" bestFit="1" customWidth="1"/>
    <col min="6" max="6" width="13.5703125" style="27" bestFit="1" customWidth="1"/>
    <col min="7" max="7" width="12.85546875" style="27" bestFit="1" customWidth="1"/>
    <col min="8" max="8" width="13.5703125" style="27" bestFit="1" customWidth="1"/>
    <col min="9" max="9" width="12.85546875" style="27" bestFit="1" customWidth="1"/>
    <col min="10" max="10" width="13.5703125" style="27" bestFit="1" customWidth="1"/>
    <col min="11" max="11" width="12.85546875" style="27" bestFit="1" customWidth="1"/>
    <col min="12" max="12" width="13.5703125" style="27" bestFit="1" customWidth="1"/>
    <col min="13" max="13" width="12.85546875" style="27" bestFit="1" customWidth="1"/>
    <col min="14" max="14" width="13.5703125" style="27" bestFit="1" customWidth="1"/>
    <col min="15" max="15" width="12.85546875" style="27" bestFit="1" customWidth="1"/>
    <col min="16" max="16" width="13.5703125" style="27" bestFit="1" customWidth="1"/>
    <col min="17" max="17" width="12.85546875" style="27" bestFit="1" customWidth="1"/>
    <col min="18" max="18" width="13.5703125" style="27" bestFit="1" customWidth="1"/>
    <col min="19" max="19" width="12.85546875" style="27" bestFit="1" customWidth="1"/>
    <col min="20" max="16384" width="8.85546875" style="27"/>
  </cols>
  <sheetData>
    <row r="1" spans="1:35" x14ac:dyDescent="0.2">
      <c r="A1" s="27" t="s">
        <v>408</v>
      </c>
    </row>
    <row r="2" spans="1:35" x14ac:dyDescent="0.2">
      <c r="A2" s="27" t="s">
        <v>186</v>
      </c>
      <c r="B2" s="27" t="s">
        <v>218</v>
      </c>
    </row>
    <row r="3" spans="1:35" x14ac:dyDescent="0.2">
      <c r="B3" s="27" t="s">
        <v>243</v>
      </c>
      <c r="C3" s="27" t="s">
        <v>349</v>
      </c>
      <c r="D3" s="27" t="s">
        <v>187</v>
      </c>
      <c r="E3" s="27" t="s">
        <v>188</v>
      </c>
      <c r="F3" s="27" t="s">
        <v>189</v>
      </c>
      <c r="G3" s="27" t="s">
        <v>190</v>
      </c>
      <c r="H3" s="27" t="s">
        <v>191</v>
      </c>
      <c r="I3" s="27" t="s">
        <v>192</v>
      </c>
      <c r="J3" s="27" t="s">
        <v>193</v>
      </c>
      <c r="K3" s="27" t="s">
        <v>194</v>
      </c>
      <c r="L3" s="27" t="s">
        <v>195</v>
      </c>
      <c r="M3" s="27" t="s">
        <v>196</v>
      </c>
      <c r="N3" s="27" t="s">
        <v>197</v>
      </c>
      <c r="O3" s="27" t="s">
        <v>198</v>
      </c>
      <c r="P3" s="27" t="s">
        <v>199</v>
      </c>
      <c r="Q3" s="27" t="s">
        <v>200</v>
      </c>
      <c r="R3" s="27" t="s">
        <v>201</v>
      </c>
      <c r="S3" s="27" t="s">
        <v>202</v>
      </c>
      <c r="T3" s="27" t="s">
        <v>203</v>
      </c>
      <c r="U3" s="27" t="s">
        <v>204</v>
      </c>
      <c r="V3" s="27" t="s">
        <v>205</v>
      </c>
      <c r="W3" s="27" t="s">
        <v>206</v>
      </c>
      <c r="X3" s="27" t="s">
        <v>221</v>
      </c>
      <c r="Y3" s="27" t="s">
        <v>222</v>
      </c>
      <c r="Z3" s="27" t="s">
        <v>223</v>
      </c>
      <c r="AA3" s="27" t="s">
        <v>224</v>
      </c>
      <c r="AB3" s="27" t="s">
        <v>225</v>
      </c>
      <c r="AC3" s="27" t="s">
        <v>226</v>
      </c>
      <c r="AD3" s="27" t="s">
        <v>227</v>
      </c>
      <c r="AE3" s="27" t="s">
        <v>228</v>
      </c>
      <c r="AF3" s="27" t="s">
        <v>229</v>
      </c>
      <c r="AG3" s="27" t="s">
        <v>230</v>
      </c>
      <c r="AH3" s="27" t="s">
        <v>231</v>
      </c>
      <c r="AI3" s="27" t="s">
        <v>232</v>
      </c>
    </row>
    <row r="4" spans="1:35" x14ac:dyDescent="0.2">
      <c r="A4" s="27" t="s">
        <v>540</v>
      </c>
      <c r="D4" s="27" t="s">
        <v>547</v>
      </c>
      <c r="E4" s="27" t="s">
        <v>234</v>
      </c>
      <c r="F4" s="27" t="s">
        <v>548</v>
      </c>
      <c r="G4" s="27" t="s">
        <v>237</v>
      </c>
      <c r="H4" s="27" t="s">
        <v>549</v>
      </c>
      <c r="I4" s="27" t="s">
        <v>169</v>
      </c>
      <c r="J4" s="27" t="s">
        <v>550</v>
      </c>
      <c r="K4" s="27" t="s">
        <v>238</v>
      </c>
      <c r="L4" s="27" t="s">
        <v>551</v>
      </c>
      <c r="M4" s="27" t="s">
        <v>327</v>
      </c>
      <c r="N4" s="27" t="s">
        <v>552</v>
      </c>
      <c r="O4" s="27" t="s">
        <v>170</v>
      </c>
      <c r="P4" s="27" t="s">
        <v>553</v>
      </c>
      <c r="Q4" s="27" t="s">
        <v>326</v>
      </c>
    </row>
    <row r="5" spans="1:35" x14ac:dyDescent="0.2">
      <c r="A5" s="27" t="s">
        <v>541</v>
      </c>
      <c r="B5" s="27" t="s">
        <v>215</v>
      </c>
      <c r="C5" s="27" t="s">
        <v>546</v>
      </c>
      <c r="D5" s="27" t="s">
        <v>554</v>
      </c>
      <c r="E5" s="27" t="s">
        <v>234</v>
      </c>
    </row>
    <row r="6" spans="1:35" x14ac:dyDescent="0.2">
      <c r="A6" s="27" t="s">
        <v>542</v>
      </c>
      <c r="B6" s="27" t="s">
        <v>217</v>
      </c>
      <c r="C6" s="27" t="s">
        <v>546</v>
      </c>
      <c r="D6" s="27" t="s">
        <v>517</v>
      </c>
      <c r="E6" s="27" t="s">
        <v>234</v>
      </c>
    </row>
    <row r="7" spans="1:35" x14ac:dyDescent="0.2">
      <c r="A7" s="27" t="s">
        <v>543</v>
      </c>
      <c r="B7" s="27" t="s">
        <v>518</v>
      </c>
      <c r="C7" s="27" t="s">
        <v>546</v>
      </c>
      <c r="D7" s="27" t="s">
        <v>519</v>
      </c>
      <c r="E7" s="27" t="s">
        <v>234</v>
      </c>
    </row>
    <row r="8" spans="1:35" x14ac:dyDescent="0.2">
      <c r="A8" s="27" t="s">
        <v>1495</v>
      </c>
      <c r="D8" s="37" t="s">
        <v>1496</v>
      </c>
      <c r="E8" s="37" t="s">
        <v>234</v>
      </c>
      <c r="F8" s="37" t="s">
        <v>1497</v>
      </c>
      <c r="G8" s="37" t="s">
        <v>169</v>
      </c>
      <c r="H8" s="37" t="s">
        <v>1498</v>
      </c>
      <c r="I8" s="37" t="s">
        <v>406</v>
      </c>
      <c r="J8" s="37" t="s">
        <v>1499</v>
      </c>
      <c r="K8" s="37" t="s">
        <v>237</v>
      </c>
      <c r="L8" s="37" t="s">
        <v>1500</v>
      </c>
      <c r="M8" s="37" t="s">
        <v>238</v>
      </c>
      <c r="N8" s="37" t="s">
        <v>1501</v>
      </c>
      <c r="O8" s="37" t="s">
        <v>170</v>
      </c>
      <c r="P8" s="37" t="s">
        <v>1502</v>
      </c>
      <c r="Q8" s="37" t="s">
        <v>327</v>
      </c>
      <c r="R8" s="37" t="s">
        <v>1503</v>
      </c>
      <c r="S8" s="37" t="s">
        <v>326</v>
      </c>
    </row>
  </sheetData>
  <dataValidations count="2">
    <dataValidation type="list" allowBlank="1" showInputMessage="1" showErrorMessage="1" sqref="E4:E7 G4:G7 I4:I7 K4:K7 M4:M7 O4:O7 Q4:Q7 S4:S7 U4:U7 W4:W7 Y4:Y7 AA4:AA7 AC4:AC7 AE4:AE7 AG4:AG7 AI4:AI7" xr:uid="{00000000-0002-0000-4000-000000000000}">
      <formula1>measTypeMD_BU</formula1>
    </dataValidation>
    <dataValidation type="list" allowBlank="1" showInputMessage="1" showErrorMessage="1" sqref="B2" xr:uid="{00000000-0002-0000-4000-000001000000}">
      <formula1>typeMD_BU</formula1>
    </dataValidation>
  </dataValidation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5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6"/>
  <dimension ref="A1:H6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J27" sqref="J27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7" width="9.5703125" style="5" bestFit="1" customWidth="1"/>
    <col min="8" max="8" width="8.7109375" style="5" bestFit="1" customWidth="1"/>
    <col min="9" max="16384" width="9.140625" style="5"/>
  </cols>
  <sheetData>
    <row r="1" spans="1:8" customFormat="1" x14ac:dyDescent="0.2">
      <c r="E1" t="s">
        <v>8</v>
      </c>
    </row>
    <row r="2" spans="1:8" customFormat="1" x14ac:dyDescent="0.2">
      <c r="E2" t="s">
        <v>7</v>
      </c>
      <c r="F2" t="s">
        <v>516</v>
      </c>
      <c r="G2" t="s">
        <v>554</v>
      </c>
      <c r="H2" t="s">
        <v>555</v>
      </c>
    </row>
    <row r="3" spans="1:8" customFormat="1" x14ac:dyDescent="0.2">
      <c r="E3" t="s">
        <v>9</v>
      </c>
    </row>
    <row r="4" spans="1:8" customFormat="1" x14ac:dyDescent="0.2">
      <c r="E4" t="s">
        <v>10</v>
      </c>
    </row>
    <row r="5" spans="1:8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  <c r="F5">
        <f>FC_12.SP</f>
        <v>16</v>
      </c>
      <c r="G5">
        <f>FC_31.SP</f>
        <v>8.0032560903597965</v>
      </c>
      <c r="H5">
        <f>FI_71.PV</f>
        <v>7.9967243442694196</v>
      </c>
    </row>
    <row r="6" spans="1:8" x14ac:dyDescent="0.2">
      <c r="B6" t="s">
        <v>556</v>
      </c>
      <c r="E6">
        <f>(1 * FC_12.SP) + (-1 * FC_31.SP -1*FI_71.PV)</f>
        <v>1.9565370784846436E-5</v>
      </c>
      <c r="F6" s="5">
        <v>1</v>
      </c>
      <c r="G6" s="5">
        <v>-1</v>
      </c>
      <c r="H6" s="5">
        <v>-1</v>
      </c>
    </row>
  </sheetData>
  <pageMargins left="0.75" right="0.75" top="1" bottom="1" header="0.5" footer="0.5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7"/>
  <dimension ref="A1:AC23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29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</row>
    <row r="2" spans="1:29" customFormat="1" x14ac:dyDescent="0.2">
      <c r="A2" s="71"/>
      <c r="B2" s="71"/>
      <c r="C2" s="71"/>
      <c r="D2" s="71"/>
      <c r="E2" s="71" t="s">
        <v>7</v>
      </c>
      <c r="F2" s="71" t="s">
        <v>662</v>
      </c>
      <c r="G2" s="71" t="s">
        <v>663</v>
      </c>
      <c r="H2" s="71" t="s">
        <v>664</v>
      </c>
      <c r="I2" s="71" t="s">
        <v>665</v>
      </c>
      <c r="J2" s="71" t="s">
        <v>1512</v>
      </c>
      <c r="K2" s="71" t="s">
        <v>547</v>
      </c>
      <c r="L2" s="71" t="s">
        <v>554</v>
      </c>
      <c r="M2" s="71" t="s">
        <v>517</v>
      </c>
      <c r="N2" s="71" t="s">
        <v>519</v>
      </c>
      <c r="O2" s="71" t="s">
        <v>1496</v>
      </c>
      <c r="P2" s="71" t="s">
        <v>666</v>
      </c>
      <c r="Q2" s="71" t="s">
        <v>667</v>
      </c>
      <c r="R2" s="71" t="s">
        <v>668</v>
      </c>
      <c r="S2" s="71" t="s">
        <v>669</v>
      </c>
      <c r="T2" s="71" t="s">
        <v>670</v>
      </c>
      <c r="U2" s="71" t="s">
        <v>671</v>
      </c>
      <c r="V2" s="71" t="s">
        <v>1513</v>
      </c>
      <c r="W2" s="71" t="s">
        <v>1514</v>
      </c>
      <c r="X2" s="71" t="s">
        <v>1515</v>
      </c>
      <c r="Y2" s="71" t="s">
        <v>1516</v>
      </c>
      <c r="Z2" s="71" t="s">
        <v>1517</v>
      </c>
      <c r="AA2" s="71" t="s">
        <v>1518</v>
      </c>
      <c r="AB2" s="71" t="s">
        <v>1519</v>
      </c>
      <c r="AC2" s="71" t="s">
        <v>546</v>
      </c>
    </row>
    <row r="3" spans="1:29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</row>
    <row r="4" spans="1:29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</row>
    <row r="5" spans="1:29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HFB.PROD.FLOW</f>
        <v>56.003414836948608</v>
      </c>
      <c r="G5" s="71">
        <f>HFB.FD1.FLOW</f>
        <v>8.0035591446908754</v>
      </c>
      <c r="H5" s="71">
        <f>HFB.FD2.FLOW</f>
        <v>16.000233683146245</v>
      </c>
      <c r="I5" s="71">
        <f>HFB.FD3.FLOW</f>
        <v>15.99969795276707</v>
      </c>
      <c r="J5" s="71">
        <f>HFB.FD4.FLOW</f>
        <v>15.999967698905174</v>
      </c>
      <c r="K5" s="71">
        <f>FC_40.SP</f>
        <v>56.003426934413362</v>
      </c>
      <c r="L5" s="71">
        <f>FC_31.SP</f>
        <v>8.0032560903597965</v>
      </c>
      <c r="M5" s="71">
        <f>FC_13.SP</f>
        <v>16</v>
      </c>
      <c r="N5" s="71">
        <f>FC_14.SP</f>
        <v>16</v>
      </c>
      <c r="O5" s="71">
        <f>FC_81.SP</f>
        <v>16</v>
      </c>
      <c r="P5" s="71">
        <f>HFB.PROD.CI</f>
        <v>48.707373976246025</v>
      </c>
      <c r="Q5" s="71">
        <f>HFB.PROD.SG</f>
        <v>0.83331594270501674</v>
      </c>
      <c r="R5" s="71">
        <f>HFB.PROD.SUL</f>
        <v>5906.5222525248519</v>
      </c>
      <c r="S5" s="71">
        <f>HFB.PROD.T95</f>
        <v>814.97119009252447</v>
      </c>
      <c r="T5" s="71">
        <f>HFB.PROD.TCL</f>
        <v>46.417472948368165</v>
      </c>
      <c r="U5" s="71">
        <f>HFB.PROD.TFL</f>
        <v>151.5331194774931</v>
      </c>
      <c r="V5" s="71">
        <f>HFB.FD4.CI</f>
        <v>45.000000417205491</v>
      </c>
      <c r="W5" s="71">
        <f>HFB.FD4.SG</f>
        <v>0.79911882830025649</v>
      </c>
      <c r="X5" s="71">
        <f>HFB.FD4.SUL</f>
        <v>10000.000005201506</v>
      </c>
      <c r="Y5" s="71">
        <f>HFB.FD4.T05</f>
        <v>571.99999947174274</v>
      </c>
      <c r="Z5" s="71">
        <f>HFB.FD4.T95</f>
        <v>679.99999908533357</v>
      </c>
      <c r="AA5" s="71">
        <f>HFB.FD4.TCL</f>
        <v>31.999999718462142</v>
      </c>
      <c r="AB5" s="71">
        <f>HFB.FD4.TFL</f>
        <v>161.59999793764459</v>
      </c>
      <c r="AC5" s="71">
        <f>CDU1_.RUNNING</f>
        <v>1</v>
      </c>
    </row>
    <row r="6" spans="1:29" x14ac:dyDescent="0.2">
      <c r="A6" s="71"/>
      <c r="B6" s="71" t="s">
        <v>658</v>
      </c>
      <c r="C6" s="71"/>
      <c r="D6" s="71"/>
      <c r="E6" s="71">
        <f>(1 * HFB.PROD.FLOW) + (-1 * FC_40.SP)</f>
        <v>-1.209746475439033E-5</v>
      </c>
      <c r="F6" s="71">
        <v>1</v>
      </c>
      <c r="G6" s="71"/>
      <c r="H6" s="71"/>
      <c r="I6" s="71"/>
      <c r="J6" s="71"/>
      <c r="K6" s="71">
        <v>-1</v>
      </c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</row>
    <row r="7" spans="1:29" x14ac:dyDescent="0.2">
      <c r="A7" s="71"/>
      <c r="B7" s="71" t="s">
        <v>659</v>
      </c>
      <c r="C7" s="71"/>
      <c r="D7" s="71"/>
      <c r="E7" s="71">
        <f>(1 * HFB.FD1.FLOW) + (-1 * FC_31.SP) + (0 * CDU1_.RUNNING)</f>
        <v>3.0305433107891133E-4</v>
      </c>
      <c r="F7" s="71"/>
      <c r="G7" s="71">
        <v>1</v>
      </c>
      <c r="H7" s="71"/>
      <c r="I7" s="71"/>
      <c r="J7" s="71"/>
      <c r="K7" s="71"/>
      <c r="L7" s="71">
        <v>-1</v>
      </c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>
        <v>0</v>
      </c>
    </row>
    <row r="8" spans="1:29" x14ac:dyDescent="0.2">
      <c r="A8" s="71"/>
      <c r="B8" s="71" t="s">
        <v>660</v>
      </c>
      <c r="C8" s="71"/>
      <c r="D8" s="71"/>
      <c r="E8" s="71">
        <f>(1 * HFB.FD2.FLOW) + (-1 * FC_13.SP) + (0 * CDU1_.RUNNING)</f>
        <v>2.3368314624505615E-4</v>
      </c>
      <c r="F8" s="71"/>
      <c r="G8" s="71"/>
      <c r="H8" s="71">
        <v>1</v>
      </c>
      <c r="I8" s="71"/>
      <c r="J8" s="71"/>
      <c r="K8" s="71"/>
      <c r="L8" s="71"/>
      <c r="M8" s="71">
        <v>-1</v>
      </c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>
        <v>0</v>
      </c>
    </row>
    <row r="9" spans="1:29" x14ac:dyDescent="0.2">
      <c r="A9" s="71"/>
      <c r="B9" s="71" t="s">
        <v>661</v>
      </c>
      <c r="C9" s="71"/>
      <c r="D9" s="71"/>
      <c r="E9" s="71">
        <f>(1 * HFB.FD3.FLOW) + (-1 * FC_14.SP) + (0 * CDU1_.RUNNING)</f>
        <v>-3.020472329300361E-4</v>
      </c>
      <c r="F9" s="71"/>
      <c r="G9" s="71"/>
      <c r="H9" s="71"/>
      <c r="I9" s="71">
        <v>1</v>
      </c>
      <c r="J9" s="71"/>
      <c r="K9" s="71"/>
      <c r="L9" s="71"/>
      <c r="M9" s="71"/>
      <c r="N9" s="71">
        <v>-1</v>
      </c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>
        <v>0</v>
      </c>
    </row>
    <row r="10" spans="1:29" x14ac:dyDescent="0.2">
      <c r="A10" s="71"/>
      <c r="B10" s="71" t="s">
        <v>1511</v>
      </c>
      <c r="C10" s="71"/>
      <c r="D10" s="71"/>
      <c r="E10" s="71">
        <f>(1 * HFB.FD4.FLOW) + (-1 * FC_81.SP)</f>
        <v>-3.2301094826436838E-5</v>
      </c>
      <c r="F10" s="71"/>
      <c r="G10" s="71"/>
      <c r="H10" s="71"/>
      <c r="I10" s="71"/>
      <c r="J10" s="71">
        <v>1</v>
      </c>
      <c r="K10" s="71"/>
      <c r="L10" s="71"/>
      <c r="M10" s="71"/>
      <c r="N10" s="71"/>
      <c r="O10" s="71">
        <v>-1</v>
      </c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/>
      <c r="AA10" s="71"/>
      <c r="AB10" s="71"/>
      <c r="AC10" s="71"/>
    </row>
    <row r="11" spans="1:29" x14ac:dyDescent="0.2">
      <c r="A11" s="71"/>
      <c r="B11" s="71" t="s">
        <v>553</v>
      </c>
      <c r="C11" s="71"/>
      <c r="D11" s="71"/>
      <c r="E11" s="71">
        <f>(1 * HFB.PROD.CI)</f>
        <v>48.707373976246025</v>
      </c>
      <c r="F11" s="71"/>
      <c r="G11" s="71"/>
      <c r="H11" s="71"/>
      <c r="I11" s="71"/>
      <c r="J11" s="71"/>
      <c r="K11" s="71"/>
      <c r="L11" s="71"/>
      <c r="M11" s="71"/>
      <c r="N11" s="71"/>
      <c r="O11" s="71"/>
      <c r="P11" s="71">
        <v>1</v>
      </c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/>
      <c r="AB11" s="71"/>
      <c r="AC11" s="71"/>
    </row>
    <row r="12" spans="1:29" x14ac:dyDescent="0.2">
      <c r="A12" s="71"/>
      <c r="B12" s="71" t="s">
        <v>549</v>
      </c>
      <c r="C12" s="71"/>
      <c r="D12" s="71"/>
      <c r="E12" s="71">
        <f>(1 * HFB.PROD.SG)</f>
        <v>0.83331594270501674</v>
      </c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>
        <v>1</v>
      </c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</row>
    <row r="13" spans="1:29" x14ac:dyDescent="0.2">
      <c r="A13" s="71"/>
      <c r="B13" s="71" t="s">
        <v>552</v>
      </c>
      <c r="C13" s="71"/>
      <c r="D13" s="71"/>
      <c r="E13" s="71">
        <f>(1 * HFB.PROD.SUL)</f>
        <v>5906.5222525248519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1</v>
      </c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</row>
    <row r="14" spans="1:29" x14ac:dyDescent="0.2">
      <c r="A14" s="71"/>
      <c r="B14" s="71" t="s">
        <v>548</v>
      </c>
      <c r="C14" s="71"/>
      <c r="D14" s="71"/>
      <c r="E14" s="71">
        <f>(1 * HFB.PROD.T95)</f>
        <v>814.97119009252447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>
        <v>1</v>
      </c>
      <c r="T14" s="71"/>
      <c r="U14" s="71"/>
      <c r="V14" s="71"/>
      <c r="W14" s="71"/>
      <c r="X14" s="71"/>
      <c r="Y14" s="71"/>
      <c r="Z14" s="71"/>
      <c r="AA14" s="71"/>
      <c r="AB14" s="71"/>
      <c r="AC14" s="71"/>
    </row>
    <row r="15" spans="1:29" x14ac:dyDescent="0.2">
      <c r="A15" s="71"/>
      <c r="B15" s="71" t="s">
        <v>550</v>
      </c>
      <c r="C15" s="71"/>
      <c r="D15" s="71"/>
      <c r="E15" s="71">
        <f>(1 * HFB.PROD.TCL)</f>
        <v>46.417472948368165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1</v>
      </c>
      <c r="U15" s="71"/>
      <c r="V15" s="71"/>
      <c r="W15" s="71"/>
      <c r="X15" s="71"/>
      <c r="Y15" s="71"/>
      <c r="Z15" s="71"/>
      <c r="AA15" s="71"/>
      <c r="AB15" s="71"/>
      <c r="AC15" s="71"/>
    </row>
    <row r="16" spans="1:29" x14ac:dyDescent="0.2">
      <c r="A16" s="71"/>
      <c r="B16" s="71" t="s">
        <v>551</v>
      </c>
      <c r="C16" s="71"/>
      <c r="D16" s="71"/>
      <c r="E16" s="71">
        <f>(1 * HFB.PROD.TFL)</f>
        <v>151.5331194774931</v>
      </c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>
        <v>1</v>
      </c>
      <c r="V16" s="71"/>
      <c r="W16" s="71"/>
      <c r="X16" s="71"/>
      <c r="Y16" s="71"/>
      <c r="Z16" s="71"/>
      <c r="AA16" s="71"/>
      <c r="AB16" s="71"/>
      <c r="AC16" s="71"/>
    </row>
    <row r="17" spans="1:29" x14ac:dyDescent="0.2">
      <c r="A17" s="71"/>
      <c r="B17" s="71" t="s">
        <v>1503</v>
      </c>
      <c r="C17" s="71"/>
      <c r="D17" s="71"/>
      <c r="E17" s="71">
        <f>(1 * HFB.FD4.CI)</f>
        <v>45.000000417205491</v>
      </c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>
        <v>1</v>
      </c>
      <c r="W17" s="71"/>
      <c r="X17" s="71"/>
      <c r="Y17" s="71"/>
      <c r="Z17" s="71"/>
      <c r="AA17" s="71"/>
      <c r="AB17" s="71"/>
      <c r="AC17" s="71"/>
    </row>
    <row r="18" spans="1:29" x14ac:dyDescent="0.2">
      <c r="A18" s="71"/>
      <c r="B18" s="71" t="s">
        <v>1497</v>
      </c>
      <c r="C18" s="71"/>
      <c r="D18" s="71"/>
      <c r="E18" s="71">
        <f>(1 * HFB.FD4.SG)</f>
        <v>0.79911882830025649</v>
      </c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>
        <v>1</v>
      </c>
      <c r="X18" s="71"/>
      <c r="Y18" s="71"/>
      <c r="Z18" s="71"/>
      <c r="AA18" s="71"/>
      <c r="AB18" s="71"/>
      <c r="AC18" s="71"/>
    </row>
    <row r="19" spans="1:29" x14ac:dyDescent="0.2">
      <c r="A19" s="71"/>
      <c r="B19" s="71" t="s">
        <v>1501</v>
      </c>
      <c r="C19" s="71"/>
      <c r="D19" s="71"/>
      <c r="E19" s="71">
        <f>(1 * HFB.FD4.SUL)</f>
        <v>10000.000005201506</v>
      </c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>
        <v>1</v>
      </c>
      <c r="Y19" s="71"/>
      <c r="Z19" s="71"/>
      <c r="AA19" s="71"/>
      <c r="AB19" s="71"/>
      <c r="AC19" s="71"/>
    </row>
    <row r="20" spans="1:29" x14ac:dyDescent="0.2">
      <c r="A20" s="71"/>
      <c r="B20" s="71" t="s">
        <v>1498</v>
      </c>
      <c r="C20" s="71"/>
      <c r="D20" s="71"/>
      <c r="E20" s="71">
        <f>(1 * HFB.FD4.T05)</f>
        <v>571.99999947174274</v>
      </c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>
        <v>1</v>
      </c>
      <c r="Z20" s="71"/>
      <c r="AA20" s="71"/>
      <c r="AB20" s="71"/>
      <c r="AC20" s="71"/>
    </row>
    <row r="21" spans="1:29" x14ac:dyDescent="0.2">
      <c r="A21" s="71"/>
      <c r="B21" s="71" t="s">
        <v>1499</v>
      </c>
      <c r="C21" s="71"/>
      <c r="D21" s="71"/>
      <c r="E21" s="71">
        <f>(1 * HFB.FD4.T95)</f>
        <v>679.99999908533357</v>
      </c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>
        <v>1</v>
      </c>
      <c r="AA21" s="71"/>
      <c r="AB21" s="71"/>
      <c r="AC21" s="71"/>
    </row>
    <row r="22" spans="1:29" x14ac:dyDescent="0.2">
      <c r="A22" s="71"/>
      <c r="B22" s="71" t="s">
        <v>1500</v>
      </c>
      <c r="C22" s="71"/>
      <c r="D22" s="71"/>
      <c r="E22" s="71">
        <f>(1 * HFB.FD4.TCL)</f>
        <v>31.999999718462142</v>
      </c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>
        <v>1</v>
      </c>
      <c r="AB22" s="71"/>
      <c r="AC22" s="71"/>
    </row>
    <row r="23" spans="1:29" x14ac:dyDescent="0.2">
      <c r="A23" s="71"/>
      <c r="B23" s="71" t="s">
        <v>1502</v>
      </c>
      <c r="C23" s="71"/>
      <c r="D23" s="71"/>
      <c r="E23" s="71">
        <f>(1 * HFB.FD4.TFL)</f>
        <v>161.59999793764459</v>
      </c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>
        <v>1</v>
      </c>
      <c r="AC23" s="71"/>
    </row>
  </sheetData>
  <sheetProtection algorithmName="SHA-512" hashValue="LbqSygxafbPD01ttDiTwq6eHbvCHLrA7LaL5/Ksj3NOCiI+xIIzqFAcOvLbFfOx5kKNNrk5xnePgXoUDyCojog==" saltValue="DXBUhF+z6vgGqYr6hCdf/w==" spinCount="100000" sheet="1" objects="1" scenarios="1"/>
  <pageMargins left="0.75" right="0.75" top="1" bottom="1" header="0.5" footer="0.5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8"/>
  <dimension ref="A1:BF22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8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1"/>
      <c r="BA1" s="71"/>
      <c r="BB1" s="71"/>
      <c r="BC1" s="71"/>
      <c r="BD1" s="71"/>
      <c r="BE1" s="71"/>
      <c r="BF1" s="71"/>
    </row>
    <row r="2" spans="1:58" customFormat="1" x14ac:dyDescent="0.2">
      <c r="A2" s="71"/>
      <c r="B2" s="71"/>
      <c r="C2" s="71"/>
      <c r="D2" s="71"/>
      <c r="E2" s="71" t="s">
        <v>7</v>
      </c>
      <c r="F2" s="71" t="s">
        <v>571</v>
      </c>
      <c r="G2" s="71" t="s">
        <v>578</v>
      </c>
      <c r="H2" s="71" t="s">
        <v>584</v>
      </c>
      <c r="I2" s="71" t="s">
        <v>1514</v>
      </c>
      <c r="J2" s="71" t="s">
        <v>662</v>
      </c>
      <c r="K2" s="71" t="s">
        <v>663</v>
      </c>
      <c r="L2" s="71" t="s">
        <v>664</v>
      </c>
      <c r="M2" s="71" t="s">
        <v>665</v>
      </c>
      <c r="N2" s="71" t="s">
        <v>1512</v>
      </c>
      <c r="O2" s="71" t="s">
        <v>667</v>
      </c>
      <c r="P2" s="71" t="s">
        <v>572</v>
      </c>
      <c r="Q2" s="71" t="s">
        <v>579</v>
      </c>
      <c r="R2" s="71" t="s">
        <v>585</v>
      </c>
      <c r="S2" s="71" t="s">
        <v>1515</v>
      </c>
      <c r="T2" s="71" t="s">
        <v>668</v>
      </c>
      <c r="U2" s="71" t="s">
        <v>652</v>
      </c>
      <c r="V2" s="71" t="s">
        <v>653</v>
      </c>
      <c r="W2" s="71" t="s">
        <v>1524</v>
      </c>
      <c r="X2" s="71" t="s">
        <v>683</v>
      </c>
      <c r="Y2" s="71" t="s">
        <v>637</v>
      </c>
      <c r="Z2" s="71" t="s">
        <v>638</v>
      </c>
      <c r="AA2" s="71" t="s">
        <v>639</v>
      </c>
      <c r="AB2" s="71" t="s">
        <v>1765</v>
      </c>
      <c r="AC2" s="71" t="s">
        <v>640</v>
      </c>
      <c r="AD2" s="71" t="s">
        <v>641</v>
      </c>
      <c r="AE2" s="71" t="s">
        <v>642</v>
      </c>
      <c r="AF2" s="71" t="s">
        <v>1766</v>
      </c>
      <c r="AG2" s="71" t="s">
        <v>1525</v>
      </c>
      <c r="AH2" s="71" t="s">
        <v>1526</v>
      </c>
      <c r="AI2" s="71" t="s">
        <v>1527</v>
      </c>
      <c r="AJ2" s="71" t="s">
        <v>1769</v>
      </c>
      <c r="AK2" s="71" t="s">
        <v>684</v>
      </c>
      <c r="AL2" s="71" t="s">
        <v>685</v>
      </c>
      <c r="AM2" s="71" t="s">
        <v>686</v>
      </c>
      <c r="AN2" s="71" t="s">
        <v>1770</v>
      </c>
      <c r="AO2" s="71" t="s">
        <v>644</v>
      </c>
      <c r="AP2" s="71" t="s">
        <v>577</v>
      </c>
      <c r="AQ2" s="71" t="s">
        <v>583</v>
      </c>
      <c r="AR2" s="71" t="s">
        <v>1513</v>
      </c>
      <c r="AS2" s="71" t="s">
        <v>666</v>
      </c>
      <c r="AT2" s="71" t="s">
        <v>574</v>
      </c>
      <c r="AU2" s="71" t="s">
        <v>581</v>
      </c>
      <c r="AV2" s="71" t="s">
        <v>587</v>
      </c>
      <c r="AW2" s="71" t="s">
        <v>1518</v>
      </c>
      <c r="AX2" s="71" t="s">
        <v>670</v>
      </c>
      <c r="AY2" s="71" t="s">
        <v>575</v>
      </c>
      <c r="AZ2" s="71" t="s">
        <v>582</v>
      </c>
      <c r="BA2" s="71" t="s">
        <v>588</v>
      </c>
      <c r="BB2" s="71" t="s">
        <v>1519</v>
      </c>
      <c r="BC2" s="71" t="s">
        <v>671</v>
      </c>
      <c r="BD2" s="71" t="s">
        <v>1516</v>
      </c>
      <c r="BE2" s="71" t="s">
        <v>1517</v>
      </c>
      <c r="BF2" s="71" t="s">
        <v>669</v>
      </c>
    </row>
    <row r="3" spans="1:58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</row>
    <row r="4" spans="1:58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</row>
    <row r="5" spans="1:58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CDU1_.SC1_.SG</f>
        <v>0.78687581313163468</v>
      </c>
      <c r="G5" s="71">
        <f>CDU1_.SC2_.SG</f>
        <v>0.83890188080922612</v>
      </c>
      <c r="H5" s="71">
        <f>CDU1_.SC3_.SG</f>
        <v>0.88515606924740575</v>
      </c>
      <c r="I5" s="71">
        <f>HFB.FD4.SG</f>
        <v>0.79911882830025649</v>
      </c>
      <c r="J5" s="71">
        <f>HFB.PROD.FLOW</f>
        <v>56.003414836948608</v>
      </c>
      <c r="K5" s="71">
        <f>HFB.FD1.FLOW</f>
        <v>8.0035591446908754</v>
      </c>
      <c r="L5" s="71">
        <f>HFB.FD2.FLOW</f>
        <v>16.000233683146245</v>
      </c>
      <c r="M5" s="71">
        <f>HFB.FD3.FLOW</f>
        <v>15.99969795276707</v>
      </c>
      <c r="N5" s="71">
        <f>HFB.FD4.FLOW</f>
        <v>15.999967698905174</v>
      </c>
      <c r="O5" s="71">
        <f>HFB.PROD.SG</f>
        <v>0.83331594270501674</v>
      </c>
      <c r="P5" s="71">
        <f>CDU1_.SC1_.SUL</f>
        <v>2448.5337861112757</v>
      </c>
      <c r="Q5" s="71">
        <f>CDU1_.SC2_.SUL</f>
        <v>4000.3444904189337</v>
      </c>
      <c r="R5" s="71">
        <f>CDU1_.SC3_.SUL</f>
        <v>5555.2328747859747</v>
      </c>
      <c r="S5" s="71">
        <f>HFB.FD4.SUL</f>
        <v>10000.000005201506</v>
      </c>
      <c r="T5" s="71">
        <f>HFB.PROD.SUL</f>
        <v>5906.5222525248519</v>
      </c>
      <c r="U5" s="71">
        <f>CDU1_.SC2_.VAR1</f>
        <v>1999.2896447774383</v>
      </c>
      <c r="V5" s="71">
        <f>CDU1_.SC3_.VAR1</f>
        <v>5555.1915274057856</v>
      </c>
      <c r="W5" s="71">
        <f>HFB.FD4.VAR1</f>
        <v>9999.9999555453578</v>
      </c>
      <c r="X5" s="71">
        <f>HFB.PROD.VAR1</f>
        <v>5000.5502170653417</v>
      </c>
      <c r="Y5" s="71">
        <f>CDU1_.SC2_.EVAP1</f>
        <v>50.022062964494189</v>
      </c>
      <c r="Z5" s="71">
        <f>CDU1_.SC2_.EVAP2</f>
        <v>90.005194140529923</v>
      </c>
      <c r="AA5" s="71">
        <f>CDU1_.SC2_.EVAP3</f>
        <v>100.00000125411314</v>
      </c>
      <c r="AB5" s="71">
        <f>CDU1_.SC2_.EVAP4</f>
        <v>99.999999955051038</v>
      </c>
      <c r="AC5" s="71">
        <f>CDU1_.SC3_.EVAP1</f>
        <v>7.4405576238017459E-4</v>
      </c>
      <c r="AD5" s="71">
        <f>CDU1_.SC3_.EVAP2</f>
        <v>1.479916125936105E-6</v>
      </c>
      <c r="AE5" s="71">
        <f>CDU1_.SC3_.EVAP3</f>
        <v>76.679360734422431</v>
      </c>
      <c r="AF5" s="71">
        <f>CDU1_.SC3_.EVAP4</f>
        <v>100.00000171626303</v>
      </c>
      <c r="AG5" s="71">
        <f>HFB.FD4.EVAP1</f>
        <v>4.9678841386194608E-7</v>
      </c>
      <c r="AH5" s="71">
        <f>HFB.FD4.EVAP2</f>
        <v>66.666668874843523</v>
      </c>
      <c r="AI5" s="71">
        <f>HFB.FD4.EVAP3</f>
        <v>100.00000542877765</v>
      </c>
      <c r="AJ5" s="71">
        <f>HFB.FD4.EVAP4</f>
        <v>100.00000170762857</v>
      </c>
      <c r="AK5" s="71">
        <f>HFB.PROD.EVAP1</f>
        <v>28.58276640168453</v>
      </c>
      <c r="AL5" s="71">
        <f>HFB.PROD.EVAP2</f>
        <v>59.052195931401414</v>
      </c>
      <c r="AM5" s="71">
        <f>HFB.PROD.EVAP3</f>
        <v>93.337572112724359</v>
      </c>
      <c r="AN5" s="71">
        <f>HFB.PROD.EVAP4</f>
        <v>100.00007889564095</v>
      </c>
      <c r="AO5" s="71">
        <f>CDU1_.SC1_.CI</f>
        <v>50.47204447563751</v>
      </c>
      <c r="AP5" s="71">
        <f>CDU1_.SC2_.CI</f>
        <v>56.542030832912552</v>
      </c>
      <c r="AQ5" s="71">
        <f>CDU1_.SC3_.CI</f>
        <v>43.697013528744932</v>
      </c>
      <c r="AR5" s="71">
        <f>HFB.FD4.CI</f>
        <v>45.000000417205491</v>
      </c>
      <c r="AS5" s="71">
        <f>HFB.PROD.CI</f>
        <v>48.707373976246025</v>
      </c>
      <c r="AT5" s="71">
        <f>CDU1_.SC1_.TCL</f>
        <v>-60.374325444521361</v>
      </c>
      <c r="AU5" s="71">
        <f>CDU1_.SC2_.TCL</f>
        <v>4.9991767357895505</v>
      </c>
      <c r="AV5" s="71">
        <f>CDU1_.SC3_.TCL</f>
        <v>70.373179121805592</v>
      </c>
      <c r="AW5" s="71">
        <f>HFB.FD4.TCL</f>
        <v>31.999999718462142</v>
      </c>
      <c r="AX5" s="71">
        <f>HFB.PROD.TCL</f>
        <v>46.417472948368165</v>
      </c>
      <c r="AY5" s="71">
        <f>CDU1_.SC1_.TFL</f>
        <v>107.76190101259661</v>
      </c>
      <c r="AZ5" s="71">
        <f>CDU1_.SC2_.TFL</f>
        <v>217.91980074046342</v>
      </c>
      <c r="BA5" s="71">
        <f>CDU1_.SC3_.TFL</f>
        <v>323.62968758858381</v>
      </c>
      <c r="BB5" s="71">
        <f>HFB.FD4.TFL</f>
        <v>161.59999793764459</v>
      </c>
      <c r="BC5" s="71">
        <f>HFB.PROD.TFL</f>
        <v>151.5331194774931</v>
      </c>
      <c r="BD5" s="71">
        <f>HFB.FD4.T05</f>
        <v>571.99999947174274</v>
      </c>
      <c r="BE5" s="71">
        <f>HFB.FD4.T95</f>
        <v>679.99999908533357</v>
      </c>
      <c r="BF5" s="71">
        <f>HFB.PROD.T95</f>
        <v>814.97119009252447</v>
      </c>
    </row>
    <row r="6" spans="1:58" x14ac:dyDescent="0.2">
      <c r="A6" s="71"/>
      <c r="B6" s="71" t="s">
        <v>672</v>
      </c>
      <c r="C6" s="71"/>
      <c r="D6" s="71"/>
      <c r="E6" s="71">
        <f>(IF(AND(-0.5&lt;CDU1_.RUNNING,CDU1_.RUNNING&lt;0.5),0,1)*HFB.FD1.FLOW*CDU1_.SC1_.SG)+(IF(AND(-0.5&lt;CDU1_.RUNNING,CDU1_.RUNNING&lt;0.5),0,1)*HFB.FD2.FLOW*CDU1_.SC2_.SG)+(IF(AND(-0.5&lt;CDU1_.RUNNING,CDU1_.RUNNING&lt;0.5),0,1)*HFB.FD3.FLOW*CDU1_.SC3_.SG)+(HFB.FD4.FLOW*HFB.FD4.SG)-(HFB.PROD.FLOW*HFB.PROD.SG)</f>
        <v>-3.9555914099764777E-11</v>
      </c>
      <c r="F6" s="71">
        <f>IF(AND(-0.5&lt;CDU1_.RUNNING,CDU1_.RUNNING&lt;0.5),0,1)*HFB.FD1.FLOW</f>
        <v>8.0035591446908754</v>
      </c>
      <c r="G6" s="71">
        <f>IF(AND(-0.5&lt;CDU1_.RUNNING,CDU1_.RUNNING&lt;0.5),0,1)*HFB.FD2.FLOW</f>
        <v>16.000233683146245</v>
      </c>
      <c r="H6" s="71">
        <f>IF(AND(-0.5&lt;CDU1_.RUNNING,CDU1_.RUNNING&lt;0.5),0,1)*HFB.FD3.FLOW</f>
        <v>15.99969795276707</v>
      </c>
      <c r="I6" s="71">
        <f>HFB.FD4.FLOW</f>
        <v>15.999967698905174</v>
      </c>
      <c r="J6" s="71">
        <f>-HFB.PROD.SG</f>
        <v>-0.83331594270501674</v>
      </c>
      <c r="K6" s="71">
        <f>IF(AND(-0.5&lt;CDU1_.RUNNING,CDU1_.RUNNING&lt;0.5),0,1)*CDU1_.SC1_.SG</f>
        <v>0.78687581313163468</v>
      </c>
      <c r="L6" s="71">
        <f>IF(AND(-0.5&lt;CDU1_.RUNNING,CDU1_.RUNNING&lt;0.5),0,1)*CDU1_.SC2_.SG</f>
        <v>0.83890188080922612</v>
      </c>
      <c r="M6" s="71">
        <f>IF(AND(-0.5&lt;CDU1_.RUNNING,CDU1_.RUNNING&lt;0.5),0,1)*CDU1_.SC3_.SG</f>
        <v>0.88515606924740575</v>
      </c>
      <c r="N6" s="71">
        <f>HFB.FD4.SG</f>
        <v>0.79911882830025649</v>
      </c>
      <c r="O6" s="71">
        <f>-HFB.PROD.FLOW</f>
        <v>-56.003414836948608</v>
      </c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</row>
    <row r="7" spans="1:58" x14ac:dyDescent="0.2">
      <c r="A7" s="71"/>
      <c r="B7" s="71" t="s">
        <v>673</v>
      </c>
      <c r="C7" s="71"/>
      <c r="D7" s="71"/>
      <c r="E7" s="71">
        <f>(IF(AND(-0.5&lt;CDU1_.RUNNING,CDU1_.RUNNING&lt;0.5),0,1)*CDU1_.SC1_.SG*HFB.FD1.FLOW*CDU1_.SC1_.SUL)+(IF(AND(-0.5&lt;CDU1_.RUNNING,CDU1_.RUNNING&lt;0.5),0,1)*CDU1_.SC2_.SG*HFB.FD2.FLOW*CDU1_.SC2_.SUL)+(IF(AND(-0.5&lt;CDU1_.RUNNING,CDU1_.RUNNING&lt;0.5),0,1)*CDU1_.SC3_.SG*HFB.FD3.FLOW*CDU1_.SC3_.SUL)+(HFB.FD4.SG*HFB.FD4.FLOW*HFB.FD4.SUL)-(HFB.PROD.SG*HFB.PROD.FLOW*HFB.PROD.SUL)</f>
        <v>-6.5402127802371979E-7</v>
      </c>
      <c r="F7" s="71">
        <f>IF(AND(-0.5&lt;CDU1_.RUNNING,CDU1_.RUNNING&lt;0.5),0,1)*CDU1_.SC1_.SUL*HFB.FD1.FLOW</f>
        <v>19596.984974915471</v>
      </c>
      <c r="G7" s="71">
        <f>IF(AND(-0.5&lt;CDU1_.RUNNING,CDU1_.RUNNING&lt;0.5),0,1)*CDU1_.SC2_.SUL*HFB.FD2.FLOW</f>
        <v>64006.446659789523</v>
      </c>
      <c r="H7" s="71">
        <f>IF(AND(-0.5&lt;CDU1_.RUNNING,CDU1_.RUNNING&lt;0.5),0,1)*CDU1_.SC3_.SUL*HFB.FD3.FLOW</f>
        <v>88882.048053857477</v>
      </c>
      <c r="I7" s="71">
        <f>HFB.FD4.SUL*HFB.FD4.FLOW</f>
        <v>159999.67707227566</v>
      </c>
      <c r="J7" s="71">
        <f>-HFB.PROD.SG*HFB.PROD.SUL</f>
        <v>-4921.9991589709061</v>
      </c>
      <c r="K7" s="71">
        <f>IF(AND(-0.5&lt;CDU1_.RUNNING,CDU1_.RUNNING&lt;0.5),0,1)*CDU1_.SC1_.SUL*CDU1_.SC1_.SG</f>
        <v>1926.6920139265901</v>
      </c>
      <c r="L7" s="71">
        <f>IF(AND(-0.5&lt;CDU1_.RUNNING,CDU1_.RUNNING&lt;0.5),0,1)*CDU1_.SC2_.SUL*CDU1_.SC2_.SG</f>
        <v>3355.8965168972686</v>
      </c>
      <c r="M7" s="71">
        <f>IF(AND(-0.5&lt;CDU1_.RUNNING,CDU1_.RUNNING&lt;0.5),0,1)*CDU1_.SC3_.SUL*CDU1_.SC3_.SG</f>
        <v>4917.2480951995194</v>
      </c>
      <c r="N7" s="71">
        <f>HFB.FD4.SUL*HFB.FD4.SG</f>
        <v>7991.1882871591861</v>
      </c>
      <c r="O7" s="71">
        <f>-HFB.PROD.FLOW*HFB.PROD.SUL</f>
        <v>-330785.41595181741</v>
      </c>
      <c r="P7" s="71">
        <f>IF(AND(-0.5&lt;CDU1_.RUNNING,CDU1_.RUNNING&lt;0.5),0,1)*CDU1_.SC1_.SG*HFB.FD1.FLOW</f>
        <v>6.2978071099257633</v>
      </c>
      <c r="Q7" s="71">
        <f>IF(AND(-0.5&lt;CDU1_.RUNNING,CDU1_.RUNNING&lt;0.5),0,1)*CDU1_.SC2_.SG*HFB.FD2.FLOW</f>
        <v>13.422626130178516</v>
      </c>
      <c r="R7" s="71">
        <f>IF(AND(-0.5&lt;CDU1_.RUNNING,CDU1_.RUNNING&lt;0.5),0,1)*CDU1_.SC3_.SG*HFB.FD3.FLOW</f>
        <v>14.162229749017065</v>
      </c>
      <c r="S7" s="71">
        <f>HFB.FD4.SG*HFB.FD4.FLOW</f>
        <v>12.785875440391054</v>
      </c>
      <c r="T7" s="71">
        <f>-HFB.PROD.FLOW*HFB.PROD.SG</f>
        <v>-46.668538429551951</v>
      </c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</row>
    <row r="8" spans="1:58" x14ac:dyDescent="0.2">
      <c r="A8" s="71"/>
      <c r="B8" s="71" t="s">
        <v>674</v>
      </c>
      <c r="C8" s="71"/>
      <c r="D8" s="71"/>
      <c r="E8" s="71">
        <f>(IF(AND(-0.5&lt;CDU1_.RUNNING,CDU1_.RUNNING&lt;0.5),0,1)*CDU1_.SC1_.SG*HFB.FD1.FLOW*0)+(IF(AND(-0.5&lt;CDU1_.RUNNING,CDU1_.RUNNING&lt;0.5),0,1)*CDU1_.SC2_.SG*HFB.FD2.FLOW*CDU1_.SC2_.VAR1)+(IF(AND(-0.5&lt;CDU1_.RUNNING,CDU1_.RUNNING&lt;0.5),0,1)*CDU1_.SC3_.SG*HFB.FD3.FLOW*CDU1_.SC3_.VAR1)+(HFB.FD4.SG*HFB.FD4.FLOW*HFB.FD4.VAR1)-(HFB.PROD.SG*HFB.PROD.FLOW*HFB.PROD.VAR1)</f>
        <v>1.9950675778090954E-7</v>
      </c>
      <c r="F8" s="71"/>
      <c r="G8" s="71">
        <f>IF(AND(-0.5&lt;CDU1_.RUNNING,CDU1_.RUNNING&lt;0.5),0,1)*CDU1_.SC2_.VAR1*HFB.FD2.FLOW</f>
        <v>31989.101516733459</v>
      </c>
      <c r="H8" s="71">
        <f>IF(AND(-0.5&lt;CDU1_.RUNNING,CDU1_.RUNNING&lt;0.5),0,1)*CDU1_.SC3_.VAR1*HFB.FD3.FLOW</f>
        <v>88881.386508263313</v>
      </c>
      <c r="I8" s="71">
        <f>HFB.FD4.VAR1*HFB.FD4.FLOW</f>
        <v>159999.6762777789</v>
      </c>
      <c r="J8" s="71">
        <f>-HFB.PROD.SG*HFB.PROD.VAR1</f>
        <v>-4167.0382181775813</v>
      </c>
      <c r="K8" s="71"/>
      <c r="L8" s="71">
        <f>IF(AND(-0.5&lt;CDU1_.RUNNING,CDU1_.RUNNING&lt;0.5),0,1)*CDU1_.SC2_.VAR1*CDU1_.SC2_.SG</f>
        <v>1677.2078432862027</v>
      </c>
      <c r="M8" s="71">
        <f>IF(AND(-0.5&lt;CDU1_.RUNNING,CDU1_.RUNNING&lt;0.5),0,1)*CDU1_.SC3_.VAR1*CDU1_.SC3_.SG</f>
        <v>4917.211496314997</v>
      </c>
      <c r="N8" s="71">
        <f>HFB.FD4.VAR1*HFB.FD4.SG</f>
        <v>7991.1882474780232</v>
      </c>
      <c r="O8" s="71">
        <f>-HFB.PROD.FLOW*HFB.PROD.VAR1</f>
        <v>-280047.88821930374</v>
      </c>
      <c r="P8" s="71"/>
      <c r="Q8" s="71"/>
      <c r="R8" s="71"/>
      <c r="S8" s="71"/>
      <c r="T8" s="71"/>
      <c r="U8" s="71">
        <f>IF(AND(-0.5&lt;CDU1_.RUNNING,CDU1_.RUNNING&lt;0.5),0,1)*CDU1_.SC2_.SG*HFB.FD2.FLOW</f>
        <v>13.422626130178516</v>
      </c>
      <c r="V8" s="71">
        <f>IF(AND(-0.5&lt;CDU1_.RUNNING,CDU1_.RUNNING&lt;0.5),0,1)*CDU1_.SC3_.SG*HFB.FD3.FLOW</f>
        <v>14.162229749017065</v>
      </c>
      <c r="W8" s="71">
        <f>HFB.FD4.SG*HFB.FD4.FLOW</f>
        <v>12.785875440391054</v>
      </c>
      <c r="X8" s="71">
        <f>-HFB.PROD.FLOW*HFB.PROD.SG</f>
        <v>-46.668538429551951</v>
      </c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</row>
    <row r="9" spans="1:58" x14ac:dyDescent="0.2">
      <c r="A9" s="71"/>
      <c r="B9" s="71" t="s">
        <v>675</v>
      </c>
      <c r="C9" s="71"/>
      <c r="D9" s="71"/>
      <c r="E9" s="71">
        <f>(IF(AND(-0.5&lt;CDU1_.RUNNING,CDU1_.RUNNING&lt;0.5),0,1)*HFB.FD1.FLOW*100)+(IF(AND(-0.5&lt;CDU1_.RUNNING,CDU1_.RUNNING&lt;0.5),0,1)*HFB.FD2.FLOW*CDU1_.SC2_.EVAP1)+(IF(AND(-0.5&lt;CDU1_.RUNNING,CDU1_.RUNNING&lt;0.5),0,1)*HFB.FD3.FLOW*CDU1_.SC3_.EVAP1)+(HFB.FD4.FLOW*HFB.FD4.EVAP1)-(HFB.PROD.FLOW*HFB.PROD.EVAP1)</f>
        <v>-1.5102909856068436E-7</v>
      </c>
      <c r="F9" s="71"/>
      <c r="G9" s="71"/>
      <c r="H9" s="71"/>
      <c r="I9" s="71"/>
      <c r="J9" s="71">
        <f>-HFB.PROD.EVAP1</f>
        <v>-28.58276640168453</v>
      </c>
      <c r="K9" s="71">
        <f>IF(AND(-0.5&lt;CDU1_.RUNNING,CDU1_.RUNNING&lt;0.5),0,1)*100</f>
        <v>100</v>
      </c>
      <c r="L9" s="71">
        <f>IF(AND(-0.5&lt;CDU1_.RUNNING,CDU1_.RUNNING&lt;0.5),0,1)*CDU1_.SC2_.EVAP1</f>
        <v>50.022062964494189</v>
      </c>
      <c r="M9" s="71">
        <f>IF(AND(-0.5&lt;CDU1_.RUNNING,CDU1_.RUNNING&lt;0.5),0,1)*CDU1_.SC3_.EVAP1</f>
        <v>7.4405576238017459E-4</v>
      </c>
      <c r="N9" s="71">
        <f>HFB.FD4.EVAP1</f>
        <v>4.9678841386194608E-7</v>
      </c>
      <c r="O9" s="71"/>
      <c r="P9" s="71"/>
      <c r="Q9" s="71"/>
      <c r="R9" s="71"/>
      <c r="S9" s="71"/>
      <c r="T9" s="71"/>
      <c r="U9" s="71"/>
      <c r="V9" s="71"/>
      <c r="W9" s="71"/>
      <c r="X9" s="71"/>
      <c r="Y9" s="71">
        <f>IF(AND(-0.5&lt;CDU1_.RUNNING,CDU1_.RUNNING&lt;0.5),0,1)*HFB.FD2.FLOW</f>
        <v>16.000233683146245</v>
      </c>
      <c r="Z9" s="71"/>
      <c r="AA9" s="71"/>
      <c r="AB9" s="71"/>
      <c r="AC9" s="71">
        <f>IF(AND(-0.5&lt;CDU1_.RUNNING,CDU1_.RUNNING&lt;0.5),0,1)*HFB.FD3.FLOW</f>
        <v>15.99969795276707</v>
      </c>
      <c r="AD9" s="71"/>
      <c r="AE9" s="71"/>
      <c r="AF9" s="71"/>
      <c r="AG9" s="71">
        <f>HFB.FD4.FLOW</f>
        <v>15.999967698905174</v>
      </c>
      <c r="AH9" s="71"/>
      <c r="AI9" s="71"/>
      <c r="AJ9" s="71"/>
      <c r="AK9" s="71">
        <f>-HFB.PROD.FLOW</f>
        <v>-56.003414836948608</v>
      </c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</row>
    <row r="10" spans="1:58" x14ac:dyDescent="0.2">
      <c r="A10" s="71"/>
      <c r="B10" s="71" t="s">
        <v>676</v>
      </c>
      <c r="C10" s="71"/>
      <c r="D10" s="71"/>
      <c r="E10" s="71">
        <f>(IF(AND(-0.5&lt;CDU1_.RUNNING,CDU1_.RUNNING&lt;0.5),0,1)*HFB.FD1.FLOW*100)+(IF(AND(-0.5&lt;CDU1_.RUNNING,CDU1_.RUNNING&lt;0.5),0,1)*HFB.FD2.FLOW*CDU1_.SC2_.EVAP2)+(IF(AND(-0.5&lt;CDU1_.RUNNING,CDU1_.RUNNING&lt;0.5),0,1)*HFB.FD3.FLOW*CDU1_.SC3_.EVAP2)+(HFB.FD4.FLOW*HFB.FD4.EVAP2)-(HFB.PROD.FLOW*HFB.PROD.EVAP2)</f>
        <v>-9.5216364570660517E-8</v>
      </c>
      <c r="F10" s="71"/>
      <c r="G10" s="71"/>
      <c r="H10" s="71"/>
      <c r="I10" s="71"/>
      <c r="J10" s="71">
        <f>-HFB.PROD.EVAP2</f>
        <v>-59.052195931401414</v>
      </c>
      <c r="K10" s="71">
        <f>IF(AND(-0.5&lt;CDU1_.RUNNING,CDU1_.RUNNING&lt;0.5),0,1)*100</f>
        <v>100</v>
      </c>
      <c r="L10" s="71">
        <f>IF(AND(-0.5&lt;CDU1_.RUNNING,CDU1_.RUNNING&lt;0.5),0,1)*CDU1_.SC2_.EVAP2</f>
        <v>90.005194140529923</v>
      </c>
      <c r="M10" s="71">
        <f>IF(AND(-0.5&lt;CDU1_.RUNNING,CDU1_.RUNNING&lt;0.5),0,1)*CDU1_.SC3_.EVAP2</f>
        <v>1.479916125936105E-6</v>
      </c>
      <c r="N10" s="71">
        <f>HFB.FD4.EVAP2</f>
        <v>66.666668874843523</v>
      </c>
      <c r="O10" s="71"/>
      <c r="P10" s="71"/>
      <c r="Q10" s="71"/>
      <c r="R10" s="71"/>
      <c r="S10" s="71"/>
      <c r="T10" s="71"/>
      <c r="U10" s="71"/>
      <c r="V10" s="71"/>
      <c r="W10" s="71"/>
      <c r="X10" s="71"/>
      <c r="Y10" s="71"/>
      <c r="Z10" s="71">
        <f>IF(AND(-0.5&lt;CDU1_.RUNNING,CDU1_.RUNNING&lt;0.5),0,1)*HFB.FD2.FLOW</f>
        <v>16.000233683146245</v>
      </c>
      <c r="AA10" s="71"/>
      <c r="AB10" s="71"/>
      <c r="AC10" s="71"/>
      <c r="AD10" s="71">
        <f>IF(AND(-0.5&lt;CDU1_.RUNNING,CDU1_.RUNNING&lt;0.5),0,1)*HFB.FD3.FLOW</f>
        <v>15.99969795276707</v>
      </c>
      <c r="AE10" s="71"/>
      <c r="AF10" s="71"/>
      <c r="AG10" s="71"/>
      <c r="AH10" s="71">
        <f>HFB.FD4.FLOW</f>
        <v>15.999967698905174</v>
      </c>
      <c r="AI10" s="71"/>
      <c r="AJ10" s="71"/>
      <c r="AK10" s="71"/>
      <c r="AL10" s="71">
        <f>-HFB.PROD.FLOW</f>
        <v>-56.003414836948608</v>
      </c>
      <c r="AM10" s="71"/>
      <c r="AN10" s="71"/>
      <c r="AO10" s="71"/>
      <c r="AP10" s="71"/>
      <c r="AQ10" s="71"/>
      <c r="AR10" s="71"/>
      <c r="AS10" s="71"/>
      <c r="AT10" s="71"/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/>
    </row>
    <row r="11" spans="1:58" x14ac:dyDescent="0.2">
      <c r="A11" s="71"/>
      <c r="B11" s="71" t="s">
        <v>677</v>
      </c>
      <c r="C11" s="71"/>
      <c r="D11" s="71"/>
      <c r="E11" s="71">
        <f>(IF(AND(-0.5&lt;CDU1_.RUNNING,CDU1_.RUNNING&lt;0.5),0,1)*HFB.FD1.FLOW*100)+(IF(AND(-0.5&lt;CDU1_.RUNNING,CDU1_.RUNNING&lt;0.5),0,1)*HFB.FD2.FLOW*CDU1_.SC2_.EVAP3)+(IF(AND(-0.5&lt;CDU1_.RUNNING,CDU1_.RUNNING&lt;0.5),0,1)*HFB.FD3.FLOW*CDU1_.SC3_.EVAP3)+(HFB.FD4.FLOW*HFB.FD4.EVAP3)-(HFB.PROD.FLOW*HFB.PROD.EVAP3)</f>
        <v>-3.3988180803135037E-7</v>
      </c>
      <c r="F11" s="71"/>
      <c r="G11" s="71"/>
      <c r="H11" s="71"/>
      <c r="I11" s="71"/>
      <c r="J11" s="71">
        <f>-HFB.PROD.EVAP3</f>
        <v>-93.337572112724359</v>
      </c>
      <c r="K11" s="71">
        <f>IF(AND(-0.5&lt;CDU1_.RUNNING,CDU1_.RUNNING&lt;0.5),0,1)*100</f>
        <v>100</v>
      </c>
      <c r="L11" s="71">
        <f>IF(AND(-0.5&lt;CDU1_.RUNNING,CDU1_.RUNNING&lt;0.5),0,1)*CDU1_.SC2_.EVAP3</f>
        <v>100.00000125411314</v>
      </c>
      <c r="M11" s="71">
        <f>IF(AND(-0.5&lt;CDU1_.RUNNING,CDU1_.RUNNING&lt;0.5),0,1)*CDU1_.SC3_.EVAP3</f>
        <v>76.679360734422431</v>
      </c>
      <c r="N11" s="71">
        <f>HFB.FD4.EVAP3</f>
        <v>100.00000542877765</v>
      </c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/>
      <c r="AA11" s="71">
        <f>IF(AND(-0.5&lt;CDU1_.RUNNING,CDU1_.RUNNING&lt;0.5),0,1)*HFB.FD2.FLOW</f>
        <v>16.000233683146245</v>
      </c>
      <c r="AB11" s="71"/>
      <c r="AC11" s="71"/>
      <c r="AD11" s="71"/>
      <c r="AE11" s="71">
        <f>IF(AND(-0.5&lt;CDU1_.RUNNING,CDU1_.RUNNING&lt;0.5),0,1)*HFB.FD3.FLOW</f>
        <v>15.99969795276707</v>
      </c>
      <c r="AF11" s="71"/>
      <c r="AG11" s="71"/>
      <c r="AH11" s="71"/>
      <c r="AI11" s="71">
        <f>HFB.FD4.FLOW</f>
        <v>15.999967698905174</v>
      </c>
      <c r="AJ11" s="71"/>
      <c r="AK11" s="71"/>
      <c r="AL11" s="71"/>
      <c r="AM11" s="71">
        <f>-HFB.PROD.FLOW</f>
        <v>-56.003414836948608</v>
      </c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</row>
    <row r="12" spans="1:58" x14ac:dyDescent="0.2">
      <c r="A12" s="71"/>
      <c r="B12" s="71" t="s">
        <v>1767</v>
      </c>
      <c r="C12" s="71"/>
      <c r="D12" s="71"/>
      <c r="E12" s="71">
        <f>(IF(AND(-0.5&lt;CDU1_.RUNNING,CDU1_.RUNNING&lt;0.5),0,1)*HFB.FD1.FLOW*100)+(IF(AND(-0.5&lt;CDU1_.RUNNING,CDU1_.RUNNING&lt;0.5),0,1)*HFB.FD2.FLOW*CDU1_.SC2_.EVAP4)+(IF(AND(-0.5&lt;CDU1_.RUNNING,CDU1_.RUNNING&lt;0.5),0,1)*HFB.FD3.FLOW*CDU1_.SC3_.EVAP4)+(HFB.FD4.FLOW*HFB.FD4.EVAP4)-(HFB.PROD.FLOW*HFB.PROD.EVAP4)</f>
        <v>-1.0673556971596554E-7</v>
      </c>
      <c r="F12" s="71"/>
      <c r="G12" s="71"/>
      <c r="H12" s="71"/>
      <c r="I12" s="71"/>
      <c r="J12" s="71">
        <f>-HFB.PROD.EVAP4</f>
        <v>-100.00007889564095</v>
      </c>
      <c r="K12" s="71">
        <f>IF(AND(-0.5&lt;CDU1_.RUNNING,CDU1_.RUNNING&lt;0.5),0,1)*100</f>
        <v>100</v>
      </c>
      <c r="L12" s="71">
        <f>IF(AND(-0.5&lt;CDU1_.RUNNING,CDU1_.RUNNING&lt;0.5),0,1)*CDU1_.SC2_.EVAP4</f>
        <v>99.999999955051038</v>
      </c>
      <c r="M12" s="71">
        <f>IF(AND(-0.5&lt;CDU1_.RUNNING,CDU1_.RUNNING&lt;0.5),0,1)*CDU1_.SC3_.EVAP4</f>
        <v>100.00000171626303</v>
      </c>
      <c r="N12" s="71">
        <f>HFB.FD4.EVAP4</f>
        <v>100.00000170762857</v>
      </c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>
        <f>IF(AND(-0.5&lt;CDU1_.RUNNING,CDU1_.RUNNING&lt;0.5),0,1)*HFB.FD2.FLOW</f>
        <v>16.000233683146245</v>
      </c>
      <c r="AC12" s="71"/>
      <c r="AD12" s="71"/>
      <c r="AE12" s="71"/>
      <c r="AF12" s="71">
        <f>IF(AND(-0.5&lt;CDU1_.RUNNING,CDU1_.RUNNING&lt;0.5),0,1)*HFB.FD3.FLOW</f>
        <v>15.99969795276707</v>
      </c>
      <c r="AG12" s="71"/>
      <c r="AH12" s="71"/>
      <c r="AI12" s="71"/>
      <c r="AJ12" s="71">
        <f>HFB.FD4.FLOW</f>
        <v>15.999967698905174</v>
      </c>
      <c r="AK12" s="71"/>
      <c r="AL12" s="71"/>
      <c r="AM12" s="71"/>
      <c r="AN12" s="71">
        <f>-HFB.PROD.FLOW</f>
        <v>-56.003414836948608</v>
      </c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</row>
    <row r="13" spans="1:58" x14ac:dyDescent="0.2">
      <c r="A13" s="71"/>
      <c r="B13" s="71" t="s">
        <v>678</v>
      </c>
      <c r="C13" s="71"/>
      <c r="D13" s="71"/>
      <c r="E13" s="71" t="e">
        <f ca="1">[2]!DLL_MD_T95(PARAM!IUNITS,4,HFB.PROD.EVAP1,HFB.PROD.EVAP2,HFB.PROD.EVAP3,HFB.PROD.EVAP4,PARAM!DSL_EVAP_T1,PARAM!DSL_EVAP_T2,PARAM!DSL_EVAP_T3,PARAM!DSL_EVAP_T4)-HFB.PROD.T95</f>
        <v>#NAME?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/>
      <c r="AI13" s="71"/>
      <c r="AJ13" s="71"/>
      <c r="AK13" s="71" t="e">
        <f ca="1">[2]!DLL_MD_dT95dEvap(1,PARAM!IUNITS,4,HFB.PROD.EVAP1,HFB.PROD.EVAP2,HFB.PROD.EVAP3,HFB.PROD.EVAP4,PARAM!DSL_EVAP_T1,PARAM!DSL_EVAP_T2,PARAM!DSL_EVAP_T3,PARAM!DSL_EVAP_T4)</f>
        <v>#NAME?</v>
      </c>
      <c r="AL13" s="71" t="e">
        <f ca="1">[2]!DLL_MD_dT95dEvap(2,PARAM!IUNITS,4,HFB.PROD.EVAP1,HFB.PROD.EVAP2,HFB.PROD.EVAP3,HFB.PROD.EVAP4,PARAM!DSL_EVAP_T1,PARAM!DSL_EVAP_T2,PARAM!DSL_EVAP_T3,PARAM!DSL_EVAP_T4)</f>
        <v>#NAME?</v>
      </c>
      <c r="AM13" s="71" t="e">
        <f ca="1">[2]!DLL_MD_dT95dEvap(3,PARAM!IUNITS,4,HFB.PROD.EVAP1,HFB.PROD.EVAP2,HFB.PROD.EVAP3,HFB.PROD.EVAP4,PARAM!DSL_EVAP_T1,PARAM!DSL_EVAP_T2,PARAM!DSL_EVAP_T3,PARAM!DSL_EVAP_T4)</f>
        <v>#NAME?</v>
      </c>
      <c r="AN13" s="71" t="e">
        <f ca="1">[2]!DLL_MD_dT95dEvap(4,PARAM!IUNITS,4,HFB.PROD.EVAP1,HFB.PROD.EVAP2,HFB.PROD.EVAP3,HFB.PROD.EVAP4,PARAM!DSL_EVAP_T1,PARAM!DSL_EVAP_T2,PARAM!DSL_EVAP_T3,PARAM!DSL_EVAP_T4)</f>
        <v>#NAME?</v>
      </c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>
        <v>-1</v>
      </c>
    </row>
    <row r="14" spans="1:58" x14ac:dyDescent="0.2">
      <c r="A14" s="71"/>
      <c r="B14" s="71" t="s">
        <v>679</v>
      </c>
      <c r="C14" s="71"/>
      <c r="D14" s="71"/>
      <c r="E14" s="71" t="e">
        <f ca="1">LN(IF(0=(SUM(([2]!DLL_MD_CBN(CDU1_.SC1_.TCL,PARAM!CBN_BASE)*(IF(AND(-0.5&lt;CDU1_.RUNNING,CDU1_.RUNNING&lt;0.5),0,1)*HFB.FD1.FLOW)),([2]!DLL_MD_CBN(CDU1_.SC2_.TCL,PARAM!CBN_BASE)*(IF(AND(-0.5&lt;CDU1_.RUNNING,CDU1_.RUNNING&lt;0.5),0,1)*HFB.FD2.FLOW)),([2]!DLL_MD_CBN(CDU1_.SC3_.TCL,PARAM!CBN_BASE)*(IF(AND(-0.5&lt;CDU1_.RUNNING,CDU1_.RUNNING&lt;0.5),0,1)*HFB.FD3.FLOW)),([2]!DLL_MD_CBN(HFB.FD4.TCL,PARAM!CBN_BASE)*(HFB.FD4.FLOW)))/HFB.PROD.FLOW),l,SUM(([2]!DLL_MD_CBN(CDU1_.SC1_.TCL,PARAM!CBN_BASE)*(IF(AND(-0.5&lt;CDU1_.RUNNING,CDU1_.RUNNING&lt;0.5),0,1)*HFB.FD1.FLOW)),([2]!DLL_MD_CBN(CDU1_.SC2_.TCL,PARAM!CBN_BASE)*(IF(AND(-0.5&lt;CDU1_.RUNNING,CDU1_.RUNNING&lt;0.5),0,1)*HFB.FD2.FLOW)),([2]!DLL_MD_CBN(CDU1_.SC3_.TCL,PARAM!CBN_BASE)*(IF(AND(-0.5&lt;CDU1_.RUNNING,CDU1_.RUNNING&lt;0.5),0,1)*HFB.FD3.FLOW)),([2]!DLL_MD_CBN(HFB.FD4.TCL,PARAM!CBN_BASE)*(HFB.FD4.FLOW)))/HFB.PROD.FLOW))/LN(PARAM!CBN_BASE)-HFB.PROD.TCL</f>
        <v>#NAME?</v>
      </c>
      <c r="F14" s="71"/>
      <c r="G14" s="71"/>
      <c r="H14" s="71"/>
      <c r="I14" s="71"/>
      <c r="J14" s="71">
        <f>-1/(HFB.PROD.FLOW*LN(PARAM!CBN_BASE))</f>
        <v>-0.41762555107334093</v>
      </c>
      <c r="K14" s="71" t="e">
        <f ca="1">[2]!DLL_MD_dClouddCompFlow(CDU1_.SC1_.TCL,HFB.FD1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L14" s="71" t="e">
        <f ca="1">[2]!DLL_MD_dClouddCompFlow(CDU1_.SC2_.TCL,HFB.FD2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M14" s="71" t="e">
        <f ca="1">[2]!DLL_MD_dClouddCompFlow(CDU1_.SC3_.TCL,HFB.FD3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N14" s="71" t="e">
        <f ca="1">[2]!DLL_MD_dClouddCompFlow(HFB.FD4.TCL,HFB.FD4.FLOW,1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 t="e">
        <f ca="1">[2]!DLL_MD_dClouddCompCloud(CDU1_.SC1_.TCL,HFB.FD1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AU14" s="71" t="e">
        <f ca="1">[2]!DLL_MD_dClouddCompCloud(CDU1_.SC2_.TCL,HFB.FD2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AV14" s="71" t="e">
        <f ca="1">[2]!DLL_MD_dClouddCompCloud(CDU1_.SC3_.TCL,HFB.FD3.FLOW,IF(AND(-0.5&lt;CDU1_.RUNNING,CDU1_.RUNNING&lt;0.5),0,1)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AW14" s="71" t="e">
        <f ca="1">[2]!DLL_MD_dClouddCompCloud(HFB.FD4.TCL,HFB.FD4.FLOW,1,PARAM!CBN_BASE,4,CDU1_.SC1_.TCL,HFB.FD1.FLOW,IF(AND(-0.5&lt;CDU1_.RUNNING,CDU1_.RUNNING&lt;0.5),0,1),CDU1_.SC2_.TCL,HFB.FD2.FLOW,IF(AND(-0.5&lt;CDU1_.RUNNING,CDU1_.RUNNING&lt;0.5),0,1),CDU1_.SC3_.TCL,HFB.FD3.FLOW,IF(AND(-0.5&lt;CDU1_.RUNNING,CDU1_.RUNNING&lt;0.5),0,1),HFB.FD4.TCL,HFB.FD4.FLOW,1)</f>
        <v>#NAME?</v>
      </c>
      <c r="AX14" s="71">
        <f>-1</f>
        <v>-1</v>
      </c>
      <c r="AY14" s="71"/>
      <c r="AZ14" s="71"/>
      <c r="BA14" s="71"/>
      <c r="BB14" s="71"/>
      <c r="BC14" s="71"/>
      <c r="BD14" s="71"/>
      <c r="BE14" s="71"/>
      <c r="BF14" s="71"/>
    </row>
    <row r="15" spans="1:58" x14ac:dyDescent="0.2">
      <c r="A15" s="71"/>
      <c r="B15" s="71" t="s">
        <v>680</v>
      </c>
      <c r="C15" s="71"/>
      <c r="D15" s="71"/>
      <c r="E15" s="71" t="e">
        <f ca="1">(-(PARAM!FPI_A*PARAM!FPI_ALPHA)+PARAM!FPI_B-(PARAM!FPI_ALPHA*LN(IF(0=(SUM(([2]!DLL_MD_FPI(CDU1_.SC1_.TFL,PARAM!FPI_A,PARAM!FPI_B,PARAM!FPI_ALPHA)*(IF(AND(-0.5&lt;CDU1_.RUNNING,CDU1_.RUNNING&lt;0.5),0,1)*HFB.FD1.FLOW)),([2]!DLL_MD_FPI(CDU1_.SC2_.TFL,PARAM!FPI_A,PARAM!FPI_B,PARAM!FPI_ALPHA)*(IF(AND(-0.5&lt;CDU1_.RUNNING,CDU1_.RUNNING&lt;0.5),0,1)*HFB.FD2.FLOW)),([2]!DLL_MD_FPI(CDU1_.SC3_.TFL,PARAM!FPI_A,PARAM!FPI_B,PARAM!FPI_ALPHA)*(IF(AND(-0.5&lt;CDU1_.RUNNING,CDU1_.RUNNING&lt;0.5),0,1)*HFB.FD3.FLOW)),([2]!DLL_MD_FPI(HFB.FD4.TFL,PARAM!FPI_A,PARAM!FPI_B,PARAM!FPI_ALPHA)*(HFB.FD4.FLOW)))/HFB.PROD.FLOW),l,SUM(([2]!DLL_MD_FPI(CDU1_.SC1_.TFL,PARAM!FPI_A,PARAM!FPI_B,PARAM!FPI_ALPHA)*(IF(AND(-0.5&lt;CDU1_.RUNNING,CDU1_.RUNNING&lt;0.5),0,1)*HFB.FD1.FLOW)),([2]!DLL_MD_FPI(CDU1_.SC2_.TFL,PARAM!FPI_A,PARAM!FPI_B,PARAM!FPI_ALPHA)*(IF(AND(-0.5&lt;CDU1_.RUNNING,CDU1_.RUNNING&lt;0.5),0,1)*HFB.FD2.FLOW)),([2]!DLL_MD_FPI(CDU1_.SC3_.TFL,PARAM!FPI_A,PARAM!FPI_B,PARAM!FPI_ALPHA)*(IF(AND(-0.5&lt;CDU1_.RUNNING,CDU1_.RUNNING&lt;0.5),0,1)*HFB.FD3.FLOW)),([2]!DLL_MD_FPI(HFB.FD4.TFL,PARAM!FPI_A,PARAM!FPI_B,PARAM!FPI_ALPHA)*(HFB.FD4.FLOW)))/HFB.PROD.FLOW))))/(PARAM!FPI_A+LN(IF(0=(SUM(([2]!DLL_MD_FPI(CDU1_.SC1_.TFL,PARAM!FPI_A,PARAM!FPI_B,PARAM!FPI_ALPHA)*(IF(AND(-0.5&lt;CDU1_.RUNNING,CDU1_.RUNNING&lt;0.5),0,1)*HFB.FD1.FLOW)),([2]!DLL_MD_FPI(CDU1_.SC2_.TFL,PARAM!FPI_A,PARAM!FPI_B,PARAM!FPI_ALPHA)*(IF(AND(-0.5&lt;CDU1_.RUNNING,CDU1_.RUNNING&lt;0.5),0,1)*HFB.FD2.FLOW)),([2]!DLL_MD_FPI(CDU1_.SC3_.TFL,PARAM!FPI_A,PARAM!FPI_B,PARAM!FPI_ALPHA)*(IF(AND(-0.5&lt;CDU1_.RUNNING,CDU1_.RUNNING&lt;0.5),0,1)*HFB.FD3.FLOW)),([2]!DLL_MD_FPI(HFB.FD4.TFL,PARAM!FPI_A,PARAM!FPI_B,PARAM!FPI_ALPHA)*(HFB.FD4.FLOW)))/HFB.PROD.FLOW),l,SUM(([2]!DLL_MD_FPI(CDU1_.SC1_.TFL,PARAM!FPI_A,PARAM!FPI_B,PARAM!FPI_ALPHA)*(IF(AND(-0.5&lt;CDU1_.RUNNING,CDU1_.RUNNING&lt;0.5),0,1)*HFB.FD1.FLOW)),([2]!DLL_MD_FPI(CDU1_.SC2_.TFL,PARAM!FPI_A,PARAM!FPI_B,PARAM!FPI_ALPHA)*(IF(AND(-0.5&lt;CDU1_.RUNNING,CDU1_.RUNNING&lt;0.5),0,1)*HFB.FD2.FLOW)),([2]!DLL_MD_FPI(CDU1_.SC3_.TFL,PARAM!FPI_A,PARAM!FPI_B,PARAM!FPI_ALPHA)*(IF(AND(-0.5&lt;CDU1_.RUNNING,CDU1_.RUNNING&lt;0.5),0,1)*HFB.FD3.FLOW)),([2]!DLL_MD_FPI(HFB.FD4.TFL,PARAM!FPI_A,PARAM!FPI_B,PARAM!FPI_ALPHA)*(HFB.FD4.FLOW)))/HFB.PROD.FLOW)))-HFB.PROD.TFL</f>
        <v>#NAME?</v>
      </c>
      <c r="F15" s="71"/>
      <c r="G15" s="71"/>
      <c r="H15" s="71"/>
      <c r="I15" s="71"/>
      <c r="J15" s="71" t="e">
        <f ca="1">[2]!DLL_MD_dFlashdBlend(4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K15" s="71" t="e">
        <f ca="1">[2]!DLL_MD_dFlashdCompFlow(CDU1_.SC1_.TFL,HFB.FD1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L15" s="71" t="e">
        <f ca="1">[2]!DLL_MD_dFlashdCompFlow(CDU1_.SC2_.TFL,HFB.FD2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M15" s="71" t="e">
        <f ca="1">[2]!DLL_MD_dFlashdCompFlow(CDU1_.SC3_.TFL,HFB.FD3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N15" s="71" t="e">
        <f ca="1">[2]!DLL_MD_dFlashdCompFlow(HFB.FD4.TFL,HFB.FD4.FLOW,1,4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/>
      <c r="AU15" s="71"/>
      <c r="AV15" s="71"/>
      <c r="AW15" s="71"/>
      <c r="AX15" s="71"/>
      <c r="AY15" s="71" t="e">
        <f ca="1">[2]!DLL_MD_dFlashdCompFlash(CDU1_.SC1_.TFL,HFB.FD1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AZ15" s="71" t="e">
        <f ca="1">[2]!DLL_MD_dFlashdCompFlash(CDU1_.SC2_.TFL,HFB.FD2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BA15" s="71" t="e">
        <f ca="1">[2]!DLL_MD_dFlashdCompFlash(CDU1_.SC3_.TFL,HFB.FD3.FLOW,IF(AND(-0.5&lt;CDU1_.RUNNING,CDU1_.RUNNING&lt;0.5),0,1)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BB15" s="71" t="e">
        <f ca="1">[2]!DLL_MD_dFlashdCompFlash(HFB.FD4.TFL,HFB.FD4.FLOW,1,4,HFB.PROD.FLOW,PARAM!FPI_A,PARAM!FPI_B,PARAM!FPI_ALPHA,CDU1_.SC1_.TFL,HFB.FD1.FLOW,IF(AND(-0.5&lt;CDU1_.RUNNING,CDU1_.RUNNING&lt;0.5),0,1),CDU1_.SC2_.TFL,HFB.FD2.FLOW,IF(AND(-0.5&lt;CDU1_.RUNNING,CDU1_.RUNNING&lt;0.5),0,1),CDU1_.SC3_.TFL,HFB.FD3.FLOW,IF(AND(-0.5&lt;CDU1_.RUNNING,CDU1_.RUNNING&lt;0.5),0,1),HFB.FD4.TFL,HFB.FD4.FLOW,1)</f>
        <v>#NAME?</v>
      </c>
      <c r="BC15" s="71">
        <f>-1</f>
        <v>-1</v>
      </c>
      <c r="BD15" s="71"/>
      <c r="BE15" s="71"/>
      <c r="BF15" s="71"/>
    </row>
    <row r="16" spans="1:58" x14ac:dyDescent="0.2">
      <c r="A16" s="71"/>
      <c r="B16" s="71" t="s">
        <v>681</v>
      </c>
      <c r="C16" s="71"/>
      <c r="D16" s="71"/>
      <c r="E16" s="71">
        <f>(IF(AND(-0.5&lt;CDU1_.RUNNING,CDU1_.RUNNING&lt;0.5),0,1)*HFB.FD1.FLOW*CDU1_.SC1_.CI)+(IF(AND(-0.5&lt;CDU1_.RUNNING,CDU1_.RUNNING&lt;0.5),0,1)*HFB.FD2.FLOW*CDU1_.SC2_.CI)+(IF(AND(-0.5&lt;CDU1_.RUNNING,CDU1_.RUNNING&lt;0.5),0,1)*HFB.FD3.FLOW*CDU1_.SC3_.CI)+(HFB.FD4.FLOW*HFB.FD4.CI)-(HFB.PROD.FLOW*HFB.PROD.CI)</f>
        <v>-2.5704594008857384E-8</v>
      </c>
      <c r="F16" s="71"/>
      <c r="G16" s="71"/>
      <c r="H16" s="71"/>
      <c r="I16" s="71"/>
      <c r="J16" s="71">
        <f>-HFB.PROD.CI</f>
        <v>-48.707373976246025</v>
      </c>
      <c r="K16" s="71">
        <f>IF(AND(-0.5&lt;CDU1_.RUNNING,CDU1_.RUNNING&lt;0.5),0,1)*CDU1_.SC1_.CI</f>
        <v>50.47204447563751</v>
      </c>
      <c r="L16" s="71">
        <f>IF(AND(-0.5&lt;CDU1_.RUNNING,CDU1_.RUNNING&lt;0.5),0,1)*CDU1_.SC2_.CI</f>
        <v>56.542030832912552</v>
      </c>
      <c r="M16" s="71">
        <f>IF(AND(-0.5&lt;CDU1_.RUNNING,CDU1_.RUNNING&lt;0.5),0,1)*CDU1_.SC3_.CI</f>
        <v>43.697013528744932</v>
      </c>
      <c r="N16" s="71">
        <f>HFB.FD4.CI</f>
        <v>45.000000417205491</v>
      </c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>
        <f>IF(AND(-0.5&lt;CDU1_.RUNNING,CDU1_.RUNNING&lt;0.5),0,1)*HFB.FD1.FLOW</f>
        <v>8.0035591446908754</v>
      </c>
      <c r="AP16" s="71">
        <f>IF(AND(-0.5&lt;CDU1_.RUNNING,CDU1_.RUNNING&lt;0.5),0,1)*HFB.FD2.FLOW</f>
        <v>16.000233683146245</v>
      </c>
      <c r="AQ16" s="71">
        <f>IF(AND(-0.5&lt;CDU1_.RUNNING,CDU1_.RUNNING&lt;0.5),0,1)*HFB.FD3.FLOW</f>
        <v>15.99969795276707</v>
      </c>
      <c r="AR16" s="71">
        <f>HFB.FD4.FLOW</f>
        <v>15.999967698905174</v>
      </c>
      <c r="AS16" s="71">
        <f>-HFB.PROD.FLOW</f>
        <v>-56.003414836948608</v>
      </c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1"/>
      <c r="BF16" s="71"/>
    </row>
    <row r="17" spans="1:58" x14ac:dyDescent="0.2">
      <c r="A17" s="71"/>
      <c r="B17" s="71" t="s">
        <v>682</v>
      </c>
      <c r="C17" s="71"/>
      <c r="D17" s="71"/>
      <c r="E17" s="71">
        <f>HFB.PROD.FLOW-(IF(AND(-0.5&lt;CDU1_.RUNNING,CDU1_.RUNNING&lt;0.5),0,1)*HFB.FD1.FLOW+IF(AND(-0.5&lt;CDU1_.RUNNING,CDU1_.RUNNING&lt;0.5),0,1)*HFB.FD2.FLOW+IF(AND(-0.5&lt;CDU1_.RUNNING,CDU1_.RUNNING&lt;0.5),0,1)*HFB.FD3.FLOW+HFB.FD4.FLOW)</f>
        <v>-4.3642560754619808E-5</v>
      </c>
      <c r="F17" s="71"/>
      <c r="G17" s="71"/>
      <c r="H17" s="71"/>
      <c r="I17" s="71"/>
      <c r="J17" s="71">
        <f>1</f>
        <v>1</v>
      </c>
      <c r="K17" s="71">
        <f>IF(AND(-0.5&lt;CDU1_.RUNNING,CDU1_.RUNNING&lt;0.5),0,1)*-1</f>
        <v>-1</v>
      </c>
      <c r="L17" s="71">
        <f>IF(AND(-0.5&lt;CDU1_.RUNNING,CDU1_.RUNNING&lt;0.5),0,1)*-1</f>
        <v>-1</v>
      </c>
      <c r="M17" s="71">
        <f>IF(AND(-0.5&lt;CDU1_.RUNNING,CDU1_.RUNNING&lt;0.5),0,1)*-1</f>
        <v>-1</v>
      </c>
      <c r="N17" s="71">
        <f>-1</f>
        <v>-1</v>
      </c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</row>
    <row r="18" spans="1:58" x14ac:dyDescent="0.2">
      <c r="A18" s="71"/>
      <c r="B18" s="71" t="s">
        <v>1520</v>
      </c>
      <c r="C18" s="71"/>
      <c r="D18" s="71"/>
      <c r="E18" s="71" t="e">
        <f ca="1">[2]!DLL_MD_Evap(HFB.FD4.T05,HFB.FD4.T95,PARAM!DSL_EVAP_T1)-HFB.FD4.EVAP1</f>
        <v>#NAME?</v>
      </c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>
        <v>-1</v>
      </c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  <c r="AT18" s="71"/>
      <c r="AU18" s="71"/>
      <c r="AV18" s="71"/>
      <c r="AW18" s="71"/>
      <c r="AX18" s="71"/>
      <c r="AY18" s="71"/>
      <c r="AZ18" s="71"/>
      <c r="BA18" s="71"/>
      <c r="BB18" s="71"/>
      <c r="BC18" s="71"/>
      <c r="BD18" s="71" t="e">
        <f ca="1">[2]!DLL_MD_dEvapdIBP(HFB.FD4.T05,HFB.FD4.T95,PARAM!DSL_EVAP_T1)</f>
        <v>#NAME?</v>
      </c>
      <c r="BE18" s="71" t="e">
        <f ca="1">[2]!DLL_MD_dEvapdFBP(HFB.FD4.T05,HFB.FD4.T95,PARAM!DSL_EVAP_T1)</f>
        <v>#NAME?</v>
      </c>
      <c r="BF18" s="71"/>
    </row>
    <row r="19" spans="1:58" x14ac:dyDescent="0.2">
      <c r="A19" s="71"/>
      <c r="B19" s="71" t="s">
        <v>1521</v>
      </c>
      <c r="C19" s="71"/>
      <c r="D19" s="71"/>
      <c r="E19" s="71" t="e">
        <f ca="1">[2]!DLL_MD_Evap(HFB.FD4.T05,HFB.FD4.T95,PARAM!DSL_EVAP_T2)-HFB.FD4.EVAP2</f>
        <v>#NAME?</v>
      </c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>
        <v>-1</v>
      </c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  <c r="AT19" s="71"/>
      <c r="AU19" s="71"/>
      <c r="AV19" s="71"/>
      <c r="AW19" s="71"/>
      <c r="AX19" s="71"/>
      <c r="AY19" s="71"/>
      <c r="AZ19" s="71"/>
      <c r="BA19" s="71"/>
      <c r="BB19" s="71"/>
      <c r="BC19" s="71"/>
      <c r="BD19" s="71" t="e">
        <f ca="1">[2]!DLL_MD_dEvapdIBP(HFB.FD4.T05,HFB.FD4.T95,PARAM!DSL_EVAP_T2)</f>
        <v>#NAME?</v>
      </c>
      <c r="BE19" s="71" t="e">
        <f ca="1">[2]!DLL_MD_dEvapdFBP(HFB.FD4.T05,HFB.FD4.T95,PARAM!DSL_EVAP_T2)</f>
        <v>#NAME?</v>
      </c>
      <c r="BF19" s="71"/>
    </row>
    <row r="20" spans="1:58" x14ac:dyDescent="0.2">
      <c r="A20" s="71"/>
      <c r="B20" s="71" t="s">
        <v>1522</v>
      </c>
      <c r="C20" s="71"/>
      <c r="D20" s="71"/>
      <c r="E20" s="71" t="e">
        <f ca="1">[2]!DLL_MD_Evap(HFB.FD4.T05,HFB.FD4.T95,PARAM!DSL_EVAP_T3)-HFB.FD4.EVAP3</f>
        <v>#NAME?</v>
      </c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>
        <v>-1</v>
      </c>
      <c r="AJ20" s="71"/>
      <c r="AK20" s="71"/>
      <c r="AL20" s="71"/>
      <c r="AM20" s="71"/>
      <c r="AN20" s="71"/>
      <c r="AO20" s="71"/>
      <c r="AP20" s="71"/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 t="e">
        <f ca="1">[2]!DLL_MD_dEvapdIBP(HFB.FD4.T05,HFB.FD4.T95,PARAM!DSL_EVAP_T3)</f>
        <v>#NAME?</v>
      </c>
      <c r="BE20" s="71" t="e">
        <f ca="1">[2]!DLL_MD_dEvapdFBP(HFB.FD4.T05,HFB.FD4.T95,PARAM!DSL_EVAP_T3)</f>
        <v>#NAME?</v>
      </c>
      <c r="BF20" s="71"/>
    </row>
    <row r="21" spans="1:58" x14ac:dyDescent="0.2">
      <c r="A21" s="71"/>
      <c r="B21" s="71" t="s">
        <v>1768</v>
      </c>
      <c r="C21" s="71"/>
      <c r="D21" s="71"/>
      <c r="E21" s="71" t="e">
        <f ca="1">[2]!DLL_MD_Evap(HFB.FD4.T05,HFB.FD4.T95,PARAM!DSL_EVAP_T4)-HFB.FD4.EVAP4</f>
        <v>#NAME?</v>
      </c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>
        <v>-1</v>
      </c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  <c r="AY21" s="71"/>
      <c r="AZ21" s="71"/>
      <c r="BA21" s="71"/>
      <c r="BB21" s="71"/>
      <c r="BC21" s="71"/>
      <c r="BD21" s="71" t="e">
        <f ca="1">[2]!DLL_MD_dEvapdIBP(HFB.FD4.T05,HFB.FD4.T95,PARAM!DSL_EVAP_T4)</f>
        <v>#NAME?</v>
      </c>
      <c r="BE21" s="71" t="e">
        <f ca="1">[2]!DLL_MD_dEvapdFBP(HFB.FD4.T05,HFB.FD4.T95,PARAM!DSL_EVAP_T4)</f>
        <v>#NAME?</v>
      </c>
      <c r="BF21" s="71"/>
    </row>
    <row r="22" spans="1:58" x14ac:dyDescent="0.2">
      <c r="A22" s="71"/>
      <c r="B22" s="71" t="s">
        <v>1523</v>
      </c>
      <c r="C22" s="71"/>
      <c r="D22" s="71"/>
      <c r="E22" s="71">
        <f>(HFB.FD4.SUL*(100-HFB.FD4.EVAP1)/100)-HFB.FD4.VAR1</f>
        <v>-2.2693711798638105E-8</v>
      </c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>
        <f>(100-HFB.FD4.EVAP1)/100</f>
        <v>0.99999999503211578</v>
      </c>
      <c r="T22" s="71"/>
      <c r="U22" s="71"/>
      <c r="V22" s="71"/>
      <c r="W22" s="71">
        <v>-1</v>
      </c>
      <c r="X22" s="71"/>
      <c r="Y22" s="71"/>
      <c r="Z22" s="71"/>
      <c r="AA22" s="71"/>
      <c r="AB22" s="71"/>
      <c r="AC22" s="71"/>
      <c r="AD22" s="71"/>
      <c r="AE22" s="71"/>
      <c r="AF22" s="71"/>
      <c r="AG22" s="71">
        <f>-HFB.FD4.SUL/100</f>
        <v>-100.00000005201505</v>
      </c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  <c r="AW22" s="71"/>
      <c r="AX22" s="71"/>
      <c r="AY22" s="71"/>
      <c r="AZ22" s="71"/>
      <c r="BA22" s="71"/>
      <c r="BB22" s="71"/>
      <c r="BC22" s="71"/>
      <c r="BD22" s="71"/>
      <c r="BE22" s="71"/>
      <c r="BF22" s="71"/>
    </row>
  </sheetData>
  <sheetProtection algorithmName="SHA-512" hashValue="EqwPLOPOMRGzbqQbjFR4TaEsUeRMBDVqbYb4bB8KF6ufDn4jKstc6NACLCLgmtWXDMsoj/Aal4UsaxpZduglOQ==" saltValue="SrtfjO89445DJyiWXYnxfQ==" spinCount="100000" sheet="1" objects="1" scenarios="1"/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69"/>
  <dimension ref="A1:AH9"/>
  <sheetViews>
    <sheetView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G17" sqref="G17"/>
    </sheetView>
  </sheetViews>
  <sheetFormatPr defaultRowHeight="12.75" x14ac:dyDescent="0.2"/>
  <cols>
    <col min="1" max="1" width="15.5703125" bestFit="1" customWidth="1"/>
    <col min="2" max="2" width="12.7109375" bestFit="1" customWidth="1"/>
    <col min="3" max="3" width="13.5703125" bestFit="1" customWidth="1"/>
    <col min="4" max="4" width="12.28515625" bestFit="1" customWidth="1"/>
    <col min="5" max="5" width="13.5703125" bestFit="1" customWidth="1"/>
    <col min="6" max="6" width="12.85546875" bestFit="1" customWidth="1"/>
    <col min="7" max="7" width="13.5703125" bestFit="1" customWidth="1"/>
    <col min="8" max="8" width="12.85546875" bestFit="1" customWidth="1"/>
    <col min="9" max="9" width="13.5703125" bestFit="1" customWidth="1"/>
    <col min="10" max="10" width="12.85546875" bestFit="1" customWidth="1"/>
    <col min="11" max="11" width="13.5703125" bestFit="1" customWidth="1"/>
    <col min="12" max="12" width="12.85546875" bestFit="1" customWidth="1"/>
    <col min="13" max="13" width="13.5703125" bestFit="1" customWidth="1"/>
    <col min="14" max="14" width="12.85546875" bestFit="1" customWidth="1"/>
    <col min="15" max="15" width="13.5703125" bestFit="1" customWidth="1"/>
    <col min="16" max="16" width="12.85546875" bestFit="1" customWidth="1"/>
    <col min="17" max="17" width="12.7109375" bestFit="1" customWidth="1"/>
    <col min="18" max="18" width="12.28515625" bestFit="1" customWidth="1"/>
    <col min="19" max="19" width="12.7109375" bestFit="1" customWidth="1"/>
    <col min="20" max="20" width="12.28515625" bestFit="1" customWidth="1"/>
    <col min="21" max="21" width="13.85546875" bestFit="1" customWidth="1"/>
    <col min="22" max="22" width="13.42578125" bestFit="1" customWidth="1"/>
    <col min="23" max="23" width="12.7109375" bestFit="1" customWidth="1"/>
    <col min="24" max="24" width="12.28515625" bestFit="1" customWidth="1"/>
    <col min="25" max="25" width="12.7109375" bestFit="1" customWidth="1"/>
    <col min="26" max="26" width="12.28515625" bestFit="1" customWidth="1"/>
    <col min="27" max="27" width="12.7109375" bestFit="1" customWidth="1"/>
    <col min="28" max="28" width="12.28515625" bestFit="1" customWidth="1"/>
    <col min="29" max="29" width="12.7109375" bestFit="1" customWidth="1"/>
    <col min="30" max="30" width="12.28515625" bestFit="1" customWidth="1"/>
    <col min="31" max="31" width="12.7109375" bestFit="1" customWidth="1"/>
    <col min="32" max="32" width="12.28515625" bestFit="1" customWidth="1"/>
    <col min="33" max="33" width="12.7109375" bestFit="1" customWidth="1"/>
    <col min="34" max="34" width="12.28515625" bestFit="1" customWidth="1"/>
  </cols>
  <sheetData>
    <row r="1" spans="1:34" x14ac:dyDescent="0.2">
      <c r="A1" s="27" t="s">
        <v>409</v>
      </c>
    </row>
    <row r="2" spans="1:34" x14ac:dyDescent="0.2">
      <c r="A2" s="27" t="s">
        <v>186</v>
      </c>
      <c r="B2" t="s">
        <v>216</v>
      </c>
    </row>
    <row r="3" spans="1:34" x14ac:dyDescent="0.2">
      <c r="B3" s="27" t="s">
        <v>243</v>
      </c>
      <c r="C3" s="27" t="s">
        <v>187</v>
      </c>
      <c r="D3" s="27" t="s">
        <v>188</v>
      </c>
      <c r="E3" s="27" t="s">
        <v>189</v>
      </c>
      <c r="F3" s="27" t="s">
        <v>190</v>
      </c>
      <c r="G3" s="27" t="s">
        <v>191</v>
      </c>
      <c r="H3" s="27" t="s">
        <v>192</v>
      </c>
      <c r="I3" s="27" t="s">
        <v>193</v>
      </c>
      <c r="J3" s="27" t="s">
        <v>194</v>
      </c>
      <c r="K3" s="27" t="s">
        <v>195</v>
      </c>
      <c r="L3" s="27" t="s">
        <v>196</v>
      </c>
      <c r="M3" s="27" t="s">
        <v>197</v>
      </c>
      <c r="N3" s="27" t="s">
        <v>198</v>
      </c>
      <c r="O3" s="27" t="s">
        <v>199</v>
      </c>
      <c r="P3" s="27" t="s">
        <v>200</v>
      </c>
      <c r="Q3" s="27" t="s">
        <v>201</v>
      </c>
      <c r="R3" s="27" t="s">
        <v>202</v>
      </c>
      <c r="S3" s="27" t="s">
        <v>203</v>
      </c>
      <c r="T3" s="27" t="s">
        <v>204</v>
      </c>
      <c r="U3" s="27" t="s">
        <v>205</v>
      </c>
      <c r="V3" s="27" t="s">
        <v>206</v>
      </c>
      <c r="W3" s="27" t="s">
        <v>221</v>
      </c>
      <c r="X3" s="27" t="s">
        <v>222</v>
      </c>
      <c r="Y3" s="27" t="s">
        <v>223</v>
      </c>
      <c r="Z3" s="27" t="s">
        <v>224</v>
      </c>
      <c r="AA3" s="27" t="s">
        <v>225</v>
      </c>
      <c r="AB3" s="27" t="s">
        <v>226</v>
      </c>
      <c r="AC3" s="27" t="s">
        <v>227</v>
      </c>
      <c r="AD3" s="27" t="s">
        <v>228</v>
      </c>
      <c r="AE3" s="27" t="s">
        <v>229</v>
      </c>
      <c r="AF3" s="27" t="s">
        <v>230</v>
      </c>
      <c r="AG3" s="27" t="s">
        <v>231</v>
      </c>
      <c r="AH3" s="27" t="s">
        <v>232</v>
      </c>
    </row>
    <row r="4" spans="1:34" x14ac:dyDescent="0.2">
      <c r="A4" s="27" t="s">
        <v>1275</v>
      </c>
      <c r="B4" t="s">
        <v>215</v>
      </c>
      <c r="C4" t="s">
        <v>555</v>
      </c>
      <c r="D4" t="s">
        <v>234</v>
      </c>
    </row>
    <row r="5" spans="1:34" x14ac:dyDescent="0.2">
      <c r="A5" s="27" t="s">
        <v>1276</v>
      </c>
      <c r="C5" t="s">
        <v>1288</v>
      </c>
      <c r="D5" t="s">
        <v>236</v>
      </c>
    </row>
    <row r="6" spans="1:34" x14ac:dyDescent="0.2">
      <c r="A6" s="27" t="s">
        <v>1277</v>
      </c>
      <c r="C6" t="s">
        <v>1289</v>
      </c>
      <c r="D6" t="s">
        <v>235</v>
      </c>
    </row>
    <row r="7" spans="1:34" x14ac:dyDescent="0.2">
      <c r="A7" s="27" t="s">
        <v>1278</v>
      </c>
      <c r="C7" t="s">
        <v>1290</v>
      </c>
      <c r="D7" t="s">
        <v>170</v>
      </c>
    </row>
    <row r="8" spans="1:34" x14ac:dyDescent="0.2">
      <c r="A8" s="27" t="s">
        <v>1279</v>
      </c>
      <c r="C8" t="s">
        <v>1291</v>
      </c>
      <c r="D8" t="s">
        <v>234</v>
      </c>
      <c r="E8" t="s">
        <v>1293</v>
      </c>
      <c r="F8" t="s">
        <v>169</v>
      </c>
      <c r="G8" t="s">
        <v>1294</v>
      </c>
      <c r="H8" t="s">
        <v>238</v>
      </c>
      <c r="I8" t="s">
        <v>1295</v>
      </c>
      <c r="J8" t="s">
        <v>327</v>
      </c>
      <c r="K8" t="s">
        <v>1296</v>
      </c>
      <c r="L8" t="s">
        <v>239</v>
      </c>
    </row>
    <row r="9" spans="1:34" x14ac:dyDescent="0.2">
      <c r="A9" s="27" t="s">
        <v>1280</v>
      </c>
      <c r="C9" t="s">
        <v>1292</v>
      </c>
      <c r="D9" t="s">
        <v>234</v>
      </c>
    </row>
  </sheetData>
  <dataValidations count="6">
    <dataValidation type="list" allowBlank="1" showInputMessage="1" showErrorMessage="1" sqref="D7 F7 H7 J7 L7 N7 P7 R7 T7 V7 X7 Z7 AB7 AD7 AF7 AH7" xr:uid="{00000000-0002-0000-4500-000000000000}">
      <formula1>measTypeMD_HTUSUL</formula1>
    </dataValidation>
    <dataValidation type="list" allowBlank="1" showInputMessage="1" showErrorMessage="1" sqref="D6 F6 H6 J6 L6 N6 P6 R6 T6 V6 X6 Z6 AB6 AD6 AF6 AH6" xr:uid="{00000000-0002-0000-4500-000001000000}">
      <formula1>measTypeMD_HTUP</formula1>
    </dataValidation>
    <dataValidation type="list" allowBlank="1" showInputMessage="1" showErrorMessage="1" sqref="D4 D8:D9 F4 H9 H4 J9 J4 L9 L4 N9 N4 P4 R4 T4 V4 X4 Z4 AB4 AD4 AF4 AH4 F9 AD8:AD9 AB8:AB9 Z8:Z9 X8:X9 V8:V9 T8:T9 P8:P9 R8:R9 AF8:AF9 AH9" xr:uid="{00000000-0002-0000-4500-000002000000}">
      <formula1>measTypeGenMD_HTU</formula1>
    </dataValidation>
    <dataValidation type="list" allowBlank="1" showInputMessage="1" showErrorMessage="1" sqref="AB5 AD5 AF5 D5 F5 H5 J5 L5 N5 P5 R5 T5 V5 X5 Z5 AH5" xr:uid="{00000000-0002-0000-4500-000003000000}">
      <formula1>measTypeMD_HTUT</formula1>
    </dataValidation>
    <dataValidation type="list" allowBlank="1" showInputMessage="1" showErrorMessage="1" sqref="B2" xr:uid="{00000000-0002-0000-4500-000004000000}">
      <formula1>typeMD_HTU</formula1>
    </dataValidation>
    <dataValidation type="list" allowBlank="1" showInputMessage="1" showErrorMessage="1" sqref="F8 H8 J8 N8 L8" xr:uid="{00000000-0002-0000-4500-000005000000}">
      <formula1>measTypeMD_CDU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0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1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2"/>
  <dimension ref="A1:T1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20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</row>
    <row r="2" spans="1:20" customFormat="1" x14ac:dyDescent="0.2">
      <c r="A2" s="71"/>
      <c r="B2" s="71"/>
      <c r="C2" s="71"/>
      <c r="D2" s="71"/>
      <c r="E2" s="71" t="s">
        <v>7</v>
      </c>
      <c r="F2" s="71" t="s">
        <v>1306</v>
      </c>
      <c r="G2" s="71" t="s">
        <v>1276</v>
      </c>
      <c r="H2" s="71" t="s">
        <v>1277</v>
      </c>
      <c r="I2" s="71" t="s">
        <v>1307</v>
      </c>
      <c r="J2" s="71" t="s">
        <v>1308</v>
      </c>
      <c r="K2" s="71" t="s">
        <v>1309</v>
      </c>
      <c r="L2" s="71" t="s">
        <v>555</v>
      </c>
      <c r="M2" s="71" t="s">
        <v>1288</v>
      </c>
      <c r="N2" s="71" t="s">
        <v>1289</v>
      </c>
      <c r="O2" s="71" t="s">
        <v>1291</v>
      </c>
      <c r="P2" s="71" t="s">
        <v>1292</v>
      </c>
      <c r="Q2" s="71" t="s">
        <v>1320</v>
      </c>
      <c r="R2" s="71" t="s">
        <v>1329</v>
      </c>
      <c r="S2" s="71" t="s">
        <v>1335</v>
      </c>
      <c r="T2" s="71" t="s">
        <v>1332</v>
      </c>
    </row>
    <row r="3" spans="1:20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</row>
    <row r="4" spans="1:20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</row>
    <row r="5" spans="1:20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KERHT.FEED.FLOW</f>
        <v>7.9967068106407488</v>
      </c>
      <c r="G5" s="71">
        <f>KERHT.WABT</f>
        <v>617.00000006787229</v>
      </c>
      <c r="H5" s="71">
        <f>KERHT.H2PP</f>
        <v>568.90000000503846</v>
      </c>
      <c r="I5" s="71">
        <f>KERHT.PROD.SUL</f>
        <v>10.00000004679231</v>
      </c>
      <c r="J5" s="71">
        <f>KERHT.PROD.FLOW</f>
        <v>7.1967253945194827</v>
      </c>
      <c r="K5" s="71">
        <f>KERHT.OVH.FLOW</f>
        <v>1</v>
      </c>
      <c r="L5" s="71">
        <f>FI_71.PV</f>
        <v>7.9967243442694196</v>
      </c>
      <c r="M5" s="71">
        <f>TX_71.PV</f>
        <v>617.00000006177345</v>
      </c>
      <c r="N5" s="71">
        <f>PX_71.PV</f>
        <v>568.90000000458554</v>
      </c>
      <c r="O5" s="71">
        <f>FC_73.PV</f>
        <v>7.1967233368762029</v>
      </c>
      <c r="P5" s="71">
        <f>FC_72.PV</f>
        <v>1</v>
      </c>
      <c r="Q5" s="71">
        <f>KERHT.PROD.SG</f>
        <v>0.77013014533310575</v>
      </c>
      <c r="R5" s="71">
        <f>KERHT.PROD.TCL</f>
        <v>-60.146938681645686</v>
      </c>
      <c r="S5" s="71">
        <f>KERHT.PROD.TFL</f>
        <v>121.56786201255599</v>
      </c>
      <c r="T5" s="71">
        <f>KERHT.PROD.TFZ</f>
        <v>-44.155668359985803</v>
      </c>
    </row>
    <row r="6" spans="1:20" x14ac:dyDescent="0.2">
      <c r="A6" s="71"/>
      <c r="B6" s="71" t="s">
        <v>1301</v>
      </c>
      <c r="C6" s="71"/>
      <c r="D6" s="71"/>
      <c r="E6" s="71">
        <f>(1 * KERHT.H2PP) + (-1 * PX_71.PV)</f>
        <v>4.5292836148291826E-10</v>
      </c>
      <c r="F6" s="71"/>
      <c r="G6" s="71"/>
      <c r="H6" s="71">
        <v>1</v>
      </c>
      <c r="I6" s="71"/>
      <c r="J6" s="71"/>
      <c r="K6" s="71"/>
      <c r="L6" s="71"/>
      <c r="M6" s="71"/>
      <c r="N6" s="71">
        <v>-1</v>
      </c>
      <c r="O6" s="71"/>
      <c r="P6" s="71"/>
      <c r="Q6" s="71"/>
      <c r="R6" s="71"/>
      <c r="S6" s="71"/>
      <c r="T6" s="71"/>
    </row>
    <row r="7" spans="1:20" x14ac:dyDescent="0.2">
      <c r="A7" s="71"/>
      <c r="B7" s="71" t="s">
        <v>1302</v>
      </c>
      <c r="C7" s="71"/>
      <c r="D7" s="71"/>
      <c r="E7" s="71">
        <f>(1 * KERHT.WABT) + (-1 * TX_71.PV)</f>
        <v>6.0988440964138135E-9</v>
      </c>
      <c r="F7" s="71"/>
      <c r="G7" s="71">
        <v>1</v>
      </c>
      <c r="H7" s="71"/>
      <c r="I7" s="71"/>
      <c r="J7" s="71"/>
      <c r="K7" s="71"/>
      <c r="L7" s="71"/>
      <c r="M7" s="71">
        <v>-1</v>
      </c>
      <c r="N7" s="71"/>
      <c r="O7" s="71"/>
      <c r="P7" s="71"/>
      <c r="Q7" s="71"/>
      <c r="R7" s="71"/>
      <c r="S7" s="71"/>
      <c r="T7" s="71"/>
    </row>
    <row r="8" spans="1:20" x14ac:dyDescent="0.2">
      <c r="A8" s="71"/>
      <c r="B8" s="71" t="s">
        <v>1303</v>
      </c>
      <c r="C8" s="71"/>
      <c r="D8" s="71"/>
      <c r="E8" s="71">
        <f>(1 * KERHT.PROD.FLOW) + (-1 * FC_73.PV)</f>
        <v>2.0576432797625444E-6</v>
      </c>
      <c r="F8" s="71"/>
      <c r="G8" s="71"/>
      <c r="H8" s="71"/>
      <c r="I8" s="71"/>
      <c r="J8" s="71">
        <v>1</v>
      </c>
      <c r="K8" s="71"/>
      <c r="L8" s="71"/>
      <c r="M8" s="71"/>
      <c r="N8" s="71"/>
      <c r="O8" s="71">
        <v>-1</v>
      </c>
      <c r="P8" s="71"/>
      <c r="Q8" s="71"/>
      <c r="R8" s="71"/>
      <c r="S8" s="71"/>
      <c r="T8" s="71"/>
    </row>
    <row r="9" spans="1:20" x14ac:dyDescent="0.2">
      <c r="A9" s="71"/>
      <c r="B9" s="71" t="s">
        <v>1304</v>
      </c>
      <c r="C9" s="71"/>
      <c r="D9" s="71"/>
      <c r="E9" s="71">
        <f>(1 * KERHT.OVH.FLOW) + (-1 * FC_72.PV)</f>
        <v>0</v>
      </c>
      <c r="F9" s="71"/>
      <c r="G9" s="71"/>
      <c r="H9" s="71"/>
      <c r="I9" s="71"/>
      <c r="J9" s="71"/>
      <c r="K9" s="71">
        <v>1</v>
      </c>
      <c r="L9" s="71"/>
      <c r="M9" s="71"/>
      <c r="N9" s="71"/>
      <c r="O9" s="71"/>
      <c r="P9" s="71">
        <v>-1</v>
      </c>
      <c r="Q9" s="71"/>
      <c r="R9" s="71"/>
      <c r="S9" s="71"/>
      <c r="T9" s="71"/>
    </row>
    <row r="10" spans="1:20" x14ac:dyDescent="0.2">
      <c r="A10" s="71"/>
      <c r="B10" s="71" t="s">
        <v>1305</v>
      </c>
      <c r="C10" s="71"/>
      <c r="D10" s="71"/>
      <c r="E10" s="71">
        <f>(1 * KERHT.FEED.FLOW) + (-1 * FI_71.PV)</f>
        <v>-1.7533628670740597E-5</v>
      </c>
      <c r="F10" s="71">
        <v>1</v>
      </c>
      <c r="G10" s="71"/>
      <c r="H10" s="71"/>
      <c r="I10" s="71"/>
      <c r="J10" s="71"/>
      <c r="K10" s="71"/>
      <c r="L10" s="71">
        <v>-1</v>
      </c>
      <c r="M10" s="71"/>
      <c r="N10" s="71"/>
      <c r="O10" s="71"/>
      <c r="P10" s="71"/>
      <c r="Q10" s="71"/>
      <c r="R10" s="71"/>
      <c r="S10" s="71"/>
      <c r="T10" s="71"/>
    </row>
    <row r="11" spans="1:20" x14ac:dyDescent="0.2">
      <c r="A11" s="71"/>
      <c r="B11" s="71" t="s">
        <v>1290</v>
      </c>
      <c r="C11" s="71"/>
      <c r="D11" s="71"/>
      <c r="E11" s="71">
        <f>(1 * KERHT.PROD.SUL)</f>
        <v>10.00000004679231</v>
      </c>
      <c r="F11" s="71"/>
      <c r="G11" s="71"/>
      <c r="H11" s="71"/>
      <c r="I11" s="71">
        <v>1</v>
      </c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</row>
    <row r="12" spans="1:20" x14ac:dyDescent="0.2">
      <c r="A12" s="71"/>
      <c r="B12" s="71" t="s">
        <v>1293</v>
      </c>
      <c r="C12" s="71"/>
      <c r="D12" s="71"/>
      <c r="E12" s="71">
        <f>(1 * KERHT.PROD.SG)</f>
        <v>0.77013014533310575</v>
      </c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>
        <v>1</v>
      </c>
      <c r="R12" s="71"/>
      <c r="S12" s="71"/>
      <c r="T12" s="71"/>
    </row>
    <row r="13" spans="1:20" x14ac:dyDescent="0.2">
      <c r="A13" s="71"/>
      <c r="B13" s="71" t="s">
        <v>1294</v>
      </c>
      <c r="C13" s="71"/>
      <c r="D13" s="71"/>
      <c r="E13" s="71">
        <f>(1 * KERHT.PROD.TCL)</f>
        <v>-60.146938681645686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1</v>
      </c>
      <c r="S13" s="71"/>
      <c r="T13" s="71"/>
    </row>
    <row r="14" spans="1:20" x14ac:dyDescent="0.2">
      <c r="A14" s="71"/>
      <c r="B14" s="71" t="s">
        <v>1296</v>
      </c>
      <c r="C14" s="71"/>
      <c r="D14" s="71"/>
      <c r="E14" s="71">
        <f>(1 * KERHT.PROD.TFZ)</f>
        <v>-44.155668359985803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/>
      <c r="T14" s="71">
        <v>1</v>
      </c>
    </row>
    <row r="15" spans="1:20" x14ac:dyDescent="0.2">
      <c r="A15" s="71"/>
      <c r="B15" s="71" t="s">
        <v>1295</v>
      </c>
      <c r="C15" s="71"/>
      <c r="D15" s="71"/>
      <c r="E15" s="71">
        <f>(1 * KERHT.PROD.TFL)</f>
        <v>121.56786201255599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>
        <v>1</v>
      </c>
      <c r="T15" s="71"/>
    </row>
  </sheetData>
  <sheetProtection algorithmName="SHA-512" hashValue="VVJnHnTz4xNoRDvx6xNWK2oD5seOtbM71UV0dQfutKNQb4Zy1CrGl0lYuFhSoSf2oABqmgPmHHM7E9ugmRfjHg==" saltValue="hUFGdJ0UOLJIHRV2ZvUJgg==" spinCount="100000" sheet="1" objects="1" scenarios="1"/>
  <pageMargins left="0.75" right="0.75" top="1" bottom="1" header="0.5" footer="0.5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3"/>
  <dimension ref="A1:AK13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E6" sqref="E6"/>
    </sheetView>
  </sheetViews>
  <sheetFormatPr defaultColWidth="9.140625" defaultRowHeight="12.75" x14ac:dyDescent="0.2"/>
  <cols>
    <col min="1" max="1" width="5.42578125" bestFit="1" customWidth="1"/>
    <col min="2" max="2" width="24.28515625" bestFit="1" customWidth="1"/>
    <col min="3" max="3" width="10.28515625" bestFit="1" customWidth="1"/>
    <col min="4" max="4" width="5.28515625" bestFit="1" customWidth="1"/>
    <col min="5" max="5" width="13.140625" bestFit="1" customWidth="1"/>
    <col min="6" max="6" width="19" style="5" bestFit="1" customWidth="1"/>
    <col min="7" max="7" width="12.5703125" style="5" bestFit="1" customWidth="1"/>
    <col min="8" max="8" width="13.28515625" style="5" bestFit="1" customWidth="1"/>
    <col min="9" max="9" width="14.28515625" style="5" bestFit="1" customWidth="1"/>
    <col min="10" max="10" width="17.42578125" style="5" bestFit="1" customWidth="1"/>
    <col min="11" max="11" width="12.5703125" style="5" bestFit="1" customWidth="1"/>
    <col min="12" max="12" width="19.28515625" style="5" bestFit="1" customWidth="1"/>
    <col min="13" max="13" width="18" style="5" bestFit="1" customWidth="1"/>
    <col min="14" max="14" width="18.28515625" style="5" bestFit="1" customWidth="1"/>
    <col min="15" max="15" width="13.42578125" style="5" bestFit="1" customWidth="1"/>
    <col min="16" max="16" width="16.42578125" style="5" bestFit="1" customWidth="1"/>
    <col min="17" max="17" width="15.140625" style="5" bestFit="1" customWidth="1"/>
    <col min="18" max="18" width="16.85546875" style="5" bestFit="1" customWidth="1"/>
    <col min="19" max="19" width="20" style="5" bestFit="1" customWidth="1"/>
    <col min="20" max="20" width="18.7109375" style="5" bestFit="1" customWidth="1"/>
    <col min="21" max="21" width="19" style="5" bestFit="1" customWidth="1"/>
    <col min="22" max="22" width="16.85546875" style="5" bestFit="1" customWidth="1"/>
    <col min="23" max="23" width="20" style="5" bestFit="1" customWidth="1"/>
    <col min="24" max="24" width="18.7109375" style="5" bestFit="1" customWidth="1"/>
    <col min="25" max="25" width="19" style="5" bestFit="1" customWidth="1"/>
    <col min="26" max="26" width="14" style="5" bestFit="1" customWidth="1"/>
    <col min="27" max="27" width="15.7109375" style="5" bestFit="1" customWidth="1"/>
    <col min="28" max="28" width="17" style="5" bestFit="1" customWidth="1"/>
    <col min="29" max="29" width="16" style="5" bestFit="1" customWidth="1"/>
    <col min="30" max="30" width="13.85546875" style="5" bestFit="1" customWidth="1"/>
    <col min="31" max="31" width="15.5703125" style="5" bestFit="1" customWidth="1"/>
    <col min="32" max="32" width="16.85546875" style="5" bestFit="1" customWidth="1"/>
    <col min="33" max="33" width="15.85546875" style="5" bestFit="1" customWidth="1"/>
    <col min="34" max="34" width="13.85546875" style="5" bestFit="1" customWidth="1"/>
    <col min="35" max="35" width="15.5703125" style="5" bestFit="1" customWidth="1"/>
    <col min="36" max="36" width="16.85546875" style="5" bestFit="1" customWidth="1"/>
    <col min="37" max="37" width="15.85546875" style="5" bestFit="1" customWidth="1"/>
    <col min="38" max="16384" width="9.140625" style="5"/>
  </cols>
  <sheetData>
    <row r="1" spans="1:37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</row>
    <row r="2" spans="1:37" customFormat="1" x14ac:dyDescent="0.2">
      <c r="A2" s="71"/>
      <c r="B2" s="71"/>
      <c r="C2" s="71"/>
      <c r="D2" s="71"/>
      <c r="E2" s="71" t="s">
        <v>7</v>
      </c>
      <c r="F2" s="71" t="s">
        <v>1306</v>
      </c>
      <c r="G2" s="71" t="s">
        <v>1277</v>
      </c>
      <c r="H2" s="71" t="s">
        <v>1276</v>
      </c>
      <c r="I2" s="71" t="s">
        <v>572</v>
      </c>
      <c r="J2" s="71" t="s">
        <v>1307</v>
      </c>
      <c r="K2" s="71" t="s">
        <v>1318</v>
      </c>
      <c r="L2" s="71" t="s">
        <v>1308</v>
      </c>
      <c r="M2" s="71" t="s">
        <v>1309</v>
      </c>
      <c r="N2" s="71" t="s">
        <v>1319</v>
      </c>
      <c r="O2" s="71" t="s">
        <v>571</v>
      </c>
      <c r="P2" s="71" t="s">
        <v>1320</v>
      </c>
      <c r="Q2" s="71" t="s">
        <v>1321</v>
      </c>
      <c r="R2" s="71" t="s">
        <v>635</v>
      </c>
      <c r="S2" s="71" t="s">
        <v>1322</v>
      </c>
      <c r="T2" s="71" t="s">
        <v>1323</v>
      </c>
      <c r="U2" s="71" t="s">
        <v>1324</v>
      </c>
      <c r="V2" s="71" t="s">
        <v>636</v>
      </c>
      <c r="W2" s="71" t="s">
        <v>1325</v>
      </c>
      <c r="X2" s="71" t="s">
        <v>1326</v>
      </c>
      <c r="Y2" s="71" t="s">
        <v>1327</v>
      </c>
      <c r="Z2" s="71" t="s">
        <v>574</v>
      </c>
      <c r="AA2" s="71" t="s">
        <v>1328</v>
      </c>
      <c r="AB2" s="71" t="s">
        <v>1329</v>
      </c>
      <c r="AC2" s="71" t="s">
        <v>1330</v>
      </c>
      <c r="AD2" s="71" t="s">
        <v>576</v>
      </c>
      <c r="AE2" s="71" t="s">
        <v>1331</v>
      </c>
      <c r="AF2" s="71" t="s">
        <v>1332</v>
      </c>
      <c r="AG2" s="71" t="s">
        <v>1333</v>
      </c>
      <c r="AH2" s="71" t="s">
        <v>575</v>
      </c>
      <c r="AI2" s="71" t="s">
        <v>1334</v>
      </c>
      <c r="AJ2" s="71" t="s">
        <v>1335</v>
      </c>
      <c r="AK2" s="71" t="s">
        <v>1336</v>
      </c>
    </row>
    <row r="3" spans="1:37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</row>
    <row r="4" spans="1:37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</row>
    <row r="5" spans="1:37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KERHT.FEED.FLOW</f>
        <v>7.9967068106407488</v>
      </c>
      <c r="G5" s="71">
        <f>KERHT.H2PP</f>
        <v>568.90000000503846</v>
      </c>
      <c r="H5" s="71">
        <f>KERHT.WABT</f>
        <v>617.00000006787229</v>
      </c>
      <c r="I5" s="71">
        <f>CDU1_.SC1_.SUL</f>
        <v>2448.5337861112757</v>
      </c>
      <c r="J5" s="71">
        <f>KERHT.PROD.SUL</f>
        <v>10.00000004679231</v>
      </c>
      <c r="K5" s="71">
        <f>KERHT.PAR5</f>
        <v>22.958208892131179</v>
      </c>
      <c r="L5" s="71">
        <f>KERHT.PROD.FLOW</f>
        <v>7.1967253945194827</v>
      </c>
      <c r="M5" s="71">
        <f>KERHT.OVH.FLOW</f>
        <v>1</v>
      </c>
      <c r="N5" s="71">
        <f>KERHT.FLOW.BIAS</f>
        <v>0.2</v>
      </c>
      <c r="O5" s="71">
        <f>CDU1_.SC1_.SG</f>
        <v>0.78687581313163468</v>
      </c>
      <c r="P5" s="71">
        <f>KERHT.PROD.SG</f>
        <v>0.77013014533310575</v>
      </c>
      <c r="Q5" s="71">
        <f>KERHT.OVH.SG</f>
        <v>0.75</v>
      </c>
      <c r="R5" s="71">
        <f>CDU1_.SC1_.EVAP1</f>
        <v>50.019486299712824</v>
      </c>
      <c r="S5" s="71">
        <f>KERHT.PROD.EVAP1</f>
        <v>42.504985743809236</v>
      </c>
      <c r="T5" s="71">
        <f>KERHT.OVH.EVAP1</f>
        <v>100</v>
      </c>
      <c r="U5" s="71">
        <f>KERHT.EVAP1.BIAS</f>
        <v>0.5</v>
      </c>
      <c r="V5" s="71">
        <f>CDU1_.SC1_.EVAP2</f>
        <v>100.00000000428548</v>
      </c>
      <c r="W5" s="71">
        <f>KERHT.PROD.EVAP2</f>
        <v>99.430267028671494</v>
      </c>
      <c r="X5" s="71">
        <f>KERHT.OVH.EVAP2</f>
        <v>100</v>
      </c>
      <c r="Y5" s="71">
        <f>KERHT.EVAP2.BIAS</f>
        <v>0.5</v>
      </c>
      <c r="Z5" s="71">
        <f>CDU1_.SC1_.TCL</f>
        <v>-60.374325444521361</v>
      </c>
      <c r="AA5" s="71">
        <f>KERHT.OVH.TCL</f>
        <v>-58.001266686546707</v>
      </c>
      <c r="AB5" s="71">
        <f>KERHT.PROD.TCL</f>
        <v>-60.146938681645686</v>
      </c>
      <c r="AC5" s="71">
        <f>KERHT.TCL.BIAS</f>
        <v>0.5</v>
      </c>
      <c r="AD5" s="71">
        <f>CDU1_.SC1_.TFZ</f>
        <v>-44.107280850804877</v>
      </c>
      <c r="AE5" s="71">
        <f>KERHT.OVH.TFZ</f>
        <v>-40.000070184198755</v>
      </c>
      <c r="AF5" s="71">
        <f>KERHT.PROD.TFZ</f>
        <v>-44.155668359985803</v>
      </c>
      <c r="AG5" s="71">
        <f>KERHT.TFZ.BIAS</f>
        <v>0.5</v>
      </c>
      <c r="AH5" s="71">
        <f>CDU1_.SC1_.TFL</f>
        <v>107.76190101259661</v>
      </c>
      <c r="AI5" s="71">
        <f>KERHT.OVH.TFL</f>
        <v>77.003722704094997</v>
      </c>
      <c r="AJ5" s="71">
        <f>KERHT.PROD.TFL</f>
        <v>121.56786201255599</v>
      </c>
      <c r="AK5" s="71">
        <f>KERHT.TFL.BIAS</f>
        <v>0.5</v>
      </c>
    </row>
    <row r="6" spans="1:37" x14ac:dyDescent="0.2">
      <c r="A6" s="71"/>
      <c r="B6" s="71" t="s">
        <v>1310</v>
      </c>
      <c r="C6" s="71"/>
      <c r="D6" s="71"/>
      <c r="E6" s="71" t="e">
        <f ca="1">[2]!DLL_MD_SulfurBalHTU(KERHT.FEED.FLOW,KERHT.H2PP,KERHT.WABT,CDU1_.SC1_.SUL,KERHT.PROD.SUL,KERHT.PAR5,PARAM!IUNITS)</f>
        <v>#NAME?</v>
      </c>
      <c r="F6" s="71" t="e">
        <f ca="1">[2]!DLL_MD_dSulfurdFeedFlow(KERHT.FEED.FLOW,KERHT.H2PP,KERHT.WABT,CDU1_.SC1_.SUL,KERHT.PROD.SUL,KERHT.PAR5,PARAM!IUNITS)</f>
        <v>#NAME?</v>
      </c>
      <c r="G6" s="71" t="e">
        <f ca="1">[2]!DLL_MD_dSulfurdP(KERHT.FEED.FLOW,KERHT.H2PP,KERHT.WABT,CDU1_.SC1_.SUL,KERHT.PROD.SUL,KERHT.PAR5,PARAM!IUNITS)</f>
        <v>#NAME?</v>
      </c>
      <c r="H6" s="71" t="e">
        <f ca="1">[2]!DLL_MD_dSulfurdT(KERHT.FEED.FLOW,KERHT.H2PP,KERHT.WABT,CDU1_.SC1_.SUL,KERHT.PROD.SUL,KERHT.PAR5,PARAM!IUNITS)</f>
        <v>#NAME?</v>
      </c>
      <c r="I6" s="71"/>
      <c r="J6" s="71" t="e">
        <f ca="1">[2]!DLL_MD_dSulfurdProdSul(KERHT.FEED.FLOW,KERHT.H2PP,KERHT.WABT,CDU1_.SC1_.SUL,KERHT.PROD.SUL,KERHT.PAR5,PARAM!IUNITS)</f>
        <v>#NAME?</v>
      </c>
      <c r="K6" s="71" t="e">
        <f ca="1">[2]!DLL_MD_dSulfurdRateConstant(KERHT.FEED.FLOW,KERHT.H2PP,KERHT.WABT,CDU1_.SC1_.SUL,KERHT.PROD.SUL,KERHT.PAR5,PARAM!IUNITS)</f>
        <v>#NAME?</v>
      </c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</row>
    <row r="7" spans="1:37" x14ac:dyDescent="0.2">
      <c r="A7" s="71"/>
      <c r="B7" s="71" t="s">
        <v>1311</v>
      </c>
      <c r="C7" s="71"/>
      <c r="D7" s="71"/>
      <c r="E7" s="71">
        <f>KERHT.PROD.FLOW+KERHT.OVH.FLOW-KERHT.FEED.FLOW-KERHT.FLOW.BIAS</f>
        <v>1.8583878733824388E-5</v>
      </c>
      <c r="F7" s="71">
        <v>-1</v>
      </c>
      <c r="G7" s="71"/>
      <c r="H7" s="71"/>
      <c r="I7" s="71"/>
      <c r="J7" s="71"/>
      <c r="K7" s="71"/>
      <c r="L7" s="71">
        <v>1</v>
      </c>
      <c r="M7" s="71">
        <v>1</v>
      </c>
      <c r="N7" s="71">
        <v>-1</v>
      </c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</row>
    <row r="8" spans="1:37" x14ac:dyDescent="0.2">
      <c r="A8" s="71"/>
      <c r="B8" s="71" t="s">
        <v>1312</v>
      </c>
      <c r="C8" s="71"/>
      <c r="D8" s="71"/>
      <c r="E8" s="71">
        <f>(KERHT.PROD.FLOW*KERHT.PROD.SG)+(KERHT.OVH.FLOW*KERHT.OVH.SG)-(KERHT.FEED.FLOW*CDU1_.SC1_.SG)</f>
        <v>5.5218052352756786E-12</v>
      </c>
      <c r="F8" s="71">
        <f>-1*CDU1_.SC1_.SG</f>
        <v>-0.78687581313163468</v>
      </c>
      <c r="G8" s="71"/>
      <c r="H8" s="71"/>
      <c r="I8" s="71"/>
      <c r="J8" s="71"/>
      <c r="K8" s="71"/>
      <c r="L8" s="71">
        <f>KERHT.PROD.SG</f>
        <v>0.77013014533310575</v>
      </c>
      <c r="M8" s="71">
        <f>KERHT.OVH.SG</f>
        <v>0.75</v>
      </c>
      <c r="N8" s="71"/>
      <c r="O8" s="71">
        <f>-1*KERHT.FEED.FLOW</f>
        <v>-7.9967068106407488</v>
      </c>
      <c r="P8" s="71">
        <f>KERHT.PROD.FLOW</f>
        <v>7.1967253945194827</v>
      </c>
      <c r="Q8" s="71">
        <f>KERHT.OVH.FLOW</f>
        <v>1</v>
      </c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</row>
    <row r="9" spans="1:37" x14ac:dyDescent="0.2">
      <c r="A9" s="71"/>
      <c r="B9" s="71" t="s">
        <v>1313</v>
      </c>
      <c r="C9" s="71"/>
      <c r="D9" s="71"/>
      <c r="E9" s="71">
        <f>(KERHT.PROD.FLOW*KERHT.PROD.EVAP1)+(KERHT.OVH.FLOW*KERHT.OVH.EVAP1)-((KERHT.FEED.FLOW+KERHT.FLOW.BIAS)*CDU1_.SC1_.EVAP1)+((KERHT.FEED.FLOW+KERHT.FLOW.BIAS)*KERHT.EVAP1.BIAS)</f>
        <v>-3.1612683670800834E-7</v>
      </c>
      <c r="F9" s="71">
        <f>-1*CDU1_.SC1_.EVAP1+KERHT.EVAP1.BIAS</f>
        <v>-49.519486299712824</v>
      </c>
      <c r="G9" s="71"/>
      <c r="H9" s="71"/>
      <c r="I9" s="71"/>
      <c r="J9" s="71"/>
      <c r="K9" s="71"/>
      <c r="L9" s="71">
        <f>KERHT.PROD.EVAP1</f>
        <v>42.504985743809236</v>
      </c>
      <c r="M9" s="71">
        <f>KERHT.OVH.EVAP1</f>
        <v>100</v>
      </c>
      <c r="N9" s="71">
        <f>-1*CDU1_.SC1_.EVAP1+KERHT.EVAP1.BIAS</f>
        <v>-49.519486299712824</v>
      </c>
      <c r="O9" s="71"/>
      <c r="P9" s="71"/>
      <c r="Q9" s="71"/>
      <c r="R9" s="71">
        <f>-1*(KERHT.FEED.FLOW+KERHT.FLOW.BIAS)</f>
        <v>-8.1967068106407481</v>
      </c>
      <c r="S9" s="71">
        <f>KERHT.PROD.FLOW</f>
        <v>7.1967253945194827</v>
      </c>
      <c r="T9" s="71">
        <f>KERHT.OVH.FLOW</f>
        <v>1</v>
      </c>
      <c r="U9" s="71">
        <f>(KERHT.FEED.FLOW+KERHT.FLOW.BIAS)</f>
        <v>8.1967068106407481</v>
      </c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</row>
    <row r="10" spans="1:37" x14ac:dyDescent="0.2">
      <c r="A10" s="71"/>
      <c r="B10" s="71" t="s">
        <v>1314</v>
      </c>
      <c r="C10" s="71"/>
      <c r="D10" s="71"/>
      <c r="E10" s="71">
        <f>(KERHT.PROD.FLOW*KERHT.PROD.EVAP2)+(KERHT.OVH.FLOW*KERHT.OVH.EVAP2)-((KERHT.FEED.FLOW+KERHT.FLOW.BIAS)*CDU1_.SC1_.EVAP2)+((KERHT.FEED.FLOW+KERHT.FLOW.BIAS)*KERHT.EVAP2.BIAS)</f>
        <v>1.5212087589588918E-8</v>
      </c>
      <c r="F10" s="71">
        <f>-1*CDU1_.SC1_.EVAP2+KERHT.EVAP2.BIAS</f>
        <v>-99.500000004285482</v>
      </c>
      <c r="G10" s="71"/>
      <c r="H10" s="71"/>
      <c r="I10" s="71"/>
      <c r="J10" s="71"/>
      <c r="K10" s="71"/>
      <c r="L10" s="71">
        <f>KERHT.PROD.EVAP2</f>
        <v>99.430267028671494</v>
      </c>
      <c r="M10" s="71">
        <f>KERHT.OVH.EVAP2</f>
        <v>100</v>
      </c>
      <c r="N10" s="71">
        <f>-1*CDU1_.SC1_.EVAP2+KERHT.EVAP2.BIAS</f>
        <v>-99.500000004285482</v>
      </c>
      <c r="O10" s="71"/>
      <c r="P10" s="71"/>
      <c r="Q10" s="71"/>
      <c r="R10" s="71"/>
      <c r="S10" s="71"/>
      <c r="T10" s="71"/>
      <c r="U10" s="71"/>
      <c r="V10" s="71">
        <f>-1*(KERHT.FEED.FLOW+KERHT.FLOW.BIAS)</f>
        <v>-8.1967068106407481</v>
      </c>
      <c r="W10" s="71">
        <f>KERHT.PROD.FLOW</f>
        <v>7.1967253945194827</v>
      </c>
      <c r="X10" s="71">
        <f>KERHT.OVH.FLOW</f>
        <v>1</v>
      </c>
      <c r="Y10" s="71">
        <f>(KERHT.FEED.FLOW+KERHT.FLOW.BIAS)</f>
        <v>8.1967068106407481</v>
      </c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</row>
    <row r="11" spans="1:37" x14ac:dyDescent="0.2">
      <c r="A11" s="71"/>
      <c r="B11" s="71" t="s">
        <v>1315</v>
      </c>
      <c r="C11" s="71"/>
      <c r="D11" s="71"/>
      <c r="E11" s="71" t="e">
        <f ca="1">LN(ABS([2]!DLL_MD_CBN(CDU1_.SC1_.TCL+KERHT.TCL.BIAS,PARAM!CBN_BASE)*(KERHT.FEED.FLOW+KERHT.FLOW.BIAS)/KERHT.PROD.FLOW-[2]!DLL_MD_CBN(KERHT.OVH.TCL,PARAM!CBN_BASE)*KERHT.OVH.FLOW/KERHT.PROD.FLOW))/LN(PARAM!CBN_BASE)-KERHT.PROD.TCL</f>
        <v>#NAME?</v>
      </c>
      <c r="F11" s="71" t="e">
        <f ca="1">[2]!DLL_MD_dGOClouddFeed(KERHT.PROD.TCL,KERHT.PROD.FLOW,KERHT.OVH.TCL,KERHT.OVH.FLOW,CDU1_.SC1_.TCL+KERHT.TCL.BIAS,(KERHT.FEED.FLOW+KERHT.FLOW.BIAS),PARAM!CBN_BASE)</f>
        <v>#NAME?</v>
      </c>
      <c r="G11" s="71"/>
      <c r="H11" s="71"/>
      <c r="I11" s="71"/>
      <c r="J11" s="71"/>
      <c r="K11" s="71"/>
      <c r="L11" s="71">
        <f>-1/(KERHT.PROD.FLOW*LN(PARAM!CBN_BASE))</f>
        <v>-3.2498748668499391</v>
      </c>
      <c r="M11" s="71" t="e">
        <f ca="1">-[2]!DLL_MD_dGOClouddNAPFlow(KERHT.PROD.TCL,KERHT.PROD.FLOW,KERHT.OVH.TCL,KERHT.OVH.FLOW,CDU1_.SC1_.TCL+KERHT.TCL.BIAS,(KERHT.FEED.FLOW+KERHT.FLOW.BIAS),PARAM!CBN_BASE)</f>
        <v>#NAME?</v>
      </c>
      <c r="N11" s="71" t="e">
        <f ca="1">[2]!DLL_MD_dGOClouddFeed(KERHT.PROD.TCL,KERHT.PROD.FLOW,KERHT.OVH.TCL,KERHT.OVH.FLOW,CDU1_.SC1_.TCL+KERHT.TCL.BIAS,(KERHT.FEED.FLOW+KERHT.FLOW.BIAS),PARAM!CBN_BASE)</f>
        <v>#NAME?</v>
      </c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 t="e">
        <f ca="1">[2]!DLL_MD_dGOClouddFeedCloud(KERHT.PROD.TCL,KERHT.PROD.FLOW,KERHT.OVH.TCL,KERHT.OVH.FLOW,CDU1_.SC1_.TCL+KERHT.TCL.BIAS,(KERHT.FEED.FLOW+KERHT.FLOW.BIAS),PARAM!CBN_BASE)</f>
        <v>#NAME?</v>
      </c>
      <c r="AA11" s="71" t="e">
        <f ca="1">-[2]!DLL_MD_dGOClouddNAPCloud(KERHT.PROD.TCL,KERHT.PROD.FLOW,KERHT.OVH.TCL,KERHT.OVH.FLOW,CDU1_.SC1_.TCL+KERHT.TCL.BIAS,(KERHT.FEED.FLOW+KERHT.FLOW.BIAS),PARAM!CBN_BASE)</f>
        <v>#NAME?</v>
      </c>
      <c r="AB11" s="71">
        <v>-1</v>
      </c>
      <c r="AC11" s="71" t="e">
        <f ca="1">[2]!DLL_MD_dGOClouddFeedCloud(KERHT.PROD.TCL,KERHT.PROD.FLOW,KERHT.OVH.TCL,KERHT.OVH.FLOW,CDU1_.SC1_.TCL+KERHT.TCL.BIAS,(KERHT.FEED.FLOW+KERHT.FLOW.BIAS),PARAM!CBN_BASE)</f>
        <v>#NAME?</v>
      </c>
      <c r="AD11" s="71"/>
      <c r="AE11" s="71"/>
      <c r="AF11" s="71"/>
      <c r="AG11" s="71"/>
      <c r="AH11" s="71"/>
      <c r="AI11" s="71"/>
      <c r="AJ11" s="71"/>
      <c r="AK11" s="71"/>
    </row>
    <row r="12" spans="1:37" x14ac:dyDescent="0.2">
      <c r="A12" s="71"/>
      <c r="B12" s="71" t="s">
        <v>1316</v>
      </c>
      <c r="C12" s="71"/>
      <c r="D12" s="71"/>
      <c r="E12" s="71" t="e">
        <f ca="1">LN([2]!DLL_MD_FBN(CDU1_.SC1_.TFZ+KERHT.TFZ.BIAS,PARAM!FBN_BASE)*(KERHT.FEED.FLOW+KERHT.FLOW.BIAS)/KERHT.PROD.FLOW-[2]!DLL_MD_FBN(KERHT.OVH.TFZ,PARAM!FBN_BASE)*KERHT.OVH.FLOW/KERHT.PROD.FLOW)/LN(PARAM!FBN_BASE)-KERHT.PROD.TFZ</f>
        <v>#NAME?</v>
      </c>
      <c r="F12" s="71" t="e">
        <f ca="1">[2]!DLL_MD_dGOFreezedFeed(KERHT.PROD.TFZ,KERHT.PROD.FLOW,KERHT.OVH.TFZ,KERHT.OVH.FLOW,CDU1_.SC1_.TFZ+KERHT.TFZ.BIAS,(KERHT.FEED.FLOW+KERHT.FLOW.BIAS),PARAM!CBN_BASE)</f>
        <v>#NAME?</v>
      </c>
      <c r="G12" s="71"/>
      <c r="H12" s="71"/>
      <c r="I12" s="71"/>
      <c r="J12" s="71"/>
      <c r="K12" s="71"/>
      <c r="L12" s="71">
        <f>-1/(KERHT.PROD.FLOW*LN(PARAM!FBN_BASE))</f>
        <v>-3.2498748668499715</v>
      </c>
      <c r="M12" s="71" t="e">
        <f ca="1">-[2]!DLL_MD_dGOFreezedNAPFlow(KERHT.PROD.TFZ,KERHT.PROD.FLOW,KERHT.OVH.TFZ,KERHT.OVH.FLOW,CDU1_.SC1_.TFZ+KERHT.TFZ.BIAS,(KERHT.FEED.FLOW+KERHT.FLOW.BIAS),PARAM!CBN_BASE)</f>
        <v>#NAME?</v>
      </c>
      <c r="N12" s="71" t="e">
        <f ca="1">[2]!DLL_MD_dGOFreezedFeed(KERHT.PROD.TFZ,KERHT.PROD.FLOW,KERHT.OVH.TFZ,KERHT.OVH.FLOW,CDU1_.SC1_.TFZ+KERHT.TFZ.BIAS,(KERHT.FEED.FLOW+KERHT.FLOW.BIAS),PARAM!CBN_BASE)</f>
        <v>#NAME?</v>
      </c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 t="e">
        <f ca="1">[2]!DLL_MD_dGOFreezedFeedFreeze(KERHT.PROD.TFZ,KERHT.PROD.FLOW,KERHT.OVH.TFZ,KERHT.OVH.FLOW,CDU1_.SC1_.TFZ+KERHT.TFZ.BIAS,(KERHT.FEED.FLOW+KERHT.FLOW.BIAS),PARAM!CBN_BASE)</f>
        <v>#NAME?</v>
      </c>
      <c r="AE12" s="71" t="e">
        <f ca="1">-[2]!DLL_MD_dGOFreezedNAPFreeze(KERHT.PROD.TFZ,KERHT.PROD.FLOW,KERHT.OVH.TFZ,KERHT.OVH.FLOW,CDU1_.SC1_.TFZ+KERHT.TFZ.BIAS,(KERHT.FEED.FLOW+KERHT.FLOW.BIAS),PARAM!CBN_BASE)</f>
        <v>#NAME?</v>
      </c>
      <c r="AF12" s="71">
        <v>-1</v>
      </c>
      <c r="AG12" s="71" t="e">
        <f ca="1">[2]!DLL_MD_dGOFreezedFeedFreeze(KERHT.PROD.TFZ,KERHT.PROD.FLOW,KERHT.OVH.TFZ,KERHT.OVH.FLOW,CDU1_.SC1_.TFZ+KERHT.TFZ.BIAS,(KERHT.FEED.FLOW+KERHT.FLOW.BIAS),PARAM!CBN_BASE)</f>
        <v>#NAME?</v>
      </c>
      <c r="AH12" s="71"/>
      <c r="AI12" s="71"/>
      <c r="AJ12" s="71"/>
      <c r="AK12" s="71"/>
    </row>
    <row r="13" spans="1:37" x14ac:dyDescent="0.2">
      <c r="A13" s="71"/>
      <c r="B13" s="71" t="s">
        <v>1317</v>
      </c>
      <c r="C13" s="71"/>
      <c r="D13" s="71"/>
      <c r="E13" s="71" t="e">
        <f ca="1">[2]!DLL_MD_FlashBalHTU(KERHT.TFL.BIAS,KERHT.PROD.TFL,KERHT.PROD.FLOW,KERHT.OVH.TFL,KERHT.OVH.FLOW,CDU1_.SC1_.TFL,(KERHT.FEED.FLOW+KERHT.FLOW.BIAS),PARAM!FPI_A,PARAM!FPI_B,PARAM!FPI_ALPHA)</f>
        <v>#NAME?</v>
      </c>
      <c r="F13" s="71" t="e">
        <f ca="1">[2]!DLL_MD_dGOFlashdFeed(KERHT.PROD.TFL,KERHT.PROD.FLOW,KERHT.OVH.TFL,KERHT.OVH.FLOW,CDU1_.SC1_.TFL+KERHT.TFL.BIAS,(KERHT.FEED.FLOW+KERHT.FLOW.BIAS),PARAM!FPI_A,PARAM!FPI_B,PARAM!FPI_ALPHA)</f>
        <v>#NAME?</v>
      </c>
      <c r="G13" s="71"/>
      <c r="H13" s="71"/>
      <c r="I13" s="71"/>
      <c r="J13" s="71"/>
      <c r="K13" s="71"/>
      <c r="L13" s="71" t="e">
        <f ca="1">[2]!DLL_MD_dGOFlashdProductFlow(KERHT.PROD.TFL,KERHT.PROD.FLOW,KERHT.OVH.TFL,KERHT.OVH.FLOW,CDU1_.SC1_.TFL+KERHT.TFL.BIAS,(KERHT.FEED.FLOW+KERHT.FLOW.BIAS),PARAM!FPI_A,PARAM!FPI_B,PARAM!FPI_ALPHA)</f>
        <v>#NAME?</v>
      </c>
      <c r="M13" s="71" t="e">
        <f ca="1">[2]!DLL_MD_dGOFlashdNAPFlow(KERHT.PROD.TFL,KERHT.PROD.FLOW,KERHT.OVH.TFL,KERHT.OVH.FLOW,CDU1_.SC1_.TFL+KERHT.TFL.BIAS,(KERHT.FEED.FLOW+KERHT.FLOW.BIAS),PARAM!FPI_A,PARAM!FPI_B,PARAM!FPI_ALPHA)</f>
        <v>#NAME?</v>
      </c>
      <c r="N13" s="71" t="e">
        <f ca="1">[2]!DLL_MD_dGOFlashdFeed(KERHT.PROD.TFL,KERHT.PROD.FLOW,KERHT.OVH.TFL,KERHT.OVH.FLOW,CDU1_.SC1_.TFL+KERHT.TFL.BIAS,(KERHT.FEED.FLOW+KERHT.FLOW.BIAS),PARAM!FPI_A,PARAM!FPI_B,PARAM!FPI_ALPHA)</f>
        <v>#NAME?</v>
      </c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 t="e">
        <f ca="1">[2]!DLL_MD_dGOFlashdFeedFlash(KERHT.PROD.TFL,KERHT.PROD.FLOW,KERHT.OVH.TFL,KERHT.OVH.FLOW,CDU1_.SC1_.TFL+KERHT.TFL.BIAS,(KERHT.FEED.FLOW+KERHT.FLOW.BIAS),PARAM!FPI_A,PARAM!FPI_B,PARAM!FPI_ALPHA)</f>
        <v>#NAME?</v>
      </c>
      <c r="AI13" s="71" t="e">
        <f ca="1">[2]!DLL_MD_dGOFlashdNAPFlash(KERHT.PROD.TFL,KERHT.PROD.FLOW,KERHT.OVH.TFL,KERHT.OVH.FLOW,CDU1_.SC1_.TFL+KERHT.TFL.BIAS,(KERHT.FEED.FLOW+KERHT.FLOW.BIAS),PARAM!FPI_A,PARAM!FPI_B,PARAM!FPI_ALPHA)</f>
        <v>#NAME?</v>
      </c>
      <c r="AJ13" s="71">
        <v>-1</v>
      </c>
      <c r="AK13" s="71" t="e">
        <f ca="1">[2]!DLL_MD_dGOFlashdFeedFlash(KERHT.PROD.TFL,KERHT.PROD.FLOW,KERHT.OVH.TFL,KERHT.OVH.FLOW,CDU1_.SC1_.TFL+KERHT.TFL.BIAS,(KERHT.FEED.FLOW+KERHT.FLOW.BIAS),PARAM!FPI_A,PARAM!FPI_B,PARAM!FPI_ALPHA)</f>
        <v>#NAME?</v>
      </c>
    </row>
  </sheetData>
  <sheetProtection algorithmName="SHA-512" hashValue="uH34QisXqWPXOWiJ6/YHFn1TYgRIghgwN+T4QsmP+6ZX7ahxK5y34NvGTHt6hEZ3S3nyNmvUM80kXXfMOLOFlQ==" saltValue="xsX+X2XtedkZL0d0laZTBg==" spinCount="100000" sheet="1" objects="1" scenarios="1"/>
  <pageMargins left="0.75" right="0.75" top="1" bottom="1" header="0.5" footer="0.5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4"/>
  <dimension ref="A1:AH9"/>
  <sheetViews>
    <sheetView workbookViewId="0">
      <pane xSplit="2" ySplit="3" topLeftCell="C4" activePane="bottomRight" state="frozen"/>
      <selection pane="topRight" activeCell="C1" sqref="C1"/>
      <selection pane="bottomLeft" activeCell="A2" sqref="A2"/>
      <selection pane="bottomRight" activeCell="I25" sqref="I25"/>
    </sheetView>
  </sheetViews>
  <sheetFormatPr defaultRowHeight="12.75" x14ac:dyDescent="0.2"/>
  <cols>
    <col min="1" max="1" width="15.5703125" bestFit="1" customWidth="1"/>
    <col min="2" max="2" width="12.7109375" bestFit="1" customWidth="1"/>
    <col min="3" max="3" width="13.5703125" bestFit="1" customWidth="1"/>
    <col min="4" max="4" width="12.28515625" bestFit="1" customWidth="1"/>
    <col min="5" max="5" width="12.7109375" bestFit="1" customWidth="1"/>
    <col min="6" max="6" width="12.28515625" bestFit="1" customWidth="1"/>
    <col min="7" max="7" width="12.7109375" bestFit="1" customWidth="1"/>
    <col min="8" max="8" width="12.28515625" bestFit="1" customWidth="1"/>
    <col min="9" max="9" width="12.7109375" bestFit="1" customWidth="1"/>
    <col min="10" max="10" width="12.28515625" bestFit="1" customWidth="1"/>
    <col min="11" max="11" width="13.5703125" bestFit="1" customWidth="1"/>
    <col min="12" max="12" width="12.28515625" bestFit="1" customWidth="1"/>
    <col min="13" max="13" width="12.7109375" bestFit="1" customWidth="1"/>
    <col min="14" max="14" width="12.28515625" bestFit="1" customWidth="1"/>
    <col min="15" max="15" width="12.7109375" bestFit="1" customWidth="1"/>
    <col min="16" max="16" width="12.28515625" bestFit="1" customWidth="1"/>
    <col min="17" max="17" width="12.7109375" bestFit="1" customWidth="1"/>
    <col min="18" max="18" width="12.28515625" bestFit="1" customWidth="1"/>
    <col min="19" max="19" width="12.7109375" bestFit="1" customWidth="1"/>
    <col min="20" max="20" width="12.28515625" bestFit="1" customWidth="1"/>
    <col min="21" max="21" width="13.85546875" bestFit="1" customWidth="1"/>
    <col min="22" max="22" width="13.42578125" bestFit="1" customWidth="1"/>
    <col min="23" max="23" width="12.7109375" bestFit="1" customWidth="1"/>
    <col min="24" max="24" width="12.28515625" bestFit="1" customWidth="1"/>
    <col min="25" max="25" width="12.7109375" bestFit="1" customWidth="1"/>
    <col min="26" max="26" width="12.28515625" bestFit="1" customWidth="1"/>
    <col min="27" max="27" width="12.7109375" bestFit="1" customWidth="1"/>
    <col min="28" max="28" width="12.28515625" bestFit="1" customWidth="1"/>
    <col min="29" max="29" width="12.7109375" bestFit="1" customWidth="1"/>
    <col min="30" max="30" width="12.28515625" bestFit="1" customWidth="1"/>
    <col min="31" max="31" width="12.7109375" bestFit="1" customWidth="1"/>
    <col min="32" max="32" width="12.28515625" bestFit="1" customWidth="1"/>
    <col min="33" max="33" width="12.7109375" bestFit="1" customWidth="1"/>
    <col min="34" max="34" width="12.28515625" bestFit="1" customWidth="1"/>
  </cols>
  <sheetData>
    <row r="1" spans="1:34" x14ac:dyDescent="0.2">
      <c r="A1" s="27" t="s">
        <v>409</v>
      </c>
    </row>
    <row r="2" spans="1:34" x14ac:dyDescent="0.2">
      <c r="A2" s="27" t="s">
        <v>186</v>
      </c>
      <c r="B2" t="s">
        <v>218</v>
      </c>
    </row>
    <row r="3" spans="1:34" x14ac:dyDescent="0.2">
      <c r="B3" s="27" t="s">
        <v>243</v>
      </c>
      <c r="C3" s="27" t="s">
        <v>187</v>
      </c>
      <c r="D3" s="27" t="s">
        <v>188</v>
      </c>
      <c r="E3" s="27" t="s">
        <v>189</v>
      </c>
      <c r="F3" s="27" t="s">
        <v>190</v>
      </c>
      <c r="G3" s="27" t="s">
        <v>191</v>
      </c>
      <c r="H3" s="27" t="s">
        <v>192</v>
      </c>
      <c r="I3" s="27" t="s">
        <v>193</v>
      </c>
      <c r="J3" s="27" t="s">
        <v>194</v>
      </c>
      <c r="K3" s="27" t="s">
        <v>195</v>
      </c>
      <c r="L3" s="27" t="s">
        <v>196</v>
      </c>
      <c r="M3" s="27" t="s">
        <v>197</v>
      </c>
      <c r="N3" s="27" t="s">
        <v>198</v>
      </c>
      <c r="O3" s="27" t="s">
        <v>199</v>
      </c>
      <c r="P3" s="27" t="s">
        <v>200</v>
      </c>
      <c r="Q3" s="27" t="s">
        <v>201</v>
      </c>
      <c r="R3" s="27" t="s">
        <v>202</v>
      </c>
      <c r="S3" s="27" t="s">
        <v>203</v>
      </c>
      <c r="T3" s="27" t="s">
        <v>204</v>
      </c>
      <c r="U3" s="27" t="s">
        <v>205</v>
      </c>
      <c r="V3" s="27" t="s">
        <v>206</v>
      </c>
      <c r="W3" s="27" t="s">
        <v>221</v>
      </c>
      <c r="X3" s="27" t="s">
        <v>222</v>
      </c>
      <c r="Y3" s="27" t="s">
        <v>223</v>
      </c>
      <c r="Z3" s="27" t="s">
        <v>224</v>
      </c>
      <c r="AA3" s="27" t="s">
        <v>225</v>
      </c>
      <c r="AB3" s="27" t="s">
        <v>226</v>
      </c>
      <c r="AC3" s="27" t="s">
        <v>227</v>
      </c>
      <c r="AD3" s="27" t="s">
        <v>228</v>
      </c>
      <c r="AE3" s="27" t="s">
        <v>229</v>
      </c>
      <c r="AF3" s="27" t="s">
        <v>230</v>
      </c>
      <c r="AG3" s="27" t="s">
        <v>231</v>
      </c>
      <c r="AH3" s="27" t="s">
        <v>232</v>
      </c>
    </row>
    <row r="4" spans="1:34" x14ac:dyDescent="0.2">
      <c r="A4" s="27" t="s">
        <v>1504</v>
      </c>
      <c r="B4" t="s">
        <v>540</v>
      </c>
      <c r="C4" t="s">
        <v>547</v>
      </c>
      <c r="D4" t="s">
        <v>234</v>
      </c>
    </row>
    <row r="5" spans="1:34" x14ac:dyDescent="0.2">
      <c r="A5" s="27" t="s">
        <v>1505</v>
      </c>
      <c r="C5" t="s">
        <v>1283</v>
      </c>
      <c r="D5" t="s">
        <v>236</v>
      </c>
    </row>
    <row r="6" spans="1:34" x14ac:dyDescent="0.2">
      <c r="A6" s="27" t="s">
        <v>1506</v>
      </c>
      <c r="C6" t="s">
        <v>1284</v>
      </c>
      <c r="D6" t="s">
        <v>235</v>
      </c>
    </row>
    <row r="7" spans="1:34" x14ac:dyDescent="0.2">
      <c r="A7" s="27" t="s">
        <v>1507</v>
      </c>
      <c r="C7" t="s">
        <v>1287</v>
      </c>
      <c r="D7" t="s">
        <v>170</v>
      </c>
    </row>
    <row r="8" spans="1:34" x14ac:dyDescent="0.2">
      <c r="A8" s="27" t="s">
        <v>1508</v>
      </c>
      <c r="C8" t="s">
        <v>1285</v>
      </c>
      <c r="D8" t="s">
        <v>234</v>
      </c>
      <c r="E8" t="s">
        <v>1297</v>
      </c>
      <c r="F8" t="s">
        <v>169</v>
      </c>
      <c r="G8" t="s">
        <v>1298</v>
      </c>
      <c r="H8" t="s">
        <v>238</v>
      </c>
      <c r="I8" t="s">
        <v>1299</v>
      </c>
      <c r="J8" t="s">
        <v>327</v>
      </c>
      <c r="K8" t="s">
        <v>1300</v>
      </c>
      <c r="L8" t="s">
        <v>326</v>
      </c>
    </row>
    <row r="9" spans="1:34" x14ac:dyDescent="0.2">
      <c r="A9" s="27" t="s">
        <v>1509</v>
      </c>
      <c r="C9" t="s">
        <v>1286</v>
      </c>
      <c r="D9" t="s">
        <v>234</v>
      </c>
    </row>
  </sheetData>
  <dataValidations count="6">
    <dataValidation type="list" allowBlank="1" showInputMessage="1" showErrorMessage="1" sqref="D7 F7 H7 J7 L7 N7 P7 R7 T7 V7 X7 Z7 AB7 AD7 AF7 AH7" xr:uid="{00000000-0002-0000-4A00-000000000000}">
      <formula1>measTypeMD_HTUSUL</formula1>
    </dataValidation>
    <dataValidation type="list" allowBlank="1" showInputMessage="1" showErrorMessage="1" sqref="D6 F6 H6 J6 L6 N6 P6 R6 T6 V6 X6 Z6 AB6 AD6 AF6 AH6" xr:uid="{00000000-0002-0000-4A00-000001000000}">
      <formula1>measTypeMD_HTUP</formula1>
    </dataValidation>
    <dataValidation type="list" allowBlank="1" showInputMessage="1" showErrorMessage="1" sqref="D4 D8:D9 F4 H9 H4 J9 J4 L9 L4 N9 N4 AH8:AH9 P4 P8:P9 R4 R8:R9 T4 T8:T9 V4 V8:V9 X4 X8:X9 Z4 Z8:Z9 AB4 AB8:AB9 AD4 AD8:AD9 AF4 AF8:AF9 AH4 F9" xr:uid="{00000000-0002-0000-4A00-000002000000}">
      <formula1>measTypeGenMD_HTU</formula1>
    </dataValidation>
    <dataValidation type="list" allowBlank="1" showInputMessage="1" showErrorMessage="1" sqref="AB5 AD5 AF5 D5 F5 H5 J5 L5 N5 P5 R5 T5 V5 X5 Z5 AH5" xr:uid="{00000000-0002-0000-4A00-000003000000}">
      <formula1>measTypeMD_HTUT</formula1>
    </dataValidation>
    <dataValidation type="list" allowBlank="1" showInputMessage="1" showErrorMessage="1" sqref="B2" xr:uid="{00000000-0002-0000-4A00-000004000000}">
      <formula1>typeMD_HTU</formula1>
    </dataValidation>
    <dataValidation type="list" allowBlank="1" showInputMessage="1" showErrorMessage="1" sqref="F8 H8 J8 N8 L8" xr:uid="{00000000-0002-0000-4A00-000005000000}">
      <formula1>measTypeMD_CDU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5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6"/>
  <dimension ref="A1:E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5" customFormat="1" x14ac:dyDescent="0.2">
      <c r="E1" t="s">
        <v>8</v>
      </c>
    </row>
    <row r="2" spans="1:5" customFormat="1" x14ac:dyDescent="0.2">
      <c r="E2" t="s">
        <v>7</v>
      </c>
    </row>
    <row r="3" spans="1:5" customFormat="1" x14ac:dyDescent="0.2">
      <c r="E3" t="s">
        <v>9</v>
      </c>
    </row>
    <row r="4" spans="1:5" customFormat="1" x14ac:dyDescent="0.2">
      <c r="E4" t="s">
        <v>10</v>
      </c>
    </row>
    <row r="5" spans="1:5" customFormat="1" x14ac:dyDescent="0.2">
      <c r="A5" t="s">
        <v>8</v>
      </c>
      <c r="B5" t="s">
        <v>6</v>
      </c>
      <c r="C5" t="s">
        <v>9</v>
      </c>
      <c r="D5" t="s">
        <v>10</v>
      </c>
      <c r="E5" t="s">
        <v>11</v>
      </c>
    </row>
  </sheetData>
  <pageMargins left="0.75" right="0.75" top="1" bottom="1" header="0.5" footer="0.5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7"/>
  <dimension ref="A1:T15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20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</row>
    <row r="2" spans="1:20" customFormat="1" x14ac:dyDescent="0.2">
      <c r="A2" s="71"/>
      <c r="B2" s="71"/>
      <c r="C2" s="71"/>
      <c r="D2" s="71"/>
      <c r="E2" s="71" t="s">
        <v>7</v>
      </c>
      <c r="F2" s="71" t="s">
        <v>1533</v>
      </c>
      <c r="G2" s="71" t="s">
        <v>1505</v>
      </c>
      <c r="H2" s="71" t="s">
        <v>1506</v>
      </c>
      <c r="I2" s="71" t="s">
        <v>1534</v>
      </c>
      <c r="J2" s="71" t="s">
        <v>1535</v>
      </c>
      <c r="K2" s="71" t="s">
        <v>1536</v>
      </c>
      <c r="L2" s="71" t="s">
        <v>547</v>
      </c>
      <c r="M2" s="71" t="s">
        <v>1283</v>
      </c>
      <c r="N2" s="71" t="s">
        <v>1284</v>
      </c>
      <c r="O2" s="71" t="s">
        <v>1285</v>
      </c>
      <c r="P2" s="71" t="s">
        <v>1286</v>
      </c>
      <c r="Q2" s="71" t="s">
        <v>1550</v>
      </c>
      <c r="R2" s="71" t="s">
        <v>1548</v>
      </c>
      <c r="S2" s="71" t="s">
        <v>1563</v>
      </c>
      <c r="T2" s="71" t="s">
        <v>1566</v>
      </c>
    </row>
    <row r="3" spans="1:20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</row>
    <row r="4" spans="1:20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</row>
    <row r="5" spans="1:20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HDS.FEED.FLOW</f>
        <v>56.003436865952423</v>
      </c>
      <c r="G5" s="71">
        <f>HDS.WABT</f>
        <v>616.99999998981082</v>
      </c>
      <c r="H5" s="71">
        <f>HDS.H2PP</f>
        <v>568.89999999924373</v>
      </c>
      <c r="I5" s="71">
        <f>HDS.PROD.SUL</f>
        <v>22.079062485400012</v>
      </c>
      <c r="J5" s="71">
        <f>HDS.PROD.FLOW</f>
        <v>48.003433951255225</v>
      </c>
      <c r="K5" s="71">
        <f>HDS.OVH.FLOW</f>
        <v>10</v>
      </c>
      <c r="L5" s="71">
        <f>FC_40.SP</f>
        <v>56.003426934413362</v>
      </c>
      <c r="M5" s="71">
        <f>TX_40.PV</f>
        <v>616.99999999072509</v>
      </c>
      <c r="N5" s="71">
        <f>PX_40.PV</f>
        <v>568.8999999993116</v>
      </c>
      <c r="O5" s="71">
        <f>FC_42.PV</f>
        <v>48.003436128069609</v>
      </c>
      <c r="P5" s="71">
        <f>FC_41.PV</f>
        <v>10</v>
      </c>
      <c r="Q5" s="71">
        <f>HDS.PROD.CI</f>
        <v>49.916783465344778</v>
      </c>
      <c r="R5" s="71">
        <f>HDS.PROD.SG</f>
        <v>0.81555716306833048</v>
      </c>
      <c r="S5" s="71">
        <f>HDS.PROD.TCL</f>
        <v>51.297786901010781</v>
      </c>
      <c r="T5" s="71">
        <f>HDS.PROD.TFL</f>
        <v>168.36818454334991</v>
      </c>
    </row>
    <row r="6" spans="1:20" x14ac:dyDescent="0.2">
      <c r="A6" s="71"/>
      <c r="B6" s="71" t="s">
        <v>1528</v>
      </c>
      <c r="C6" s="71"/>
      <c r="D6" s="71"/>
      <c r="E6" s="71">
        <f>(1 * HDS.H2PP) + (-1 * PX_40.PV)</f>
        <v>-6.787104211980477E-11</v>
      </c>
      <c r="F6" s="71"/>
      <c r="G6" s="71"/>
      <c r="H6" s="71">
        <v>1</v>
      </c>
      <c r="I6" s="71"/>
      <c r="J6" s="71"/>
      <c r="K6" s="71"/>
      <c r="L6" s="71"/>
      <c r="M6" s="71"/>
      <c r="N6" s="71">
        <v>-1</v>
      </c>
      <c r="O6" s="71"/>
      <c r="P6" s="71"/>
      <c r="Q6" s="71"/>
      <c r="R6" s="71"/>
      <c r="S6" s="71"/>
      <c r="T6" s="71"/>
    </row>
    <row r="7" spans="1:20" x14ac:dyDescent="0.2">
      <c r="A7" s="71"/>
      <c r="B7" s="71" t="s">
        <v>1529</v>
      </c>
      <c r="C7" s="71"/>
      <c r="D7" s="71"/>
      <c r="E7" s="71">
        <f>(1 * HDS.WABT) + (-1 * TX_40.PV)</f>
        <v>-9.1426954895723611E-10</v>
      </c>
      <c r="F7" s="71"/>
      <c r="G7" s="71">
        <v>1</v>
      </c>
      <c r="H7" s="71"/>
      <c r="I7" s="71"/>
      <c r="J7" s="71"/>
      <c r="K7" s="71"/>
      <c r="L7" s="71"/>
      <c r="M7" s="71">
        <v>-1</v>
      </c>
      <c r="N7" s="71"/>
      <c r="O7" s="71"/>
      <c r="P7" s="71"/>
      <c r="Q7" s="71"/>
      <c r="R7" s="71"/>
      <c r="S7" s="71"/>
      <c r="T7" s="71"/>
    </row>
    <row r="8" spans="1:20" x14ac:dyDescent="0.2">
      <c r="A8" s="71"/>
      <c r="B8" s="71" t="s">
        <v>1530</v>
      </c>
      <c r="C8" s="71"/>
      <c r="D8" s="71"/>
      <c r="E8" s="71">
        <f>(1 * HDS.PROD.FLOW) + (-1 * FC_42.PV)</f>
        <v>-2.1768143838585274E-6</v>
      </c>
      <c r="F8" s="71"/>
      <c r="G8" s="71"/>
      <c r="H8" s="71"/>
      <c r="I8" s="71"/>
      <c r="J8" s="71">
        <v>1</v>
      </c>
      <c r="K8" s="71"/>
      <c r="L8" s="71"/>
      <c r="M8" s="71"/>
      <c r="N8" s="71"/>
      <c r="O8" s="71">
        <v>-1</v>
      </c>
      <c r="P8" s="71"/>
      <c r="Q8" s="71"/>
      <c r="R8" s="71"/>
      <c r="S8" s="71"/>
      <c r="T8" s="71"/>
    </row>
    <row r="9" spans="1:20" x14ac:dyDescent="0.2">
      <c r="A9" s="71"/>
      <c r="B9" s="71" t="s">
        <v>1531</v>
      </c>
      <c r="C9" s="71"/>
      <c r="D9" s="71"/>
      <c r="E9" s="71">
        <f>(1 * HDS.OVH.FLOW) + (-1 * FC_41.PV)</f>
        <v>0</v>
      </c>
      <c r="F9" s="71"/>
      <c r="G9" s="71"/>
      <c r="H9" s="71"/>
      <c r="I9" s="71"/>
      <c r="J9" s="71"/>
      <c r="K9" s="71">
        <v>1</v>
      </c>
      <c r="L9" s="71"/>
      <c r="M9" s="71"/>
      <c r="N9" s="71"/>
      <c r="O9" s="71"/>
      <c r="P9" s="71">
        <v>-1</v>
      </c>
      <c r="Q9" s="71"/>
      <c r="R9" s="71"/>
      <c r="S9" s="71"/>
      <c r="T9" s="71"/>
    </row>
    <row r="10" spans="1:20" x14ac:dyDescent="0.2">
      <c r="A10" s="71"/>
      <c r="B10" s="71" t="s">
        <v>1532</v>
      </c>
      <c r="C10" s="71"/>
      <c r="D10" s="71"/>
      <c r="E10" s="71">
        <f>(1 * HDS.FEED.FLOW) + (-1 * FC_40.SP)</f>
        <v>9.9315390613696763E-6</v>
      </c>
      <c r="F10" s="71">
        <v>1</v>
      </c>
      <c r="G10" s="71"/>
      <c r="H10" s="71"/>
      <c r="I10" s="71"/>
      <c r="J10" s="71"/>
      <c r="K10" s="71"/>
      <c r="L10" s="71">
        <v>-1</v>
      </c>
      <c r="M10" s="71"/>
      <c r="N10" s="71"/>
      <c r="O10" s="71"/>
      <c r="P10" s="71"/>
      <c r="Q10" s="71"/>
      <c r="R10" s="71"/>
      <c r="S10" s="71"/>
      <c r="T10" s="71"/>
    </row>
    <row r="11" spans="1:20" x14ac:dyDescent="0.2">
      <c r="A11" s="71"/>
      <c r="B11" s="71" t="s">
        <v>1287</v>
      </c>
      <c r="C11" s="71"/>
      <c r="D11" s="71"/>
      <c r="E11" s="71">
        <f>(1 * HDS.PROD.SUL)</f>
        <v>22.079062485400012</v>
      </c>
      <c r="F11" s="71"/>
      <c r="G11" s="71"/>
      <c r="H11" s="71"/>
      <c r="I11" s="71">
        <v>1</v>
      </c>
      <c r="J11" s="71"/>
      <c r="K11" s="71"/>
      <c r="L11" s="71"/>
      <c r="M11" s="71"/>
      <c r="N11" s="71"/>
      <c r="O11" s="71"/>
      <c r="P11" s="71"/>
      <c r="Q11" s="71"/>
      <c r="R11" s="71"/>
      <c r="S11" s="71"/>
      <c r="T11" s="71"/>
    </row>
    <row r="12" spans="1:20" x14ac:dyDescent="0.2">
      <c r="A12" s="71"/>
      <c r="B12" s="71" t="s">
        <v>1300</v>
      </c>
      <c r="C12" s="71"/>
      <c r="D12" s="71"/>
      <c r="E12" s="71">
        <f>(1 * HDS.PROD.CI)</f>
        <v>49.916783465344778</v>
      </c>
      <c r="F12" s="71"/>
      <c r="G12" s="71"/>
      <c r="H12" s="71"/>
      <c r="I12" s="71"/>
      <c r="J12" s="71"/>
      <c r="K12" s="71"/>
      <c r="L12" s="71"/>
      <c r="M12" s="71"/>
      <c r="N12" s="71"/>
      <c r="O12" s="71"/>
      <c r="P12" s="71"/>
      <c r="Q12" s="71">
        <v>1</v>
      </c>
      <c r="R12" s="71"/>
      <c r="S12" s="71"/>
      <c r="T12" s="71"/>
    </row>
    <row r="13" spans="1:20" x14ac:dyDescent="0.2">
      <c r="A13" s="71"/>
      <c r="B13" s="71" t="s">
        <v>1297</v>
      </c>
      <c r="C13" s="71"/>
      <c r="D13" s="71"/>
      <c r="E13" s="71">
        <f>(1 * HDS.PROD.SG)</f>
        <v>0.81555716306833048</v>
      </c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71">
        <v>1</v>
      </c>
      <c r="S13" s="71"/>
      <c r="T13" s="71"/>
    </row>
    <row r="14" spans="1:20" x14ac:dyDescent="0.2">
      <c r="A14" s="71"/>
      <c r="B14" s="71" t="s">
        <v>1298</v>
      </c>
      <c r="C14" s="71"/>
      <c r="D14" s="71"/>
      <c r="E14" s="71">
        <f>(1 * HDS.PROD.TCL)</f>
        <v>51.297786901010781</v>
      </c>
      <c r="F14" s="71"/>
      <c r="G14" s="71"/>
      <c r="H14" s="71"/>
      <c r="I14" s="71"/>
      <c r="J14" s="71"/>
      <c r="K14" s="71"/>
      <c r="L14" s="71"/>
      <c r="M14" s="71"/>
      <c r="N14" s="71"/>
      <c r="O14" s="71"/>
      <c r="P14" s="71"/>
      <c r="Q14" s="71"/>
      <c r="R14" s="71"/>
      <c r="S14" s="71">
        <v>1</v>
      </c>
      <c r="T14" s="71"/>
    </row>
    <row r="15" spans="1:20" x14ac:dyDescent="0.2">
      <c r="A15" s="71"/>
      <c r="B15" s="71" t="s">
        <v>1299</v>
      </c>
      <c r="C15" s="71"/>
      <c r="D15" s="71"/>
      <c r="E15" s="71">
        <f>(1 * HDS.PROD.TFL)</f>
        <v>168.36818454334991</v>
      </c>
      <c r="F15" s="71"/>
      <c r="G15" s="71"/>
      <c r="H15" s="71"/>
      <c r="I15" s="71"/>
      <c r="J15" s="71"/>
      <c r="K15" s="71"/>
      <c r="L15" s="71"/>
      <c r="M15" s="71"/>
      <c r="N15" s="71"/>
      <c r="O15" s="71"/>
      <c r="P15" s="71"/>
      <c r="Q15" s="71"/>
      <c r="R15" s="71"/>
      <c r="S15" s="71"/>
      <c r="T15" s="71">
        <v>1</v>
      </c>
    </row>
  </sheetData>
  <sheetProtection algorithmName="SHA-512" hashValue="UI0dBuQVaKuUOzJV9ke70GoIFneP2SweF3m4xNRiou0NNRwnuZ8/bskTmJi4E+0U4Ex5nagQcOjeDZwBENhkAQ==" saltValue="YJsKqcBcnWhZTQu1aTchdQ==" spinCount="100000" sheet="1" objects="1" scenarios="1"/>
  <pageMargins left="0.75" right="0.75" top="1" bottom="1" header="0.5" footer="0.5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8"/>
  <dimension ref="A1:AS27"/>
  <sheetViews>
    <sheetView workbookViewId="0">
      <pane xSplit="5" ySplit="5" topLeftCell="F6" activePane="bottomRight" state="frozen"/>
      <selection pane="topRight" activeCell="F1" sqref="F1"/>
      <selection pane="bottomLeft" activeCell="A6" sqref="A6"/>
      <selection pane="bottomRight" activeCell="E14" sqref="E14"/>
    </sheetView>
  </sheetViews>
  <sheetFormatPr defaultColWidth="9.140625" defaultRowHeight="12.75" x14ac:dyDescent="0.2"/>
  <cols>
    <col min="1" max="1" width="6.28515625" customWidth="1"/>
    <col min="2" max="2" width="10" customWidth="1"/>
    <col min="3" max="3" width="11.140625" customWidth="1"/>
    <col min="4" max="4" width="7.7109375" customWidth="1"/>
    <col min="5" max="5" width="10.85546875" customWidth="1"/>
    <col min="6" max="16384" width="9.140625" style="5"/>
  </cols>
  <sheetData>
    <row r="1" spans="1:45" customFormat="1" x14ac:dyDescent="0.2">
      <c r="A1" s="71"/>
      <c r="B1" s="71"/>
      <c r="C1" s="71"/>
      <c r="D1" s="71"/>
      <c r="E1" s="71" t="s">
        <v>8</v>
      </c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</row>
    <row r="2" spans="1:45" customFormat="1" x14ac:dyDescent="0.2">
      <c r="A2" s="71"/>
      <c r="B2" s="71"/>
      <c r="C2" s="71"/>
      <c r="D2" s="71"/>
      <c r="E2" s="71" t="s">
        <v>7</v>
      </c>
      <c r="F2" s="71" t="s">
        <v>1533</v>
      </c>
      <c r="G2" s="71" t="s">
        <v>1506</v>
      </c>
      <c r="H2" s="71" t="s">
        <v>1505</v>
      </c>
      <c r="I2" s="71" t="s">
        <v>683</v>
      </c>
      <c r="J2" s="71" t="s">
        <v>1534</v>
      </c>
      <c r="K2" s="71" t="s">
        <v>1546</v>
      </c>
      <c r="L2" s="71" t="s">
        <v>1535</v>
      </c>
      <c r="M2" s="71" t="s">
        <v>1536</v>
      </c>
      <c r="N2" s="71" t="s">
        <v>1547</v>
      </c>
      <c r="O2" s="71" t="s">
        <v>667</v>
      </c>
      <c r="P2" s="71" t="s">
        <v>1548</v>
      </c>
      <c r="Q2" s="71" t="s">
        <v>1549</v>
      </c>
      <c r="R2" s="71" t="s">
        <v>666</v>
      </c>
      <c r="S2" s="71" t="s">
        <v>1550</v>
      </c>
      <c r="T2" s="71" t="s">
        <v>1551</v>
      </c>
      <c r="U2" s="71" t="s">
        <v>1552</v>
      </c>
      <c r="V2" s="71" t="s">
        <v>684</v>
      </c>
      <c r="W2" s="71" t="s">
        <v>1553</v>
      </c>
      <c r="X2" s="71" t="s">
        <v>1554</v>
      </c>
      <c r="Y2" s="71" t="s">
        <v>1555</v>
      </c>
      <c r="Z2" s="71" t="s">
        <v>685</v>
      </c>
      <c r="AA2" s="71" t="s">
        <v>1556</v>
      </c>
      <c r="AB2" s="71" t="s">
        <v>1557</v>
      </c>
      <c r="AC2" s="71" t="s">
        <v>1558</v>
      </c>
      <c r="AD2" s="71" t="s">
        <v>686</v>
      </c>
      <c r="AE2" s="71" t="s">
        <v>1559</v>
      </c>
      <c r="AF2" s="71" t="s">
        <v>1560</v>
      </c>
      <c r="AG2" s="71" t="s">
        <v>1561</v>
      </c>
      <c r="AH2" s="71" t="s">
        <v>1770</v>
      </c>
      <c r="AI2" s="71" t="s">
        <v>1772</v>
      </c>
      <c r="AJ2" s="71" t="s">
        <v>1773</v>
      </c>
      <c r="AK2" s="71" t="s">
        <v>1774</v>
      </c>
      <c r="AL2" s="71" t="s">
        <v>670</v>
      </c>
      <c r="AM2" s="71" t="s">
        <v>1562</v>
      </c>
      <c r="AN2" s="71" t="s">
        <v>1563</v>
      </c>
      <c r="AO2" s="71" t="s">
        <v>1564</v>
      </c>
      <c r="AP2" s="71" t="s">
        <v>671</v>
      </c>
      <c r="AQ2" s="71" t="s">
        <v>1565</v>
      </c>
      <c r="AR2" s="71" t="s">
        <v>1566</v>
      </c>
      <c r="AS2" s="71" t="s">
        <v>1567</v>
      </c>
    </row>
    <row r="3" spans="1:45" customFormat="1" x14ac:dyDescent="0.2">
      <c r="A3" s="71"/>
      <c r="B3" s="71"/>
      <c r="C3" s="71"/>
      <c r="D3" s="71"/>
      <c r="E3" s="71" t="s">
        <v>9</v>
      </c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</row>
    <row r="4" spans="1:45" customFormat="1" x14ac:dyDescent="0.2">
      <c r="A4" s="71"/>
      <c r="B4" s="71"/>
      <c r="C4" s="71"/>
      <c r="D4" s="71"/>
      <c r="E4" s="71" t="s">
        <v>10</v>
      </c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</row>
    <row r="5" spans="1:45" customFormat="1" x14ac:dyDescent="0.2">
      <c r="A5" s="71" t="s">
        <v>8</v>
      </c>
      <c r="B5" s="71" t="s">
        <v>6</v>
      </c>
      <c r="C5" s="71" t="s">
        <v>9</v>
      </c>
      <c r="D5" s="71" t="s">
        <v>10</v>
      </c>
      <c r="E5" s="71" t="s">
        <v>11</v>
      </c>
      <c r="F5" s="71">
        <f>HDS.FEED.FLOW</f>
        <v>56.003436865952423</v>
      </c>
      <c r="G5" s="71">
        <f>HDS.H2PP</f>
        <v>568.89999999924373</v>
      </c>
      <c r="H5" s="71">
        <f>HDS.WABT</f>
        <v>616.99999998981082</v>
      </c>
      <c r="I5" s="71">
        <f>HFB.PROD.VAR1</f>
        <v>5000.5502170653417</v>
      </c>
      <c r="J5" s="71">
        <f>HDS.PROD.SUL</f>
        <v>22.079062485400012</v>
      </c>
      <c r="K5" s="71">
        <f>HDS.PAR5</f>
        <v>24.890313063991645</v>
      </c>
      <c r="L5" s="71">
        <f>HDS.PROD.FLOW</f>
        <v>48.003433951255225</v>
      </c>
      <c r="M5" s="71">
        <f>HDS.OVH.FLOW</f>
        <v>10</v>
      </c>
      <c r="N5" s="71">
        <f>HDS.FLOW.BIAS</f>
        <v>2</v>
      </c>
      <c r="O5" s="71">
        <f>HFB.PROD.SG</f>
        <v>0.83331594270501674</v>
      </c>
      <c r="P5" s="71">
        <f>HDS.PROD.SG</f>
        <v>0.81555716306833048</v>
      </c>
      <c r="Q5" s="71">
        <f>HDS.OVH.SG</f>
        <v>0.7519012375854035</v>
      </c>
      <c r="R5" s="71">
        <f>HFB.PROD.CI</f>
        <v>48.707373976246025</v>
      </c>
      <c r="S5" s="71">
        <f>HDS.PROD.CI</f>
        <v>49.916783465344778</v>
      </c>
      <c r="T5" s="71">
        <f>HDS.OVH.CI</f>
        <v>40.00163547808414</v>
      </c>
      <c r="U5" s="71">
        <f>HDS.CI.BIAS</f>
        <v>0.5</v>
      </c>
      <c r="V5" s="71">
        <f>HFB.PROD.EVAP1</f>
        <v>28.58276640168453</v>
      </c>
      <c r="W5" s="71">
        <f>HDS.PROD.EVAP1</f>
        <v>13.101082908604115</v>
      </c>
      <c r="X5" s="71">
        <f>HDS.OVH.EVAP1</f>
        <v>100</v>
      </c>
      <c r="Y5" s="71">
        <f>HDS.EVAP1.BIAS</f>
        <v>0.5</v>
      </c>
      <c r="Z5" s="71">
        <f>HFB.PROD.EVAP2</f>
        <v>59.052195931401414</v>
      </c>
      <c r="AA5" s="71">
        <f>HDS.PROD.EVAP2</f>
        <v>49.917858013253664</v>
      </c>
      <c r="AB5" s="71">
        <f>HDS.OVH.EVAP2</f>
        <v>100</v>
      </c>
      <c r="AC5" s="71">
        <f>HDS.EVAP2.BIAS</f>
        <v>0.5</v>
      </c>
      <c r="AD5" s="71">
        <f>HFB.PROD.EVAP3</f>
        <v>93.337572112724359</v>
      </c>
      <c r="AE5" s="71">
        <f>HDS.PROD.EVAP3</f>
        <v>91.3455120167622</v>
      </c>
      <c r="AF5" s="71">
        <f>HDS.OVH.EVAP3</f>
        <v>100</v>
      </c>
      <c r="AG5" s="71">
        <f>HDS.EVAP3.BIAS</f>
        <v>0.5</v>
      </c>
      <c r="AH5" s="71">
        <f>HFB.PROD.EVAP4</f>
        <v>100.00007889564095</v>
      </c>
      <c r="AI5" s="71">
        <f>HDS.PROD.EVAP4</f>
        <v>99.395942157508301</v>
      </c>
      <c r="AJ5" s="71">
        <f>HDS.OVH.EVAP4</f>
        <v>100</v>
      </c>
      <c r="AK5" s="71">
        <f>HDS.EVAP4.BIAS</f>
        <v>0.5</v>
      </c>
      <c r="AL5" s="71">
        <f>HFB.PROD.TCL</f>
        <v>46.417472948368165</v>
      </c>
      <c r="AM5" s="71">
        <f>HDS.OVH.TCL</f>
        <v>-57.999997068267398</v>
      </c>
      <c r="AN5" s="71">
        <f>HDS.PROD.TCL</f>
        <v>51.297786901010781</v>
      </c>
      <c r="AO5" s="71">
        <f>HDS.TCL.BIAS</f>
        <v>0.5</v>
      </c>
      <c r="AP5" s="71">
        <f>HFB.PROD.TFL</f>
        <v>151.5331194774931</v>
      </c>
      <c r="AQ5" s="71">
        <f>HDS.OVH.TFL</f>
        <v>121.99098046657024</v>
      </c>
      <c r="AR5" s="71">
        <f>HDS.PROD.TFL</f>
        <v>168.36818454334991</v>
      </c>
      <c r="AS5" s="71">
        <f>HDS.TFL.BIAS</f>
        <v>0.5</v>
      </c>
    </row>
    <row r="6" spans="1:45" x14ac:dyDescent="0.2">
      <c r="A6" s="71"/>
      <c r="B6" s="71" t="s">
        <v>1537</v>
      </c>
      <c r="C6" s="71"/>
      <c r="D6" s="71"/>
      <c r="E6" s="71" t="e">
        <f ca="1">[2]!DLL_MD_SulfurBalHTU(HDS.FEED.FLOW,HDS.H2PP,HDS.WABT,HFB.PROD.VAR1,HDS.PROD.SUL,HDS.PAR5,PARAM!IUNITS)</f>
        <v>#NAME?</v>
      </c>
      <c r="F6" s="71" t="e">
        <f ca="1">[2]!DLL_MD_dSulfurdFeedFlow(HDS.FEED.FLOW,HDS.H2PP,HDS.WABT,HFB.PROD.VAR1,HDS.PROD.SUL,HDS.PAR5,PARAM!IUNITS)</f>
        <v>#NAME?</v>
      </c>
      <c r="G6" s="71" t="e">
        <f ca="1">[2]!DLL_MD_dSulfurdP(HDS.FEED.FLOW,HDS.H2PP,HDS.WABT,HFB.PROD.VAR1,HDS.PROD.SUL,HDS.PAR5,PARAM!IUNITS)</f>
        <v>#NAME?</v>
      </c>
      <c r="H6" s="71" t="e">
        <f ca="1">[2]!DLL_MD_dSulfurdT(HDS.FEED.FLOW,HDS.H2PP,HDS.WABT,HFB.PROD.VAR1,HDS.PROD.SUL,HDS.PAR5,PARAM!IUNITS)</f>
        <v>#NAME?</v>
      </c>
      <c r="I6" s="71" t="e">
        <f ca="1">[2]!DLL_MD_dSulfurdFeedSul1(HDS.FEED.FLOW,HDS.H2PP,HDS.WABT,HFB.PROD.VAR1,HDS.PROD.SUL,HDS.PAR5,PARAM!IUNITS)</f>
        <v>#NAME?</v>
      </c>
      <c r="J6" s="71" t="e">
        <f ca="1">[2]!DLL_MD_dSulfurdProdSul(HDS.FEED.FLOW,HDS.H2PP,HDS.WABT,HFB.PROD.VAR1,HDS.PROD.SUL,HDS.PAR5,PARAM!IUNITS)</f>
        <v>#NAME?</v>
      </c>
      <c r="K6" s="71" t="e">
        <f ca="1">[2]!DLL_MD_dSulfurdRateConstant(HDS.FEED.FLOW,HDS.H2PP,HDS.WABT,HFB.PROD.VAR1,HDS.PROD.SUL,HDS.PAR5,PARAM!IUNITS)</f>
        <v>#NAME?</v>
      </c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</row>
    <row r="7" spans="1:45" x14ac:dyDescent="0.2">
      <c r="A7" s="71"/>
      <c r="B7" s="71" t="s">
        <v>1538</v>
      </c>
      <c r="C7" s="71"/>
      <c r="D7" s="71"/>
      <c r="E7" s="71">
        <f>HDS.PROD.FLOW+HDS.OVH.FLOW-HDS.FEED.FLOW-HDS.FLOW.BIAS</f>
        <v>-2.9146971982640935E-6</v>
      </c>
      <c r="F7" s="71">
        <v>-1</v>
      </c>
      <c r="G7" s="71"/>
      <c r="H7" s="71"/>
      <c r="I7" s="71"/>
      <c r="J7" s="71"/>
      <c r="K7" s="71"/>
      <c r="L7" s="71">
        <v>1</v>
      </c>
      <c r="M7" s="71">
        <v>1</v>
      </c>
      <c r="N7" s="71">
        <v>-1</v>
      </c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</row>
    <row r="8" spans="1:45" x14ac:dyDescent="0.2">
      <c r="A8" s="71"/>
      <c r="B8" s="71" t="s">
        <v>1539</v>
      </c>
      <c r="C8" s="71"/>
      <c r="D8" s="71"/>
      <c r="E8" s="71">
        <f>(HDS.PROD.FLOW*HDS.PROD.SG)+(HDS.OVH.FLOW*HDS.OVH.SG)-(HDS.FEED.FLOW*HFB.PROD.SG)</f>
        <v>5.6843418860808015E-12</v>
      </c>
      <c r="F8" s="71">
        <f>-1*HFB.PROD.SG</f>
        <v>-0.83331594270501674</v>
      </c>
      <c r="G8" s="71"/>
      <c r="H8" s="71"/>
      <c r="I8" s="71"/>
      <c r="J8" s="71"/>
      <c r="K8" s="71"/>
      <c r="L8" s="71">
        <f>HDS.PROD.SG</f>
        <v>0.81555716306833048</v>
      </c>
      <c r="M8" s="71">
        <f>HDS.OVH.SG</f>
        <v>0.7519012375854035</v>
      </c>
      <c r="N8" s="71"/>
      <c r="O8" s="71">
        <f>-1*HDS.FEED.FLOW</f>
        <v>-56.003436865952423</v>
      </c>
      <c r="P8" s="71">
        <f>HDS.PROD.FLOW</f>
        <v>48.003433951255225</v>
      </c>
      <c r="Q8" s="71">
        <f>HDS.OVH.FLOW</f>
        <v>10</v>
      </c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</row>
    <row r="9" spans="1:45" x14ac:dyDescent="0.2">
      <c r="A9" s="71"/>
      <c r="B9" s="71" t="s">
        <v>1540</v>
      </c>
      <c r="C9" s="71"/>
      <c r="D9" s="71"/>
      <c r="E9" s="71">
        <f>(HDS.PROD.FLOW*HDS.PROD.CI)+(HDS.OVH.FLOW*HDS.OVH.CI)-((HDS.FEED.FLOW+HDS.FLOW.BIAS)*HFB.PROD.CI)+((HDS.FEED.FLOW+HDS.FLOW.BIAS)*HDS.CI.BIAS)</f>
        <v>1.4084342581099918E-8</v>
      </c>
      <c r="F9" s="71">
        <f>-1*HFB.PROD.CI+HDS.CI.BIAS</f>
        <v>-48.207373976246025</v>
      </c>
      <c r="G9" s="71"/>
      <c r="H9" s="71"/>
      <c r="I9" s="71"/>
      <c r="J9" s="71"/>
      <c r="K9" s="71"/>
      <c r="L9" s="71">
        <f>HDS.PROD.CI</f>
        <v>49.916783465344778</v>
      </c>
      <c r="M9" s="71">
        <f>HDS.OVH.CI</f>
        <v>40.00163547808414</v>
      </c>
      <c r="N9" s="71">
        <f>-1*HFB.PROD.CI+HDS.CI.BIAS</f>
        <v>-48.207373976246025</v>
      </c>
      <c r="O9" s="71"/>
      <c r="P9" s="71"/>
      <c r="Q9" s="71"/>
      <c r="R9" s="71">
        <f>-1*(HDS.FEED.FLOW+HDS.FLOW.BIAS)</f>
        <v>-58.003436865952423</v>
      </c>
      <c r="S9" s="71">
        <f>HDS.PROD.FLOW</f>
        <v>48.003433951255225</v>
      </c>
      <c r="T9" s="71">
        <f>HDS.OVH.FLOW</f>
        <v>10</v>
      </c>
      <c r="U9" s="71">
        <f>(HDS.FEED.FLOW+HDS.FLOW.BIAS)</f>
        <v>58.003436865952423</v>
      </c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</row>
    <row r="10" spans="1:45" x14ac:dyDescent="0.2">
      <c r="A10" s="71"/>
      <c r="B10" s="71" t="s">
        <v>1541</v>
      </c>
      <c r="C10" s="71"/>
      <c r="D10" s="71"/>
      <c r="E10" s="71">
        <f>(HDS.PROD.FLOW*HDS.PROD.EVAP1)+(HDS.OVH.FLOW*HDS.OVH.EVAP1)-((HDS.FEED.FLOW+HDS.FLOW.BIAS)*HFB.PROD.EVAP1)+((HDS.FEED.FLOW+HDS.FLOW.BIAS)*HDS.EVAP1.BIAS)</f>
        <v>9.1697664572620852E-8</v>
      </c>
      <c r="F10" s="71">
        <f>-1*HFB.PROD.EVAP1+HDS.EVAP1.BIAS</f>
        <v>-28.08276640168453</v>
      </c>
      <c r="G10" s="71"/>
      <c r="H10" s="71"/>
      <c r="I10" s="71"/>
      <c r="J10" s="71"/>
      <c r="K10" s="71"/>
      <c r="L10" s="71">
        <f>HDS.PROD.EVAP1</f>
        <v>13.101082908604115</v>
      </c>
      <c r="M10" s="71">
        <f>HDS.OVH.EVAP1</f>
        <v>100</v>
      </c>
      <c r="N10" s="71">
        <f>-1*HFB.PROD.EVAP1+HDS.EVAP1.BIAS</f>
        <v>-28.08276640168453</v>
      </c>
      <c r="O10" s="71"/>
      <c r="P10" s="71"/>
      <c r="Q10" s="71"/>
      <c r="R10" s="71"/>
      <c r="S10" s="71"/>
      <c r="T10" s="71"/>
      <c r="U10" s="71"/>
      <c r="V10" s="71">
        <f>-1*(HDS.FEED.FLOW+HDS.FLOW.BIAS)</f>
        <v>-58.003436865952423</v>
      </c>
      <c r="W10" s="71">
        <f>HDS.PROD.FLOW</f>
        <v>48.003433951255225</v>
      </c>
      <c r="X10" s="71">
        <f>HDS.OVH.FLOW</f>
        <v>10</v>
      </c>
      <c r="Y10" s="71">
        <f>(HDS.FEED.FLOW+HDS.FLOW.BIAS)</f>
        <v>58.003436865952423</v>
      </c>
      <c r="Z10" s="71"/>
      <c r="AA10" s="71"/>
      <c r="AB10" s="71"/>
      <c r="AC10" s="71"/>
      <c r="AD10" s="71"/>
      <c r="AE10" s="71"/>
      <c r="AF10" s="71"/>
      <c r="AG10" s="71"/>
      <c r="AH10" s="71"/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</row>
    <row r="11" spans="1:45" x14ac:dyDescent="0.2">
      <c r="A11" s="71"/>
      <c r="B11" s="71" t="s">
        <v>1542</v>
      </c>
      <c r="C11" s="71"/>
      <c r="D11" s="71"/>
      <c r="E11" s="71">
        <f>(HDS.PROD.FLOW*HDS.PROD.EVAP2)+(HDS.OVH.FLOW*HDS.OVH.EVAP2)-((HDS.FEED.FLOW+HDS.FLOW.BIAS)*HFB.PROD.EVAP2)+((HDS.FEED.FLOW+HDS.FLOW.BIAS)*HDS.EVAP2.BIAS)</f>
        <v>5.7440409761966293E-8</v>
      </c>
      <c r="F11" s="71">
        <f>-1*HFB.PROD.EVAP2+HDS.EVAP2.BIAS</f>
        <v>-58.552195931401414</v>
      </c>
      <c r="G11" s="71"/>
      <c r="H11" s="71"/>
      <c r="I11" s="71"/>
      <c r="J11" s="71"/>
      <c r="K11" s="71"/>
      <c r="L11" s="71">
        <f>HDS.PROD.EVAP2</f>
        <v>49.917858013253664</v>
      </c>
      <c r="M11" s="71">
        <f>HDS.OVH.EVAP2</f>
        <v>100</v>
      </c>
      <c r="N11" s="71">
        <f>-1*HFB.PROD.EVAP2+HDS.EVAP2.BIAS</f>
        <v>-58.552195931401414</v>
      </c>
      <c r="O11" s="71"/>
      <c r="P11" s="71"/>
      <c r="Q11" s="71"/>
      <c r="R11" s="71"/>
      <c r="S11" s="71"/>
      <c r="T11" s="71"/>
      <c r="U11" s="71"/>
      <c r="V11" s="71"/>
      <c r="W11" s="71"/>
      <c r="X11" s="71"/>
      <c r="Y11" s="71"/>
      <c r="Z11" s="71">
        <f>-1*(HDS.FEED.FLOW+HDS.FLOW.BIAS)</f>
        <v>-58.003436865952423</v>
      </c>
      <c r="AA11" s="71">
        <f>HDS.PROD.FLOW</f>
        <v>48.003433951255225</v>
      </c>
      <c r="AB11" s="71">
        <f>HDS.OVH.FLOW</f>
        <v>10</v>
      </c>
      <c r="AC11" s="71">
        <f>(HDS.FEED.FLOW+HDS.FLOW.BIAS)</f>
        <v>58.003436865952423</v>
      </c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</row>
    <row r="12" spans="1:45" x14ac:dyDescent="0.2">
      <c r="A12" s="71"/>
      <c r="B12" s="71" t="s">
        <v>1543</v>
      </c>
      <c r="C12" s="71"/>
      <c r="D12" s="71"/>
      <c r="E12" s="71">
        <f>(HDS.PROD.FLOW*HDS.PROD.EVAP3)+(HDS.OVH.FLOW*HDS.OVH.EVAP3)-((HDS.FEED.FLOW+HDS.FLOW.BIAS)*HFB.PROD.EVAP3)+((HDS.FEED.FLOW+HDS.FLOW.BIAS)*HDS.EVAP3.BIAS)</f>
        <v>1.1522296006205579E-8</v>
      </c>
      <c r="F12" s="71">
        <f>-1*HFB.PROD.EVAP3+HDS.EVAP3.BIAS</f>
        <v>-92.837572112724359</v>
      </c>
      <c r="G12" s="71"/>
      <c r="H12" s="71"/>
      <c r="I12" s="71"/>
      <c r="J12" s="71"/>
      <c r="K12" s="71"/>
      <c r="L12" s="71">
        <f>HDS.PROD.EVAP3</f>
        <v>91.3455120167622</v>
      </c>
      <c r="M12" s="71">
        <f>HDS.OVH.EVAP3</f>
        <v>100</v>
      </c>
      <c r="N12" s="71">
        <f>-1*HFB.PROD.EVAP3+HDS.EVAP3.BIAS</f>
        <v>-92.837572112724359</v>
      </c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>
        <f>-1*(HDS.FEED.FLOW+HDS.FLOW.BIAS)</f>
        <v>-58.003436865952423</v>
      </c>
      <c r="AE12" s="71">
        <f>HDS.PROD.FLOW</f>
        <v>48.003433951255225</v>
      </c>
      <c r="AF12" s="71">
        <f>HDS.OVH.FLOW</f>
        <v>10</v>
      </c>
      <c r="AG12" s="71">
        <f>(HDS.FEED.FLOW+HDS.FLOW.BIAS)</f>
        <v>58.003436865952423</v>
      </c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</row>
    <row r="13" spans="1:45" x14ac:dyDescent="0.2">
      <c r="A13" s="71"/>
      <c r="B13" s="71" t="s">
        <v>1771</v>
      </c>
      <c r="C13" s="71"/>
      <c r="D13" s="71"/>
      <c r="E13" s="71">
        <f>(HDS.PROD.FLOW*HDS.PROD.EVAP4)+(HDS.OVH.FLOW*HDS.OVH.EVAP4)-((HDS.FEED.FLOW+HDS.FLOW.BIAS)*HFB.PROD.EVAP4)+((HDS.FEED.FLOW+HDS.FLOW.BIAS)*HDS.EVAP4.BIAS)</f>
        <v>1.3906031881560921E-10</v>
      </c>
      <c r="F13" s="71">
        <f>-1*HFB.PROD.EVAP4+HDS.EVAP4.BIAS</f>
        <v>-99.500078895640954</v>
      </c>
      <c r="G13" s="71"/>
      <c r="H13" s="71"/>
      <c r="I13" s="71"/>
      <c r="J13" s="71"/>
      <c r="K13" s="71"/>
      <c r="L13" s="71">
        <f>HDS.PROD.EVAP4</f>
        <v>99.395942157508301</v>
      </c>
      <c r="M13" s="71">
        <f>HDS.OVH.EVAP4</f>
        <v>100</v>
      </c>
      <c r="N13" s="71">
        <f>-1*HFB.PROD.EVAP4+HDS.EVAP4.BIAS</f>
        <v>-99.500078895640954</v>
      </c>
      <c r="O13" s="71"/>
      <c r="P13" s="71"/>
      <c r="Q13" s="71"/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/>
      <c r="AF13" s="71"/>
      <c r="AG13" s="71"/>
      <c r="AH13" s="71">
        <f>-1*(HDS.FEED.FLOW+HDS.FLOW.BIAS)</f>
        <v>-58.003436865952423</v>
      </c>
      <c r="AI13" s="71">
        <f>HDS.PROD.FLOW</f>
        <v>48.003433951255225</v>
      </c>
      <c r="AJ13" s="71">
        <f>HDS.OVH.FLOW</f>
        <v>10</v>
      </c>
      <c r="AK13" s="71">
        <f>(HDS.FEED.FLOW+HDS.FLOW.BIAS)</f>
        <v>58.003436865952423</v>
      </c>
      <c r="AL13" s="71"/>
      <c r="AM13" s="71"/>
      <c r="AN13" s="71"/>
      <c r="AO13" s="71"/>
      <c r="AP13" s="71"/>
      <c r="AQ13" s="71"/>
      <c r="AR13" s="71"/>
      <c r="AS13" s="71"/>
    </row>
    <row r="14" spans="1:45" x14ac:dyDescent="0.2">
      <c r="A14" s="71"/>
      <c r="B14" s="71" t="s">
        <v>1544</v>
      </c>
      <c r="C14" s="71"/>
      <c r="D14" s="71"/>
      <c r="E14" s="71" t="e">
        <f ca="1">LN(ABS([2]!DLL_MD_CBN(HFB.PROD.TCL+HDS.TCL.BIAS,PARAM!CBN_BASE)*(HDS.FEED.FLOW+HDS.FLOW.BIAS)/HDS.PROD.FLOW-[2]!DLL_MD_CBN(HDS.OVH.TCL,PARAM!CBN_BASE)*HDS.OVH.FLOW/HDS.PROD.FLOW))/LN(PARAM!CBN_BASE)-HDS.PROD.TCL</f>
        <v>#NAME?</v>
      </c>
      <c r="F14" s="71" t="e">
        <f ca="1">[2]!DLL_MD_dGOClouddFeed(HDS.PROD.TCL,HDS.PROD.FLOW,HDS.OVH.TCL,HDS.OVH.FLOW,HFB.PROD.TCL+HDS.TCL.BIAS,(HDS.FEED.FLOW+HDS.FLOW.BIAS),PARAM!CBN_BASE)</f>
        <v>#NAME?</v>
      </c>
      <c r="G14" s="71"/>
      <c r="H14" s="71"/>
      <c r="I14" s="71"/>
      <c r="J14" s="71"/>
      <c r="K14" s="71"/>
      <c r="L14" s="71">
        <f>-1/(HDS.PROD.FLOW*LN(PARAM!CBN_BASE))</f>
        <v>-0.48722466411505555</v>
      </c>
      <c r="M14" s="71" t="e">
        <f ca="1">-[2]!DLL_MD_dGOClouddNAPFlow(HDS.PROD.TCL,HDS.PROD.FLOW,HDS.OVH.TCL,HDS.OVH.FLOW,HFB.PROD.TCL+HDS.TCL.BIAS,(HDS.FEED.FLOW+HDS.FLOW.BIAS),PARAM!CBN_BASE)</f>
        <v>#NAME?</v>
      </c>
      <c r="N14" s="71" t="e">
        <f ca="1">[2]!DLL_MD_dGOClouddFeed(HDS.PROD.TCL,HDS.PROD.FLOW,HDS.OVH.TCL,HDS.OVH.FLOW,HFB.PROD.TCL+HDS.TCL.BIAS,(HDS.FEED.FLOW+HDS.FLOW.BIAS),PARAM!CBN_BASE)</f>
        <v>#NAME?</v>
      </c>
      <c r="O14" s="71"/>
      <c r="P14" s="71"/>
      <c r="Q14" s="71"/>
      <c r="R14" s="71"/>
      <c r="S14" s="71"/>
      <c r="T14" s="71"/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 t="e">
        <f ca="1">[2]!DLL_MD_dGOClouddFeedCloud(HDS.PROD.TCL,HDS.PROD.FLOW,HDS.OVH.TCL,HDS.OVH.FLOW,HFB.PROD.TCL+HDS.TCL.BIAS,(HDS.FEED.FLOW+HDS.FLOW.BIAS),PARAM!CBN_BASE)</f>
        <v>#NAME?</v>
      </c>
      <c r="AM14" s="71" t="e">
        <f ca="1">-[2]!DLL_MD_dGOClouddNAPCloud(HDS.PROD.TCL,HDS.PROD.FLOW,HDS.OVH.TCL,HDS.OVH.FLOW,HFB.PROD.TCL+HDS.TCL.BIAS,(HDS.FEED.FLOW+HDS.FLOW.BIAS),PARAM!CBN_BASE)</f>
        <v>#NAME?</v>
      </c>
      <c r="AN14" s="71">
        <v>-1</v>
      </c>
      <c r="AO14" s="71" t="e">
        <f ca="1">[2]!DLL_MD_dGOClouddFeedCloud(HDS.PROD.TCL,HDS.PROD.FLOW,HDS.OVH.TCL,HDS.OVH.FLOW,HFB.PROD.TCL+HDS.TCL.BIAS,(HDS.FEED.FLOW+HDS.FLOW.BIAS),PARAM!CBN_BASE)</f>
        <v>#NAME?</v>
      </c>
      <c r="AP14" s="71"/>
      <c r="AQ14" s="71"/>
      <c r="AR14" s="71"/>
      <c r="AS14" s="71"/>
    </row>
    <row r="15" spans="1:45" x14ac:dyDescent="0.2">
      <c r="A15" s="71"/>
      <c r="B15" s="71" t="s">
        <v>1545</v>
      </c>
      <c r="C15" s="71"/>
      <c r="D15" s="71"/>
      <c r="E15" s="71" t="e">
        <f ca="1">[2]!DLL_MD_FlashBalHTU(HDS.TFL.BIAS,HDS.PROD.TFL,HDS.PROD.FLOW,HDS.OVH.TFL,HDS.OVH.FLOW,HFB.PROD.TFL,(HDS.FEED.FLOW+HDS.FLOW.BIAS),PARAM!FPI_A,PARAM!FPI_B,PARAM!FPI_ALPHA)</f>
        <v>#NAME?</v>
      </c>
      <c r="F15" s="71" t="e">
        <f ca="1">[2]!DLL_MD_dGOFlashdFeed(HDS.PROD.TFL,HDS.PROD.FLOW,HDS.OVH.TFL,HDS.OVH.FLOW,HFB.PROD.TFL+HDS.TFL.BIAS,(HDS.FEED.FLOW+HDS.FLOW.BIAS),PARAM!FPI_A,PARAM!FPI_B,PARAM!FPI_ALPHA)</f>
        <v>#NAME?</v>
      </c>
      <c r="G15" s="71"/>
      <c r="H15" s="71"/>
      <c r="I15" s="71"/>
      <c r="J15" s="71"/>
      <c r="K15" s="71"/>
      <c r="L15" s="71" t="e">
        <f ca="1">[2]!DLL_MD_dGOFlashdProductFlow(HDS.PROD.TFL,HDS.PROD.FLOW,HDS.OVH.TFL,HDS.OVH.FLOW,HFB.PROD.TFL+HDS.TFL.BIAS,(HDS.FEED.FLOW+HDS.FLOW.BIAS),PARAM!FPI_A,PARAM!FPI_B,PARAM!FPI_ALPHA)</f>
        <v>#NAME?</v>
      </c>
      <c r="M15" s="71" t="e">
        <f ca="1">[2]!DLL_MD_dGOFlashdNAPFlow(HDS.PROD.TFL,HDS.PROD.FLOW,HDS.OVH.TFL,HDS.OVH.FLOW,HFB.PROD.TFL+HDS.TFL.BIAS,(HDS.FEED.FLOW+HDS.FLOW.BIAS),PARAM!FPI_A,PARAM!FPI_B,PARAM!FPI_ALPHA)</f>
        <v>#NAME?</v>
      </c>
      <c r="N15" s="71" t="e">
        <f ca="1">[2]!DLL_MD_dGOFlashdFeed(HDS.PROD.TFL,HDS.PROD.FLOW,HDS.OVH.TFL,HDS.OVH.FLOW,HFB.PROD.TFL+HDS.TFL.BIAS,(HDS.FEED.FLOW+HDS.FLOW.BIAS),PARAM!FPI_A,PARAM!FPI_B,PARAM!FPI_ALPHA)</f>
        <v>#NAME?</v>
      </c>
      <c r="O15" s="71"/>
      <c r="P15" s="71"/>
      <c r="Q15" s="71"/>
      <c r="R15" s="71"/>
      <c r="S15" s="71"/>
      <c r="T15" s="71"/>
      <c r="U15" s="71"/>
      <c r="V15" s="71"/>
      <c r="W15" s="71"/>
      <c r="X15" s="71"/>
      <c r="Y15" s="71"/>
      <c r="Z15" s="71"/>
      <c r="AA15" s="71"/>
      <c r="AB15" s="71"/>
      <c r="AC15" s="71"/>
      <c r="AD15" s="71"/>
      <c r="AE15" s="71"/>
      <c r="AF15" s="71"/>
      <c r="AG15" s="71"/>
      <c r="AH15" s="71"/>
      <c r="AI15" s="71"/>
      <c r="AJ15" s="71"/>
      <c r="AK15" s="71"/>
      <c r="AL15" s="71"/>
      <c r="AM15" s="71"/>
      <c r="AN15" s="71"/>
      <c r="AO15" s="71"/>
      <c r="AP15" s="71" t="e">
        <f ca="1">[2]!DLL_MD_dGOFlashdFeedFlash(HDS.PROD.TFL,HDS.PROD.FLOW,HDS.OVH.TFL,HDS.OVH.FLOW,HFB.PROD.TFL+HDS.TFL.BIAS,(HDS.FEED.FLOW+HDS.FLOW.BIAS),PARAM!FPI_A,PARAM!FPI_B,PARAM!FPI_ALPHA)</f>
        <v>#NAME?</v>
      </c>
      <c r="AQ15" s="71" t="e">
        <f ca="1">[2]!DLL_MD_dGOFlashdNAPFlash(HDS.PROD.TFL,HDS.PROD.FLOW,HDS.OVH.TFL,HDS.OVH.FLOW,HFB.PROD.TFL+HDS.TFL.BIAS,(HDS.FEED.FLOW+HDS.FLOW.BIAS),PARAM!FPI_A,PARAM!FPI_B,PARAM!FPI_ALPHA)</f>
        <v>#NAME?</v>
      </c>
      <c r="AR15" s="71">
        <v>-1</v>
      </c>
      <c r="AS15" s="71" t="e">
        <f ca="1">[2]!DLL_MD_dGOFlashdFeedFlash(HDS.PROD.TFL,HDS.PROD.FLOW,HDS.OVH.TFL,HDS.OVH.FLOW,HFB.PROD.TFL+HDS.TFL.BIAS,(HDS.FEED.FLOW+HDS.FLOW.BIAS),PARAM!FPI_A,PARAM!FPI_B,PARAM!FPI_ALPHA)</f>
        <v>#NAME?</v>
      </c>
    </row>
    <row r="16" spans="1:45" x14ac:dyDescent="0.2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</row>
    <row r="17" spans="1:45" x14ac:dyDescent="0.2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</row>
    <row r="18" spans="1:45" x14ac:dyDescent="0.2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  <c r="W18" s="71"/>
      <c r="X18" s="71"/>
      <c r="Y18" s="71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1"/>
      <c r="AL18" s="71"/>
      <c r="AM18" s="71"/>
      <c r="AN18" s="71"/>
      <c r="AO18" s="71"/>
      <c r="AP18" s="71"/>
      <c r="AQ18" s="71"/>
      <c r="AR18" s="71"/>
      <c r="AS18" s="71"/>
    </row>
    <row r="19" spans="1:45" x14ac:dyDescent="0.2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1"/>
      <c r="AL19" s="71"/>
      <c r="AM19" s="71"/>
      <c r="AN19" s="71"/>
      <c r="AO19" s="71"/>
      <c r="AP19" s="71"/>
      <c r="AQ19" s="71"/>
      <c r="AR19" s="71"/>
      <c r="AS19" s="71"/>
    </row>
    <row r="20" spans="1:45" x14ac:dyDescent="0.2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/>
      <c r="AQ20" s="71"/>
      <c r="AR20" s="71"/>
      <c r="AS20" s="71"/>
    </row>
    <row r="21" spans="1:45" x14ac:dyDescent="0.2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</row>
    <row r="22" spans="1:45" x14ac:dyDescent="0.2">
      <c r="A22" s="71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</row>
    <row r="23" spans="1:45" x14ac:dyDescent="0.2">
      <c r="A23" s="71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</row>
    <row r="24" spans="1:45" x14ac:dyDescent="0.2">
      <c r="A24" s="71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1"/>
      <c r="AD24" s="71"/>
      <c r="AE24" s="71"/>
      <c r="AF24" s="71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</row>
    <row r="25" spans="1:45" x14ac:dyDescent="0.2">
      <c r="A25" s="71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</row>
    <row r="26" spans="1:45" x14ac:dyDescent="0.2">
      <c r="A26" s="71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</row>
    <row r="27" spans="1:45" x14ac:dyDescent="0.2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  <c r="Q27" s="71"/>
      <c r="R27" s="71"/>
      <c r="S27" s="71"/>
      <c r="T27" s="71"/>
      <c r="U27" s="71"/>
      <c r="V27" s="71"/>
      <c r="W27" s="71"/>
      <c r="X27" s="71"/>
      <c r="Y27" s="71"/>
      <c r="Z27" s="71"/>
      <c r="AA27" s="71"/>
      <c r="AB27" s="71"/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</row>
  </sheetData>
  <sheetProtection algorithmName="SHA-512" hashValue="9MvR3sV2D/IrU/OT9uUA+CtdA/9F4Iq2+AUcnTXgDcJG97FFZ5mrfmwX7wCcn5GQi+wzuSkWVRufPkrTo5CrzA==" saltValue="OewCMPIAgX2JR0/4nqSZXQ==" spinCount="100000" sheet="1" objects="1" scenarios="1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E187BF16AB4047855D95007DC1897D" ma:contentTypeVersion="8" ma:contentTypeDescription="Create a new document." ma:contentTypeScope="" ma:versionID="e7736c673606b67d84a8d2e6e38ae0d8">
  <xsd:schema xmlns:xsd="http://www.w3.org/2001/XMLSchema" xmlns:xs="http://www.w3.org/2001/XMLSchema" xmlns:p="http://schemas.microsoft.com/office/2006/metadata/properties" xmlns:ns2="b54f9b02-ab5e-41c7-b476-7d9e28335d6c" targetNamespace="http://schemas.microsoft.com/office/2006/metadata/properties" ma:root="true" ma:fieldsID="07c43dcfb31cab4326a00a18d5941a10" ns2:_="">
    <xsd:import namespace="b54f9b02-ab5e-41c7-b476-7d9e28335d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f9b02-ab5e-41c7-b476-7d9e28335d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8A6177-D68C-422A-AF0B-9D590E2A2DC7}"/>
</file>

<file path=customXml/itemProps2.xml><?xml version="1.0" encoding="utf-8"?>
<ds:datastoreItem xmlns:ds="http://schemas.openxmlformats.org/officeDocument/2006/customXml" ds:itemID="{BAAB29D0-0B9A-4412-99B9-C6C76CC8DE1A}"/>
</file>

<file path=customXml/itemProps3.xml><?xml version="1.0" encoding="utf-8"?>
<ds:datastoreItem xmlns:ds="http://schemas.openxmlformats.org/officeDocument/2006/customXml" ds:itemID="{A8A86EA4-9BF2-4363-A435-5B6748991DD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683</vt:i4>
      </vt:variant>
    </vt:vector>
  </HeadingPairs>
  <TitlesOfParts>
    <vt:vector size="716" baseType="lpstr">
      <vt:lpstr>Index</vt:lpstr>
      <vt:lpstr>Dynamics</vt:lpstr>
      <vt:lpstr>Temp</vt:lpstr>
      <vt:lpstr>AuxRead Config</vt:lpstr>
      <vt:lpstr>Opt Config DR</vt:lpstr>
      <vt:lpstr>Opt Config</vt:lpstr>
      <vt:lpstr>MV Config DR</vt:lpstr>
      <vt:lpstr>CV Config DR</vt:lpstr>
      <vt:lpstr>MV Config</vt:lpstr>
      <vt:lpstr>CV Config</vt:lpstr>
      <vt:lpstr>AuxWrite Config</vt:lpstr>
      <vt:lpstr>Model Update</vt:lpstr>
      <vt:lpstr>Function Values</vt:lpstr>
      <vt:lpstr>Gain Matrix Sorted</vt:lpstr>
      <vt:lpstr>Gain Matrix</vt:lpstr>
      <vt:lpstr>Convoluted Matrix</vt:lpstr>
      <vt:lpstr>Diagnostics</vt:lpstr>
      <vt:lpstr>Convoluted Matrix_2</vt:lpstr>
      <vt:lpstr>Diagnostics_2</vt:lpstr>
      <vt:lpstr>PARAM</vt:lpstr>
      <vt:lpstr>CDU1.FDPR</vt:lpstr>
      <vt:lpstr>CDU1.CNFG</vt:lpstr>
      <vt:lpstr>CDU1.DMC</vt:lpstr>
      <vt:lpstr>CDU1.CMAP</vt:lpstr>
      <vt:lpstr>HFB.CNFG</vt:lpstr>
      <vt:lpstr>HFB.DMC</vt:lpstr>
      <vt:lpstr>HFB.CMAP</vt:lpstr>
      <vt:lpstr>KERHT.CNFG</vt:lpstr>
      <vt:lpstr>KERHT.DMC</vt:lpstr>
      <vt:lpstr>KERHT.CMAP</vt:lpstr>
      <vt:lpstr>HDS.CNFG</vt:lpstr>
      <vt:lpstr>HDS.DMC</vt:lpstr>
      <vt:lpstr>HDS.CMAP</vt:lpstr>
      <vt:lpstr>AI_11_T95.PV</vt:lpstr>
      <vt:lpstr>AI_12_SG.PV</vt:lpstr>
      <vt:lpstr>AI_12_SUL.PV</vt:lpstr>
      <vt:lpstr>AI_12_T95.PV</vt:lpstr>
      <vt:lpstr>AI_12_TCL.PV</vt:lpstr>
      <vt:lpstr>AI_12_TFL.PV</vt:lpstr>
      <vt:lpstr>AI_12_TFZ.PV</vt:lpstr>
      <vt:lpstr>AI_13_CI.PV</vt:lpstr>
      <vt:lpstr>AI_13_SG.PV</vt:lpstr>
      <vt:lpstr>AI_13_SUL.PV</vt:lpstr>
      <vt:lpstr>AI_13_T95.PV</vt:lpstr>
      <vt:lpstr>AI_13_TCL.PV</vt:lpstr>
      <vt:lpstr>AI_13_TFL.PV</vt:lpstr>
      <vt:lpstr>AI_14_CI.PV</vt:lpstr>
      <vt:lpstr>AI_14_SG.PV</vt:lpstr>
      <vt:lpstr>AI_14_SUL.PV</vt:lpstr>
      <vt:lpstr>AI_14_T95.PV</vt:lpstr>
      <vt:lpstr>AI_14_TCL.PV</vt:lpstr>
      <vt:lpstr>AI_14_TFL.PV</vt:lpstr>
      <vt:lpstr>AI_40_CI.PV</vt:lpstr>
      <vt:lpstr>AI_40_SG.PV</vt:lpstr>
      <vt:lpstr>AI_40_SUL.PV</vt:lpstr>
      <vt:lpstr>AI_40_T95.PV</vt:lpstr>
      <vt:lpstr>AI_40_TCL.PV</vt:lpstr>
      <vt:lpstr>AI_40_TFL.PV</vt:lpstr>
      <vt:lpstr>AI_42_CI.PV</vt:lpstr>
      <vt:lpstr>AI_42_SG.PV</vt:lpstr>
      <vt:lpstr>AI_42_SUL.PV</vt:lpstr>
      <vt:lpstr>AI_42_TCL.PV</vt:lpstr>
      <vt:lpstr>AI_42_TFL.PV</vt:lpstr>
      <vt:lpstr>AI_73_SG.PV</vt:lpstr>
      <vt:lpstr>AI_73_SUL.PV</vt:lpstr>
      <vt:lpstr>AI_73_TCL.PV</vt:lpstr>
      <vt:lpstr>AI_73_TFL.PV</vt:lpstr>
      <vt:lpstr>AI_73_TFZ.PV</vt:lpstr>
      <vt:lpstr>ApplicationName</vt:lpstr>
      <vt:lpstr>ApplicationType</vt:lpstr>
      <vt:lpstr>PARAM!CBN_BASE</vt:lpstr>
      <vt:lpstr>CDU1_.FEED.FLOW</vt:lpstr>
      <vt:lpstr>CDU1_.FEED.MAP</vt:lpstr>
      <vt:lpstr>CDU1_.FEED.PAR1</vt:lpstr>
      <vt:lpstr>CDU1_.FEED.PAR2</vt:lpstr>
      <vt:lpstr>CDU1_.FEED.SUL.PAR3</vt:lpstr>
      <vt:lpstr>CDU1_.FEED.SUL.PAR4</vt:lpstr>
      <vt:lpstr>CDU1_.FEED.TCL.PAR3</vt:lpstr>
      <vt:lpstr>CDU1_.FEED.TCL.PAR4</vt:lpstr>
      <vt:lpstr>CDU1_.FEED.TFL.PAR3</vt:lpstr>
      <vt:lpstr>CDU1_.FEED.TFL.PAR4</vt:lpstr>
      <vt:lpstr>CDU1_.FEED.TFZ.PAR3</vt:lpstr>
      <vt:lpstr>CDU1_.FEED.TFZ.PAR4</vt:lpstr>
      <vt:lpstr>CDU1_.OVH.FLOW</vt:lpstr>
      <vt:lpstr>CDU1_.OVH.FLOW.BAL</vt:lpstr>
      <vt:lpstr>CDU1_.OVH.MAP</vt:lpstr>
      <vt:lpstr>CDU1_.OVH.T95</vt:lpstr>
      <vt:lpstr>CDU1_.OVH.T95.BAL</vt:lpstr>
      <vt:lpstr>CDU1_.RES.FLOW</vt:lpstr>
      <vt:lpstr>CDU1_.RES.FLOW.BAL</vt:lpstr>
      <vt:lpstr>CDU1_.RES.MAP</vt:lpstr>
      <vt:lpstr>CDU1_.RUNNING</vt:lpstr>
      <vt:lpstr>CDU1_.SC1_.CI</vt:lpstr>
      <vt:lpstr>CDU1_.SC1_.CI.BAL</vt:lpstr>
      <vt:lpstr>CDU1_.SC1_.EVAP1</vt:lpstr>
      <vt:lpstr>CDU1_.SC1_.EVAP1.BAL</vt:lpstr>
      <vt:lpstr>CDU1_.SC1_.EVAP2</vt:lpstr>
      <vt:lpstr>CDU1_.SC1_.EVAP2.BAL</vt:lpstr>
      <vt:lpstr>CDU1_.SC1_.FLOW</vt:lpstr>
      <vt:lpstr>CDU1_.SC1_.MAP</vt:lpstr>
      <vt:lpstr>CDU1_.SC1_.MPT.BAL</vt:lpstr>
      <vt:lpstr>CDU1_.SC1_.SG</vt:lpstr>
      <vt:lpstr>CDU1_.SC1_.SG.BAL</vt:lpstr>
      <vt:lpstr>CDU1_.SC1_.SUL</vt:lpstr>
      <vt:lpstr>CDU1_.SC1_.SUL.BAL</vt:lpstr>
      <vt:lpstr>CDU1_.SC1_.T95</vt:lpstr>
      <vt:lpstr>CDU1_.SC1_.T95.BAL</vt:lpstr>
      <vt:lpstr>CDU1_.SC1_.T951</vt:lpstr>
      <vt:lpstr>CDU1_.SC1_.T952</vt:lpstr>
      <vt:lpstr>CDU1_.SC1_.T953</vt:lpstr>
      <vt:lpstr>CDU1_.SC1_.TCL</vt:lpstr>
      <vt:lpstr>CDU1_.SC1_.TCL.BAL</vt:lpstr>
      <vt:lpstr>CDU1_.SC1_.TFL</vt:lpstr>
      <vt:lpstr>CDU1_.SC1_.TFL.BAL</vt:lpstr>
      <vt:lpstr>CDU1_.SC1_.TFL.PAR4</vt:lpstr>
      <vt:lpstr>CDU1_.SC1_.TFZ</vt:lpstr>
      <vt:lpstr>CDU1_.SC1_.TFZ.BAL</vt:lpstr>
      <vt:lpstr>CDU1_.SC2_.CI</vt:lpstr>
      <vt:lpstr>CDU1_.SC2_.CI.BAL</vt:lpstr>
      <vt:lpstr>CDU1_.SC2_.EVAP1</vt:lpstr>
      <vt:lpstr>CDU1_.SC2_.EVAP1.BAL</vt:lpstr>
      <vt:lpstr>CDU1_.SC2_.EVAP2</vt:lpstr>
      <vt:lpstr>CDU1_.SC2_.EVAP2.BAL</vt:lpstr>
      <vt:lpstr>CDU1_.SC2_.EVAP3</vt:lpstr>
      <vt:lpstr>CDU1_.SC2_.EVAP3.BAL</vt:lpstr>
      <vt:lpstr>CDU1_.SC2_.EVAP4</vt:lpstr>
      <vt:lpstr>CDU1_.SC2_.EVAP4.BAL</vt:lpstr>
      <vt:lpstr>CDU1_.SC2_.FLOW</vt:lpstr>
      <vt:lpstr>CDU1_.SC2_.MAP</vt:lpstr>
      <vt:lpstr>CDU1_.SC2_.MPT.BAL</vt:lpstr>
      <vt:lpstr>CDU1_.SC2_.SG</vt:lpstr>
      <vt:lpstr>CDU1_.SC2_.SG.BAL</vt:lpstr>
      <vt:lpstr>CDU1_.SC2_.SUL</vt:lpstr>
      <vt:lpstr>CDU1_.SC2_.SUL.BAL</vt:lpstr>
      <vt:lpstr>CDU1_.SC2_.T95</vt:lpstr>
      <vt:lpstr>CDU1_.SC2_.T95.BAL</vt:lpstr>
      <vt:lpstr>CDU1_.SC2_.T951</vt:lpstr>
      <vt:lpstr>CDU1_.SC2_.T952</vt:lpstr>
      <vt:lpstr>CDU1_.SC2_.T953</vt:lpstr>
      <vt:lpstr>CDU1_.SC2_.T954</vt:lpstr>
      <vt:lpstr>CDU1_.SC2_.T955</vt:lpstr>
      <vt:lpstr>CDU1_.SC2_.TCL</vt:lpstr>
      <vt:lpstr>CDU1_.SC2_.TCL.BAL</vt:lpstr>
      <vt:lpstr>CDU1_.SC2_.TFL</vt:lpstr>
      <vt:lpstr>CDU1_.SC2_.TFL.BAL</vt:lpstr>
      <vt:lpstr>CDU1_.SC2_.TFL.PAR4</vt:lpstr>
      <vt:lpstr>CDU1_.SC2_.VAR1</vt:lpstr>
      <vt:lpstr>CDU1_.SC2_.VAR1.BAL</vt:lpstr>
      <vt:lpstr>CDU1_.SC3_.CI</vt:lpstr>
      <vt:lpstr>CDU1_.SC3_.CI.BAL</vt:lpstr>
      <vt:lpstr>CDU1_.SC3_.EVAP1</vt:lpstr>
      <vt:lpstr>CDU1_.SC3_.EVAP1.BAL</vt:lpstr>
      <vt:lpstr>CDU1_.SC3_.EVAP2</vt:lpstr>
      <vt:lpstr>CDU1_.SC3_.EVAP2.BAL</vt:lpstr>
      <vt:lpstr>CDU1_.SC3_.EVAP3</vt:lpstr>
      <vt:lpstr>CDU1_.SC3_.EVAP3.BAL</vt:lpstr>
      <vt:lpstr>CDU1_.SC3_.EVAP4</vt:lpstr>
      <vt:lpstr>CDU1_.SC3_.EVAP4.BAL</vt:lpstr>
      <vt:lpstr>CDU1_.SC3_.FLOW</vt:lpstr>
      <vt:lpstr>CDU1_.SC3_.MAP</vt:lpstr>
      <vt:lpstr>CDU1_.SC3_.MPT.BAL</vt:lpstr>
      <vt:lpstr>CDU1_.SC3_.SG</vt:lpstr>
      <vt:lpstr>CDU1_.SC3_.SG.BAL</vt:lpstr>
      <vt:lpstr>CDU1_.SC3_.SUL</vt:lpstr>
      <vt:lpstr>CDU1_.SC3_.SUL.BAL</vt:lpstr>
      <vt:lpstr>CDU1_.SC3_.T95</vt:lpstr>
      <vt:lpstr>CDU1_.SC3_.T95.BAL</vt:lpstr>
      <vt:lpstr>CDU1_.SC3_.T951</vt:lpstr>
      <vt:lpstr>CDU1_.SC3_.T952</vt:lpstr>
      <vt:lpstr>CDU1_.SC3_.T953</vt:lpstr>
      <vt:lpstr>CDU1_.SC3_.T954</vt:lpstr>
      <vt:lpstr>CDU1_.SC3_.T955</vt:lpstr>
      <vt:lpstr>CDU1_.SC3_.TCL</vt:lpstr>
      <vt:lpstr>CDU1_.SC3_.TCL.BAL</vt:lpstr>
      <vt:lpstr>CDU1_.SC3_.TFL</vt:lpstr>
      <vt:lpstr>CDU1_.SC3_.TFL.BAL</vt:lpstr>
      <vt:lpstr>CDU1_.SC3_.TFL.PAR4</vt:lpstr>
      <vt:lpstr>CDU1_.SC3_.VAR1</vt:lpstr>
      <vt:lpstr>CDU1_.SC3_.VAR1.BAL</vt:lpstr>
      <vt:lpstr>'Opt Config DR'!CheckPntInterval</vt:lpstr>
      <vt:lpstr>CheckPntInterval</vt:lpstr>
      <vt:lpstr>CDU1.GFDP!CLOUD_1</vt:lpstr>
      <vt:lpstr>CDU1.GFDP!CLOUD_2</vt:lpstr>
      <vt:lpstr>'Opt Config DR'!ConvolutionGain_CutOff</vt:lpstr>
      <vt:lpstr>ConvolutionGain_CutOff</vt:lpstr>
      <vt:lpstr>CVConfig</vt:lpstr>
      <vt:lpstr>CVConfig_DR</vt:lpstr>
      <vt:lpstr>CDU1.CMAP!CVs</vt:lpstr>
      <vt:lpstr>CDU1.DMC!CVs</vt:lpstr>
      <vt:lpstr>CDU1.GDOT!CVs</vt:lpstr>
      <vt:lpstr>CDU1.GMAP!CVs</vt:lpstr>
      <vt:lpstr>'Convoluted Matrix'!CVs</vt:lpstr>
      <vt:lpstr>'Convoluted Matrix_2'!CVs</vt:lpstr>
      <vt:lpstr>'GM Template'!CVs</vt:lpstr>
      <vt:lpstr>HDS.CMAP!CVs</vt:lpstr>
      <vt:lpstr>HDS.DMC!CVs</vt:lpstr>
      <vt:lpstr>HDS.GDOT!CVs</vt:lpstr>
      <vt:lpstr>HDS.GMAP!CVs</vt:lpstr>
      <vt:lpstr>HFB.CMAP!CVs</vt:lpstr>
      <vt:lpstr>HFB.DMC!CVs</vt:lpstr>
      <vt:lpstr>HFB.GDOT!CVs</vt:lpstr>
      <vt:lpstr>HFB.GMAP!CVs</vt:lpstr>
      <vt:lpstr>KERHT.CMAP!CVs</vt:lpstr>
      <vt:lpstr>KERHT.DMC!CVs</vt:lpstr>
      <vt:lpstr>KERHT.GDOT!CVs</vt:lpstr>
      <vt:lpstr>KERHT.GMAP!CVs</vt:lpstr>
      <vt:lpstr>CVs</vt:lpstr>
      <vt:lpstr>PARAM!DSL_EVAP_T1</vt:lpstr>
      <vt:lpstr>PARAM!DSL_EVAP_T2</vt:lpstr>
      <vt:lpstr>PARAM!DSL_EVAP_T3</vt:lpstr>
      <vt:lpstr>PARAM!DSL_EVAP_T4</vt:lpstr>
      <vt:lpstr>'Opt Config DR'!ELVfromCheckPnt</vt:lpstr>
      <vt:lpstr>ELVfromCheckPnt</vt:lpstr>
      <vt:lpstr>'MD PARAM Template'!EvapNames</vt:lpstr>
      <vt:lpstr>'Opt Config DR'!ExecInterval</vt:lpstr>
      <vt:lpstr>ExecInterval</vt:lpstr>
      <vt:lpstr>'Opt Config DR'!ExecOffset</vt:lpstr>
      <vt:lpstr>ExecOffset</vt:lpstr>
      <vt:lpstr>'Opt Config DR'!ExtLinkTrgtOffTrack</vt:lpstr>
      <vt:lpstr>ExtLinkTrgtOffTrack</vt:lpstr>
      <vt:lpstr>PARAM!FBN_BASE</vt:lpstr>
      <vt:lpstr>CDU1.GFDP!FBP_1H</vt:lpstr>
      <vt:lpstr>CDU1.GFDP!FBP_1H_ROW</vt:lpstr>
      <vt:lpstr>CDU1.GFDP!FBP_1L</vt:lpstr>
      <vt:lpstr>CDU1.GFDP!FBP_1L_ROW</vt:lpstr>
      <vt:lpstr>CDU1.GFDP!FBP_2H</vt:lpstr>
      <vt:lpstr>CDU1.GFDP!FBP_2H_ROW</vt:lpstr>
      <vt:lpstr>CDU1.GFDP!FBP_2L</vt:lpstr>
      <vt:lpstr>CDU1.GFDP!FBP_2L_ROW</vt:lpstr>
      <vt:lpstr>FC_10.PV</vt:lpstr>
      <vt:lpstr>FC_11.PV</vt:lpstr>
      <vt:lpstr>FC_12.SP</vt:lpstr>
      <vt:lpstr>FC_13.SP</vt:lpstr>
      <vt:lpstr>FC_14.SP</vt:lpstr>
      <vt:lpstr>FC_31.SP</vt:lpstr>
      <vt:lpstr>FC_40.SP</vt:lpstr>
      <vt:lpstr>FC_41.PV</vt:lpstr>
      <vt:lpstr>FC_42.PV</vt:lpstr>
      <vt:lpstr>FC_72.PV</vt:lpstr>
      <vt:lpstr>FC_73.PV</vt:lpstr>
      <vt:lpstr>FC_81.SP</vt:lpstr>
      <vt:lpstr>CDU1.GFDP!FD_CL_PAR3</vt:lpstr>
      <vt:lpstr>CDU1.GFDP!FD_CL_PAR4</vt:lpstr>
      <vt:lpstr>CDU1.GFDP!FD_FL_PAR3</vt:lpstr>
      <vt:lpstr>CDU1.GFDP!FD_FL_PAR4</vt:lpstr>
      <vt:lpstr>CDU1.GFDP!FD_FZ_PAR3</vt:lpstr>
      <vt:lpstr>CDU1.GFDP!FD_FZ_PAR4</vt:lpstr>
      <vt:lpstr>CDU1.GFDP!FD_PAR2</vt:lpstr>
      <vt:lpstr>CDU1.GFDP!FD_SUL_PAR3</vt:lpstr>
      <vt:lpstr>CDU1.GFDP!FD_SUL_PAR4</vt:lpstr>
      <vt:lpstr>FI_15.PV</vt:lpstr>
      <vt:lpstr>FI_71.BAL</vt:lpstr>
      <vt:lpstr>FI_71.PV</vt:lpstr>
      <vt:lpstr>CDU1.GFDP!FLASH_1</vt:lpstr>
      <vt:lpstr>CDU1.GFDP!FLASH_2</vt:lpstr>
      <vt:lpstr>flowTypeMD_CDU</vt:lpstr>
      <vt:lpstr>Folder_Location</vt:lpstr>
      <vt:lpstr>'Opt Config DR'!ForceSimulation</vt:lpstr>
      <vt:lpstr>ForceSimulation</vt:lpstr>
      <vt:lpstr>PARAM!FPI_A</vt:lpstr>
      <vt:lpstr>PARAM!FPI_ALPHA</vt:lpstr>
      <vt:lpstr>PARAM!FPI_B</vt:lpstr>
      <vt:lpstr>CDU1.GFDP!FREEZE_1</vt:lpstr>
      <vt:lpstr>CDU1.GFDP!FREEZE_2</vt:lpstr>
      <vt:lpstr>CDU1.CMAP!GainMatrix</vt:lpstr>
      <vt:lpstr>CDU1.DMC!GainMatrix</vt:lpstr>
      <vt:lpstr>CDU1.GDOT!GainMatrix</vt:lpstr>
      <vt:lpstr>CDU1.GMAP!GainMatrix</vt:lpstr>
      <vt:lpstr>'Convoluted Matrix'!GainMatrix</vt:lpstr>
      <vt:lpstr>'Convoluted Matrix_2'!GainMatrix</vt:lpstr>
      <vt:lpstr>'GM Template'!GainMatrix</vt:lpstr>
      <vt:lpstr>HDS.CMAP!GainMatrix</vt:lpstr>
      <vt:lpstr>HDS.DMC!GainMatrix</vt:lpstr>
      <vt:lpstr>HDS.GDOT!GainMatrix</vt:lpstr>
      <vt:lpstr>HDS.GMAP!GainMatrix</vt:lpstr>
      <vt:lpstr>HFB.CMAP!GainMatrix</vt:lpstr>
      <vt:lpstr>HFB.DMC!GainMatrix</vt:lpstr>
      <vt:lpstr>HFB.GDOT!GainMatrix</vt:lpstr>
      <vt:lpstr>HFB.GMAP!GainMatrix</vt:lpstr>
      <vt:lpstr>KERHT.CMAP!GainMatrix</vt:lpstr>
      <vt:lpstr>KERHT.DMC!GainMatrix</vt:lpstr>
      <vt:lpstr>KERHT.GDOT!GainMatrix</vt:lpstr>
      <vt:lpstr>KERHT.GMAP!GainMatrix</vt:lpstr>
      <vt:lpstr>GainMatrix</vt:lpstr>
      <vt:lpstr>'Opt Config DR'!GainUpdate</vt:lpstr>
      <vt:lpstr>GainUpdate</vt:lpstr>
      <vt:lpstr>'Opt Config DR'!GainUpdateInterval</vt:lpstr>
      <vt:lpstr>GainUpdateInterval</vt:lpstr>
      <vt:lpstr>HDS.CI.BIAS</vt:lpstr>
      <vt:lpstr>HDS.EVAP1.BIAS</vt:lpstr>
      <vt:lpstr>HDS.EVAP2.BIAS</vt:lpstr>
      <vt:lpstr>HDS.EVAP3.BIAS</vt:lpstr>
      <vt:lpstr>HDS.EVAP4.BIAS</vt:lpstr>
      <vt:lpstr>HDS.FEED.FLOW</vt:lpstr>
      <vt:lpstr>HDS.FEED.FLOW.MAP</vt:lpstr>
      <vt:lpstr>HDS.FLOW.BIAS</vt:lpstr>
      <vt:lpstr>HDS.H2PP</vt:lpstr>
      <vt:lpstr>HDS.H2PP.MAP</vt:lpstr>
      <vt:lpstr>HDS.OVH.CI</vt:lpstr>
      <vt:lpstr>HDS.OVH.EVAP1</vt:lpstr>
      <vt:lpstr>HDS.OVH.EVAP2</vt:lpstr>
      <vt:lpstr>HDS.OVH.EVAP3</vt:lpstr>
      <vt:lpstr>HDS.OVH.EVAP4</vt:lpstr>
      <vt:lpstr>HDS.OVH.FLOW</vt:lpstr>
      <vt:lpstr>HDS.OVH.FLOW.MAP</vt:lpstr>
      <vt:lpstr>HDS.OVH.SG</vt:lpstr>
      <vt:lpstr>HDS.OVH.TCL</vt:lpstr>
      <vt:lpstr>HDS.OVH.TFL</vt:lpstr>
      <vt:lpstr>HDS.PAR5</vt:lpstr>
      <vt:lpstr>HDS.PROD.CI</vt:lpstr>
      <vt:lpstr>HDS.PROD.CI.BAL</vt:lpstr>
      <vt:lpstr>HDS.PROD.EVAP1</vt:lpstr>
      <vt:lpstr>HDS.PROD.EVAP1.BAL</vt:lpstr>
      <vt:lpstr>HDS.PROD.EVAP2</vt:lpstr>
      <vt:lpstr>HDS.PROD.EVAP2.BAL</vt:lpstr>
      <vt:lpstr>HDS.PROD.EVAP3</vt:lpstr>
      <vt:lpstr>HDS.PROD.EVAP3.BAL</vt:lpstr>
      <vt:lpstr>HDS.PROD.EVAP4</vt:lpstr>
      <vt:lpstr>HDS.PROD.EVAP4.BAL</vt:lpstr>
      <vt:lpstr>HDS.PROD.FLOW</vt:lpstr>
      <vt:lpstr>HDS.PROD.FLOW.BAL</vt:lpstr>
      <vt:lpstr>HDS.PROD.FLOW.MAP</vt:lpstr>
      <vt:lpstr>HDS.PROD.SG</vt:lpstr>
      <vt:lpstr>HDS.PROD.SG.BAL</vt:lpstr>
      <vt:lpstr>HDS.PROD.SUL</vt:lpstr>
      <vt:lpstr>HDS.PROD.SUL.BAL</vt:lpstr>
      <vt:lpstr>HDS.PROD.TCL</vt:lpstr>
      <vt:lpstr>HDS.PROD.TCL.BAL</vt:lpstr>
      <vt:lpstr>HDS.PROD.TFL</vt:lpstr>
      <vt:lpstr>HDS.PROD.TFL.BAL</vt:lpstr>
      <vt:lpstr>HDS.TCL.BIAS</vt:lpstr>
      <vt:lpstr>HDS.TFL.BIAS</vt:lpstr>
      <vt:lpstr>HDS.WABT</vt:lpstr>
      <vt:lpstr>HDS.WABT.MAP</vt:lpstr>
      <vt:lpstr>HFB.FD1.FLOW</vt:lpstr>
      <vt:lpstr>HFB.FD1.FLOW.MAP</vt:lpstr>
      <vt:lpstr>HFB.FD2.FLOW</vt:lpstr>
      <vt:lpstr>HFB.FD2.FLOW.MAP</vt:lpstr>
      <vt:lpstr>HFB.FD3.FLOW</vt:lpstr>
      <vt:lpstr>HFB.FD3.FLOW.MAP</vt:lpstr>
      <vt:lpstr>HFB.FD4.CI</vt:lpstr>
      <vt:lpstr>HFB.FD4.EVAP1</vt:lpstr>
      <vt:lpstr>HFB.FD4.EVAP1.BAL</vt:lpstr>
      <vt:lpstr>HFB.FD4.EVAP2</vt:lpstr>
      <vt:lpstr>HFB.FD4.EVAP2.BAL</vt:lpstr>
      <vt:lpstr>HFB.FD4.EVAP3</vt:lpstr>
      <vt:lpstr>HFB.FD4.EVAP3.BAL</vt:lpstr>
      <vt:lpstr>HFB.FD4.EVAP4</vt:lpstr>
      <vt:lpstr>HFB.FD4.EVAP4.BAL</vt:lpstr>
      <vt:lpstr>HFB.FD4.FLOW</vt:lpstr>
      <vt:lpstr>HFB.FD4.FLOW.MAP</vt:lpstr>
      <vt:lpstr>HFB.FD4.SG</vt:lpstr>
      <vt:lpstr>HFB.FD4.SUL</vt:lpstr>
      <vt:lpstr>HFB.FD4.T05</vt:lpstr>
      <vt:lpstr>HFB.FD4.T95</vt:lpstr>
      <vt:lpstr>HFB.FD4.TCL</vt:lpstr>
      <vt:lpstr>HFB.FD4.TFL</vt:lpstr>
      <vt:lpstr>HFB.FD4.VAR1</vt:lpstr>
      <vt:lpstr>HFB.FD4.VAR1.BAL</vt:lpstr>
      <vt:lpstr>HFB.PROD.CI</vt:lpstr>
      <vt:lpstr>HFB.PROD.CI.BAL</vt:lpstr>
      <vt:lpstr>HFB.PROD.EVAP1</vt:lpstr>
      <vt:lpstr>HFB.PROD.EVAP1.BAL</vt:lpstr>
      <vt:lpstr>HFB.PROD.EVAP2</vt:lpstr>
      <vt:lpstr>HFB.PROD.EVAP2.BAL</vt:lpstr>
      <vt:lpstr>HFB.PROD.EVAP3</vt:lpstr>
      <vt:lpstr>HFB.PROD.EVAP3.BAL</vt:lpstr>
      <vt:lpstr>HFB.PROD.EVAP4</vt:lpstr>
      <vt:lpstr>HFB.PROD.EVAP4.BAL</vt:lpstr>
      <vt:lpstr>HFB.PROD.FLOW</vt:lpstr>
      <vt:lpstr>HFB.PROD.FLOW.BAL</vt:lpstr>
      <vt:lpstr>HFB.PROD.FLOW.MAP</vt:lpstr>
      <vt:lpstr>HFB.PROD.SG</vt:lpstr>
      <vt:lpstr>HFB.PROD.SG.BAL</vt:lpstr>
      <vt:lpstr>HFB.PROD.SUL</vt:lpstr>
      <vt:lpstr>HFB.PROD.SUL.BAL</vt:lpstr>
      <vt:lpstr>HFB.PROD.T95</vt:lpstr>
      <vt:lpstr>HFB.PROD.T95.BAL</vt:lpstr>
      <vt:lpstr>HFB.PROD.TCL</vt:lpstr>
      <vt:lpstr>HFB.PROD.TCL.BAL</vt:lpstr>
      <vt:lpstr>HFB.PROD.TFL</vt:lpstr>
      <vt:lpstr>HFB.PROD.TFL.BAL</vt:lpstr>
      <vt:lpstr>HFB.PROD.VAR1</vt:lpstr>
      <vt:lpstr>HFB.PROD.VAR1.BAL</vt:lpstr>
      <vt:lpstr>CDU1.GFDP!IBP_1H</vt:lpstr>
      <vt:lpstr>CDU1.GFDP!IBP_1H_ROW</vt:lpstr>
      <vt:lpstr>CDU1.GFDP!IBP_1L</vt:lpstr>
      <vt:lpstr>CDU1.GFDP!IBP_1L_ROW</vt:lpstr>
      <vt:lpstr>CDU1.GFDP!IBP_2H</vt:lpstr>
      <vt:lpstr>CDU1.GFDP!IBP_2H_ROW</vt:lpstr>
      <vt:lpstr>CDU1.GFDP!IBP_2L</vt:lpstr>
      <vt:lpstr>CDU1.GFDP!IBP_2L_ROW</vt:lpstr>
      <vt:lpstr>'Opt Config DR'!IncludePredOnlyModels</vt:lpstr>
      <vt:lpstr>IncludePredOnlyModels</vt:lpstr>
      <vt:lpstr>PARAM!IUNITS</vt:lpstr>
      <vt:lpstr>PARAM!KER_EVAP_T1</vt:lpstr>
      <vt:lpstr>PARAM!KER_EVAP_T2</vt:lpstr>
      <vt:lpstr>KERHT.EVAP1.BIAS</vt:lpstr>
      <vt:lpstr>KERHT.EVAP2.BIAS</vt:lpstr>
      <vt:lpstr>KERHT.FEED.FLOW</vt:lpstr>
      <vt:lpstr>KERHT.FEED.FLOW.MAP</vt:lpstr>
      <vt:lpstr>KERHT.FLOW.BIAS</vt:lpstr>
      <vt:lpstr>KERHT.H2PP</vt:lpstr>
      <vt:lpstr>KERHT.H2PP.MAP</vt:lpstr>
      <vt:lpstr>KERHT.OVH.EVAP1</vt:lpstr>
      <vt:lpstr>KERHT.OVH.EVAP2</vt:lpstr>
      <vt:lpstr>KERHT.OVH.FLOW</vt:lpstr>
      <vt:lpstr>KERHT.OVH.FLOW.MAP</vt:lpstr>
      <vt:lpstr>KERHT.OVH.SG</vt:lpstr>
      <vt:lpstr>KERHT.OVH.TCL</vt:lpstr>
      <vt:lpstr>KERHT.OVH.TFL</vt:lpstr>
      <vt:lpstr>KERHT.OVH.TFZ</vt:lpstr>
      <vt:lpstr>KERHT.PAR5</vt:lpstr>
      <vt:lpstr>KERHT.PROD.EVAP1</vt:lpstr>
      <vt:lpstr>KERHT.PROD.EVAP1.BAL</vt:lpstr>
      <vt:lpstr>KERHT.PROD.EVAP2</vt:lpstr>
      <vt:lpstr>KERHT.PROD.EVAP2.BAL</vt:lpstr>
      <vt:lpstr>KERHT.PROD.FLOW</vt:lpstr>
      <vt:lpstr>KERHT.PROD.FLOW.BAL</vt:lpstr>
      <vt:lpstr>KERHT.PROD.FLOW.MAP</vt:lpstr>
      <vt:lpstr>KERHT.PROD.SG</vt:lpstr>
      <vt:lpstr>KERHT.PROD.SG.BAL</vt:lpstr>
      <vt:lpstr>KERHT.PROD.SUL</vt:lpstr>
      <vt:lpstr>KERHT.PROD.SUL.BAL</vt:lpstr>
      <vt:lpstr>KERHT.PROD.TCL</vt:lpstr>
      <vt:lpstr>KERHT.PROD.TCL.BAL</vt:lpstr>
      <vt:lpstr>KERHT.PROD.TFL</vt:lpstr>
      <vt:lpstr>KERHT.PROD.TFL.BAL</vt:lpstr>
      <vt:lpstr>KERHT.PROD.TFZ</vt:lpstr>
      <vt:lpstr>KERHT.PROD.TFZ.BAL</vt:lpstr>
      <vt:lpstr>KERHT.TCL.BIAS</vt:lpstr>
      <vt:lpstr>KERHT.TFL.BIAS</vt:lpstr>
      <vt:lpstr>KERHT.TFZ.BIAS</vt:lpstr>
      <vt:lpstr>KERHT.WABT</vt:lpstr>
      <vt:lpstr>KERHT.WABT.MAP</vt:lpstr>
      <vt:lpstr>'Opt Config DR'!LOPfromCheckPnt</vt:lpstr>
      <vt:lpstr>LOPfromCheckPnt</vt:lpstr>
      <vt:lpstr>'Opt Config DR'!MaxExecsToSkip</vt:lpstr>
      <vt:lpstr>MaxExecsToSkip</vt:lpstr>
      <vt:lpstr>'Opt Config DR'!MaxIteration_Infeasibility</vt:lpstr>
      <vt:lpstr>MaxIteration_Infeasibility</vt:lpstr>
      <vt:lpstr>CDU1.CNFG!Meas10Names</vt:lpstr>
      <vt:lpstr>HDS.CNFG!Meas10Names</vt:lpstr>
      <vt:lpstr>KERHT.CNFG!Meas10Names</vt:lpstr>
      <vt:lpstr>'MD CDU.CNFG Template'!Meas10Names</vt:lpstr>
      <vt:lpstr>'MD HTU.CNFG Template'!Meas10Names</vt:lpstr>
      <vt:lpstr>CDU1.CNFG!Meas10Types</vt:lpstr>
      <vt:lpstr>HDS.CNFG!Meas10Types</vt:lpstr>
      <vt:lpstr>KERHT.CNFG!Meas10Types</vt:lpstr>
      <vt:lpstr>'MD CDU.CNFG Template'!Meas10Types</vt:lpstr>
      <vt:lpstr>'MD HTU.CNFG Template'!Meas10Types</vt:lpstr>
      <vt:lpstr>CDU1.CNFG!Meas11Names</vt:lpstr>
      <vt:lpstr>HDS.CNFG!Meas11Names</vt:lpstr>
      <vt:lpstr>KERHT.CNFG!Meas11Names</vt:lpstr>
      <vt:lpstr>'MD CDU.CNFG Template'!Meas11Names</vt:lpstr>
      <vt:lpstr>'MD HTU.CNFG Template'!Meas11Names</vt:lpstr>
      <vt:lpstr>CDU1.CNFG!Meas11Types</vt:lpstr>
      <vt:lpstr>HDS.CNFG!Meas11Types</vt:lpstr>
      <vt:lpstr>KERHT.CNFG!Meas11Types</vt:lpstr>
      <vt:lpstr>'MD CDU.CNFG Template'!Meas11Types</vt:lpstr>
      <vt:lpstr>'MD HTU.CNFG Template'!Meas11Types</vt:lpstr>
      <vt:lpstr>CDU1.CNFG!Meas12Names</vt:lpstr>
      <vt:lpstr>HDS.CNFG!Meas12Names</vt:lpstr>
      <vt:lpstr>KERHT.CNFG!Meas12Names</vt:lpstr>
      <vt:lpstr>'MD CDU.CNFG Template'!Meas12Names</vt:lpstr>
      <vt:lpstr>'MD HTU.CNFG Template'!Meas12Names</vt:lpstr>
      <vt:lpstr>CDU1.CNFG!Meas12Types</vt:lpstr>
      <vt:lpstr>HDS.CNFG!Meas12Types</vt:lpstr>
      <vt:lpstr>KERHT.CNFG!Meas12Types</vt:lpstr>
      <vt:lpstr>'MD CDU.CNFG Template'!Meas12Types</vt:lpstr>
      <vt:lpstr>'MD HTU.CNFG Template'!Meas12Types</vt:lpstr>
      <vt:lpstr>CDU1.CNFG!Meas13Names</vt:lpstr>
      <vt:lpstr>HDS.CNFG!Meas13Names</vt:lpstr>
      <vt:lpstr>KERHT.CNFG!Meas13Names</vt:lpstr>
      <vt:lpstr>'MD CDU.CNFG Template'!Meas13Names</vt:lpstr>
      <vt:lpstr>'MD HTU.CNFG Template'!Meas13Names</vt:lpstr>
      <vt:lpstr>CDU1.CNFG!Meas13Types</vt:lpstr>
      <vt:lpstr>HDS.CNFG!Meas13Types</vt:lpstr>
      <vt:lpstr>KERHT.CNFG!Meas13Types</vt:lpstr>
      <vt:lpstr>'MD CDU.CNFG Template'!Meas13Types</vt:lpstr>
      <vt:lpstr>'MD HTU.CNFG Template'!Meas13Types</vt:lpstr>
      <vt:lpstr>CDU1.CNFG!Meas14Names</vt:lpstr>
      <vt:lpstr>HDS.CNFG!Meas14Names</vt:lpstr>
      <vt:lpstr>KERHT.CNFG!Meas14Names</vt:lpstr>
      <vt:lpstr>'MD CDU.CNFG Template'!Meas14Names</vt:lpstr>
      <vt:lpstr>'MD HTU.CNFG Template'!Meas14Names</vt:lpstr>
      <vt:lpstr>CDU1.CNFG!Meas14Types</vt:lpstr>
      <vt:lpstr>HDS.CNFG!Meas14Types</vt:lpstr>
      <vt:lpstr>KERHT.CNFG!Meas14Types</vt:lpstr>
      <vt:lpstr>'MD CDU.CNFG Template'!Meas14Types</vt:lpstr>
      <vt:lpstr>'MD HTU.CNFG Template'!Meas14Types</vt:lpstr>
      <vt:lpstr>CDU1.CNFG!Meas15Names</vt:lpstr>
      <vt:lpstr>HDS.CNFG!Meas15Names</vt:lpstr>
      <vt:lpstr>KERHT.CNFG!Meas15Names</vt:lpstr>
      <vt:lpstr>'MD CDU.CNFG Template'!Meas15Names</vt:lpstr>
      <vt:lpstr>'MD HTU.CNFG Template'!Meas15Names</vt:lpstr>
      <vt:lpstr>CDU1.CNFG!Meas15Types</vt:lpstr>
      <vt:lpstr>HDS.CNFG!Meas15Types</vt:lpstr>
      <vt:lpstr>KERHT.CNFG!Meas15Types</vt:lpstr>
      <vt:lpstr>'MD CDU.CNFG Template'!Meas15Types</vt:lpstr>
      <vt:lpstr>'MD HTU.CNFG Template'!Meas15Types</vt:lpstr>
      <vt:lpstr>CDU1.CNFG!Meas16Names</vt:lpstr>
      <vt:lpstr>HDS.CNFG!Meas16Names</vt:lpstr>
      <vt:lpstr>KERHT.CNFG!Meas16Names</vt:lpstr>
      <vt:lpstr>'MD CDU.CNFG Template'!Meas16Names</vt:lpstr>
      <vt:lpstr>'MD HTU.CNFG Template'!Meas16Names</vt:lpstr>
      <vt:lpstr>CDU1.CNFG!Meas16Types</vt:lpstr>
      <vt:lpstr>HDS.CNFG!Meas16Types</vt:lpstr>
      <vt:lpstr>KERHT.CNFG!Meas16Types</vt:lpstr>
      <vt:lpstr>'MD CDU.CNFG Template'!Meas16Types</vt:lpstr>
      <vt:lpstr>'MD HTU.CNFG Template'!Meas16Types</vt:lpstr>
      <vt:lpstr>CDU1.CNFG!Meas1Names</vt:lpstr>
      <vt:lpstr>HDS.CNFG!Meas1Names</vt:lpstr>
      <vt:lpstr>KERHT.CNFG!Meas1Names</vt:lpstr>
      <vt:lpstr>'MD CDU.CNFG Template'!Meas1Names</vt:lpstr>
      <vt:lpstr>'MD HTU.CNFG Template'!Meas1Names</vt:lpstr>
      <vt:lpstr>CDU1.CNFG!Meas1Types</vt:lpstr>
      <vt:lpstr>HDS.CNFG!Meas1Types</vt:lpstr>
      <vt:lpstr>KERHT.CNFG!Meas1Types</vt:lpstr>
      <vt:lpstr>'MD CDU.CNFG Template'!Meas1Types</vt:lpstr>
      <vt:lpstr>'MD HTU.CNFG Template'!Meas1Types</vt:lpstr>
      <vt:lpstr>CDU1.CNFG!Meas2Names</vt:lpstr>
      <vt:lpstr>HDS.CNFG!Meas2Names</vt:lpstr>
      <vt:lpstr>KERHT.CNFG!Meas2Names</vt:lpstr>
      <vt:lpstr>'MD CDU.CNFG Template'!Meas2Names</vt:lpstr>
      <vt:lpstr>'MD HTU.CNFG Template'!Meas2Names</vt:lpstr>
      <vt:lpstr>CDU1.CNFG!Meas2Types</vt:lpstr>
      <vt:lpstr>HDS.CNFG!Meas2Types</vt:lpstr>
      <vt:lpstr>KERHT.CNFG!Meas2Types</vt:lpstr>
      <vt:lpstr>'MD CDU.CNFG Template'!Meas2Types</vt:lpstr>
      <vt:lpstr>'MD HTU.CNFG Template'!Meas2Types</vt:lpstr>
      <vt:lpstr>CDU1.CNFG!Meas3Names</vt:lpstr>
      <vt:lpstr>HDS.CNFG!Meas3Names</vt:lpstr>
      <vt:lpstr>KERHT.CNFG!Meas3Names</vt:lpstr>
      <vt:lpstr>'MD CDU.CNFG Template'!Meas3Names</vt:lpstr>
      <vt:lpstr>'MD HTU.CNFG Template'!Meas3Names</vt:lpstr>
      <vt:lpstr>CDU1.CNFG!Meas3Types</vt:lpstr>
      <vt:lpstr>HDS.CNFG!Meas3Types</vt:lpstr>
      <vt:lpstr>KERHT.CNFG!Meas3Types</vt:lpstr>
      <vt:lpstr>'MD CDU.CNFG Template'!Meas3Types</vt:lpstr>
      <vt:lpstr>'MD HTU.CNFG Template'!Meas3Types</vt:lpstr>
      <vt:lpstr>CDU1.CNFG!Meas4Names</vt:lpstr>
      <vt:lpstr>HDS.CNFG!Meas4Names</vt:lpstr>
      <vt:lpstr>KERHT.CNFG!Meas4Names</vt:lpstr>
      <vt:lpstr>'MD CDU.CNFG Template'!Meas4Names</vt:lpstr>
      <vt:lpstr>'MD HTU.CNFG Template'!Meas4Names</vt:lpstr>
      <vt:lpstr>CDU1.CNFG!Meas4Types</vt:lpstr>
      <vt:lpstr>HDS.CNFG!Meas4Types</vt:lpstr>
      <vt:lpstr>KERHT.CNFG!Meas4Types</vt:lpstr>
      <vt:lpstr>'MD CDU.CNFG Template'!Meas4Types</vt:lpstr>
      <vt:lpstr>'MD HTU.CNFG Template'!Meas4Types</vt:lpstr>
      <vt:lpstr>CDU1.CNFG!Meas5Names</vt:lpstr>
      <vt:lpstr>HDS.CNFG!Meas5Names</vt:lpstr>
      <vt:lpstr>KERHT.CNFG!Meas5Names</vt:lpstr>
      <vt:lpstr>'MD CDU.CNFG Template'!Meas5Names</vt:lpstr>
      <vt:lpstr>'MD HTU.CNFG Template'!Meas5Names</vt:lpstr>
      <vt:lpstr>CDU1.CNFG!Meas5Types</vt:lpstr>
      <vt:lpstr>HDS.CNFG!Meas5Types</vt:lpstr>
      <vt:lpstr>KERHT.CNFG!Meas5Types</vt:lpstr>
      <vt:lpstr>'MD CDU.CNFG Template'!Meas5Types</vt:lpstr>
      <vt:lpstr>'MD HTU.CNFG Template'!Meas5Types</vt:lpstr>
      <vt:lpstr>CDU1.CNFG!Meas6Names</vt:lpstr>
      <vt:lpstr>HDS.CNFG!Meas6Names</vt:lpstr>
      <vt:lpstr>KERHT.CNFG!Meas6Names</vt:lpstr>
      <vt:lpstr>'MD CDU.CNFG Template'!Meas6Names</vt:lpstr>
      <vt:lpstr>'MD HTU.CNFG Template'!Meas6Names</vt:lpstr>
      <vt:lpstr>CDU1.CNFG!Meas6Types</vt:lpstr>
      <vt:lpstr>HDS.CNFG!Meas6Types</vt:lpstr>
      <vt:lpstr>KERHT.CNFG!Meas6Types</vt:lpstr>
      <vt:lpstr>'MD CDU.CNFG Template'!Meas6Types</vt:lpstr>
      <vt:lpstr>'MD HTU.CNFG Template'!Meas6Types</vt:lpstr>
      <vt:lpstr>CDU1.CNFG!Meas7Names</vt:lpstr>
      <vt:lpstr>HDS.CNFG!Meas7Names</vt:lpstr>
      <vt:lpstr>KERHT.CNFG!Meas7Names</vt:lpstr>
      <vt:lpstr>'MD CDU.CNFG Template'!Meas7Names</vt:lpstr>
      <vt:lpstr>'MD HTU.CNFG Template'!Meas7Names</vt:lpstr>
      <vt:lpstr>CDU1.CNFG!Meas7Types</vt:lpstr>
      <vt:lpstr>HDS.CNFG!Meas7Types</vt:lpstr>
      <vt:lpstr>KERHT.CNFG!Meas7Types</vt:lpstr>
      <vt:lpstr>'MD CDU.CNFG Template'!Meas7Types</vt:lpstr>
      <vt:lpstr>'MD HTU.CNFG Template'!Meas7Types</vt:lpstr>
      <vt:lpstr>CDU1.CNFG!Meas8Names</vt:lpstr>
      <vt:lpstr>HDS.CNFG!Meas8Names</vt:lpstr>
      <vt:lpstr>KERHT.CNFG!Meas8Names</vt:lpstr>
      <vt:lpstr>'MD CDU.CNFG Template'!Meas8Names</vt:lpstr>
      <vt:lpstr>'MD HTU.CNFG Template'!Meas8Names</vt:lpstr>
      <vt:lpstr>CDU1.CNFG!Meas8Types</vt:lpstr>
      <vt:lpstr>HDS.CNFG!Meas8Types</vt:lpstr>
      <vt:lpstr>KERHT.CNFG!Meas8Types</vt:lpstr>
      <vt:lpstr>'MD CDU.CNFG Template'!Meas8Types</vt:lpstr>
      <vt:lpstr>'MD HTU.CNFG Template'!Meas8Types</vt:lpstr>
      <vt:lpstr>CDU1.CNFG!Meas9Names</vt:lpstr>
      <vt:lpstr>HDS.CNFG!Meas9Names</vt:lpstr>
      <vt:lpstr>KERHT.CNFG!Meas9Names</vt:lpstr>
      <vt:lpstr>'MD CDU.CNFG Template'!Meas9Names</vt:lpstr>
      <vt:lpstr>'MD HTU.CNFG Template'!Meas9Names</vt:lpstr>
      <vt:lpstr>CDU1.CNFG!Meas9Types</vt:lpstr>
      <vt:lpstr>HDS.CNFG!Meas9Types</vt:lpstr>
      <vt:lpstr>KERHT.CNFG!Meas9Types</vt:lpstr>
      <vt:lpstr>'MD CDU.CNFG Template'!Meas9Types</vt:lpstr>
      <vt:lpstr>'MD HTU.CNFG Template'!Meas9Types</vt:lpstr>
      <vt:lpstr>measTypeGenMD_HTU</vt:lpstr>
      <vt:lpstr>measTypeMD_BU</vt:lpstr>
      <vt:lpstr>measTypeMD_CDU</vt:lpstr>
      <vt:lpstr>measTypeMD_HTUP</vt:lpstr>
      <vt:lpstr>measTypeMD_HTUSUL</vt:lpstr>
      <vt:lpstr>measTypeMD_HTUT</vt:lpstr>
      <vt:lpstr>'Opt Config DR'!MU_Config</vt:lpstr>
      <vt:lpstr>MU_Config</vt:lpstr>
      <vt:lpstr>MUConnections</vt:lpstr>
      <vt:lpstr>MUExecInterval</vt:lpstr>
      <vt:lpstr>MUExecIntervalOn</vt:lpstr>
      <vt:lpstr>MUExecOffset</vt:lpstr>
      <vt:lpstr>MUExecOffsetOn</vt:lpstr>
      <vt:lpstr>MULastModelWrite</vt:lpstr>
      <vt:lpstr>MUMessage</vt:lpstr>
      <vt:lpstr>MUModelFileOn</vt:lpstr>
      <vt:lpstr>MUModelFilePath</vt:lpstr>
      <vt:lpstr>MUStatus</vt:lpstr>
      <vt:lpstr>MUValues</vt:lpstr>
      <vt:lpstr>MUWriteValues</vt:lpstr>
      <vt:lpstr>MVConfig</vt:lpstr>
      <vt:lpstr>MVConfig_DR</vt:lpstr>
      <vt:lpstr>CDU1.CMAP!MVs</vt:lpstr>
      <vt:lpstr>CDU1.DMC!MVs</vt:lpstr>
      <vt:lpstr>CDU1.GDOT!MVs</vt:lpstr>
      <vt:lpstr>CDU1.GMAP!MVs</vt:lpstr>
      <vt:lpstr>'Convoluted Matrix'!MVs</vt:lpstr>
      <vt:lpstr>'Convoluted Matrix_2'!MVs</vt:lpstr>
      <vt:lpstr>'GM Template'!MVs</vt:lpstr>
      <vt:lpstr>HDS.CMAP!MVs</vt:lpstr>
      <vt:lpstr>HDS.DMC!MVs</vt:lpstr>
      <vt:lpstr>HDS.GDOT!MVs</vt:lpstr>
      <vt:lpstr>HDS.GMAP!MVs</vt:lpstr>
      <vt:lpstr>HFB.CMAP!MVs</vt:lpstr>
      <vt:lpstr>HFB.DMC!MVs</vt:lpstr>
      <vt:lpstr>HFB.GDOT!MVs</vt:lpstr>
      <vt:lpstr>HFB.GMAP!MVs</vt:lpstr>
      <vt:lpstr>KERHT.CMAP!MVs</vt:lpstr>
      <vt:lpstr>KERHT.DMC!MVs</vt:lpstr>
      <vt:lpstr>KERHT.GDOT!MVs</vt:lpstr>
      <vt:lpstr>KERHT.GMAP!MVs</vt:lpstr>
      <vt:lpstr>MVs</vt:lpstr>
      <vt:lpstr>NumAUX</vt:lpstr>
      <vt:lpstr>NumAuxWrite</vt:lpstr>
      <vt:lpstr>NumCV</vt:lpstr>
      <vt:lpstr>NumMV</vt:lpstr>
      <vt:lpstr>'Opt Config DR'!OnOffReq_Config</vt:lpstr>
      <vt:lpstr>OnOffReq_Config</vt:lpstr>
      <vt:lpstr>'Opt Config DR'!OPC_Node</vt:lpstr>
      <vt:lpstr>OPC_Node</vt:lpstr>
      <vt:lpstr>'Opt Config DR'!OPCUpdateFreq</vt:lpstr>
      <vt:lpstr>OPCUpdateFreq</vt:lpstr>
      <vt:lpstr>PI_11.PV</vt:lpstr>
      <vt:lpstr>PX_40.PV</vt:lpstr>
      <vt:lpstr>PX_71.PV</vt:lpstr>
      <vt:lpstr>'Opt Config DR'!Rank_CutOff</vt:lpstr>
      <vt:lpstr>Rank_CutOff</vt:lpstr>
      <vt:lpstr>'Opt Config DR'!SaveCopyOfCP</vt:lpstr>
      <vt:lpstr>SaveCopyOfCP</vt:lpstr>
      <vt:lpstr>SaveInterval</vt:lpstr>
      <vt:lpstr>CDU1.GFDP!SC1_T951</vt:lpstr>
      <vt:lpstr>CDU1.GFDP!SC1_T952</vt:lpstr>
      <vt:lpstr>CDU1.GFDP!SC1_T953</vt:lpstr>
      <vt:lpstr>CDU1.GFDP!SC2_T951</vt:lpstr>
      <vt:lpstr>CDU1.GFDP!SC2_T952</vt:lpstr>
      <vt:lpstr>CDU1.GFDP!SC2_T953</vt:lpstr>
      <vt:lpstr>CDU1.GFDP!SC2_T954</vt:lpstr>
      <vt:lpstr>CDU1.GFDP!SC2_T955</vt:lpstr>
      <vt:lpstr>CDU1.GFDP!SC3_T951</vt:lpstr>
      <vt:lpstr>CDU1.GFDP!SC3_T952</vt:lpstr>
      <vt:lpstr>CDU1.GFDP!SC3_T953</vt:lpstr>
      <vt:lpstr>CDU1.GFDP!SC3_T954</vt:lpstr>
      <vt:lpstr>CDU1.GFDP!SC3_T955</vt:lpstr>
      <vt:lpstr>CDU1.GFDP!SG_1</vt:lpstr>
      <vt:lpstr>CDU1.GFDP!SG_2</vt:lpstr>
      <vt:lpstr>'Opt Config DR'!ShedToAdvisory</vt:lpstr>
      <vt:lpstr>ShedToAdvisory</vt:lpstr>
      <vt:lpstr>'Opt Config DR'!Status_Config</vt:lpstr>
      <vt:lpstr>Status_Config</vt:lpstr>
      <vt:lpstr>CDU1.CNFG!StreamNames</vt:lpstr>
      <vt:lpstr>HDS.CNFG!StreamNames</vt:lpstr>
      <vt:lpstr>KERHT.CNFG!StreamNames</vt:lpstr>
      <vt:lpstr>'MD CDU.CNFG Template'!StreamNames</vt:lpstr>
      <vt:lpstr>'MD HTU.CNFG Template'!StreamNames</vt:lpstr>
      <vt:lpstr>HDS.CNFG!StreamSource</vt:lpstr>
      <vt:lpstr>KERHT.CNFG!StreamSource</vt:lpstr>
      <vt:lpstr>'MD HTU.CNFG Template'!StreamSource</vt:lpstr>
      <vt:lpstr>CDU1.CNFG!StreamTypes</vt:lpstr>
      <vt:lpstr>'MD CDU.CNFG Template'!StreamTypes</vt:lpstr>
      <vt:lpstr>CDU1.GFDP!SUL_1</vt:lpstr>
      <vt:lpstr>CDU1.GFDP!SUL_2</vt:lpstr>
      <vt:lpstr>TC_11.PV</vt:lpstr>
      <vt:lpstr>TK81_.CI</vt:lpstr>
      <vt:lpstr>TK81_.SG</vt:lpstr>
      <vt:lpstr>TK81_.SUL</vt:lpstr>
      <vt:lpstr>TK81_.T05_</vt:lpstr>
      <vt:lpstr>TK81_.T95_</vt:lpstr>
      <vt:lpstr>TK81_.TCL</vt:lpstr>
      <vt:lpstr>TK81_.TFL</vt:lpstr>
      <vt:lpstr>TX_40.PV</vt:lpstr>
      <vt:lpstr>TX_71.PV</vt:lpstr>
      <vt:lpstr>typeMD_BU</vt:lpstr>
      <vt:lpstr>typeMD_HTU</vt:lpstr>
      <vt:lpstr>'Opt Config DR'!UnforcedPredInSim</vt:lpstr>
      <vt:lpstr>UnforcedPredInSim</vt:lpstr>
      <vt:lpstr>'Opt Config DR'!UseMoveSuppr</vt:lpstr>
      <vt:lpstr>UseMoveSuppr</vt:lpstr>
      <vt:lpstr>'Opt Config DR'!VariableDeadTime_DeadBand</vt:lpstr>
      <vt:lpstr>VariableDeadTime_DeadBand</vt:lpstr>
      <vt:lpstr>'Opt Config DR'!Version</vt:lpstr>
      <vt:lpstr>Version</vt:lpstr>
      <vt:lpstr>'Opt Config DR'!VersionType</vt:lpstr>
      <vt:lpstr>VersionType</vt:lpstr>
      <vt:lpstr>'Opt Config DR'!WatchDog_Config</vt:lpstr>
      <vt:lpstr>WatchDog_Config</vt:lpstr>
    </vt:vector>
  </TitlesOfParts>
  <Company>Aspen Tecnology,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GDOT Model Template</dc:title>
  <dc:creator>Aspen Technology, Inc.</dc:creator>
  <dc:description>GDOT V11 (4.0.0)</dc:description>
  <cp:lastModifiedBy>Terndrup, Jeppe</cp:lastModifiedBy>
  <dcterms:created xsi:type="dcterms:W3CDTF">2003-11-05T16:59:41Z</dcterms:created>
  <dcterms:modified xsi:type="dcterms:W3CDTF">2020-06-26T15:30:54Z</dcterms:modified>
  <cp:version>v3.2.0.1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0x01010012E187BF16AB4047855D95007DC1897D</vt:lpwstr>
  </property>
</Properties>
</file>